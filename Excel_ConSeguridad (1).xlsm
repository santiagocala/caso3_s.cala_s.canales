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CODD.sis.virtual.uniandes.edu.co\Estudiantes\Profiles\s.canales\Downloads\"/>
    </mc:Choice>
  </mc:AlternateContent>
  <bookViews>
    <workbookView xWindow="0" yWindow="0" windowWidth="28800" windowHeight="12300" tabRatio="841" activeTab="1"/>
  </bookViews>
  <sheets>
    <sheet name="Punto 3" sheetId="1" r:id="rId1"/>
    <sheet name="Caso1_1-400-20" sheetId="2" r:id="rId2"/>
    <sheet name="Datos1.1" sheetId="11" r:id="rId3"/>
    <sheet name="Caso2_1-200-40" sheetId="3" r:id="rId4"/>
    <sheet name="Datos1.2" sheetId="12" r:id="rId5"/>
    <sheet name="Caso3_1-80-100" sheetId="4" r:id="rId6"/>
    <sheet name="Datos1.3" sheetId="13" r:id="rId7"/>
    <sheet name="Caso4_2-400-20" sheetId="5" r:id="rId8"/>
    <sheet name="Datos1.4" sheetId="15" r:id="rId9"/>
    <sheet name="Caso5_2-200-40" sheetId="6" r:id="rId10"/>
    <sheet name="Datos1.5" sheetId="16" r:id="rId11"/>
    <sheet name="Caso6_2-80-100" sheetId="7" r:id="rId12"/>
    <sheet name="Datos1.6" sheetId="17" r:id="rId13"/>
    <sheet name="Gráfica_I" sheetId="8" r:id="rId14"/>
    <sheet name="Gráfica_II" sheetId="9" r:id="rId15"/>
    <sheet name="Gráfica_III" sheetId="10" r:id="rId16"/>
    <sheet name="SSDatos1" sheetId="18" r:id="rId17"/>
    <sheet name="SSCaso1" sheetId="19" r:id="rId18"/>
    <sheet name="SSDatos2" sheetId="20" r:id="rId19"/>
    <sheet name="SSCaso2" sheetId="21" r:id="rId20"/>
    <sheet name="Graficas SS" sheetId="22" r:id="rId21"/>
  </sheets>
  <definedNames>
    <definedName name="DatosExternos_1" localSheetId="2" hidden="1">Datos1.1!$A$1:$C$4001</definedName>
    <definedName name="DatosExternos_1" localSheetId="4" hidden="1">Datos1.2!$A$1:$C$2001</definedName>
    <definedName name="DatosExternos_1" localSheetId="6" hidden="1">Datos1.3!$A$1:$C$801</definedName>
    <definedName name="DatosExternos_1" localSheetId="8" hidden="1">Datos1.4!$A$1:$C$2775</definedName>
    <definedName name="DatosExternos_1" localSheetId="10" hidden="1">Datos1.5!$A$1:$C$2001</definedName>
    <definedName name="DatosExternos_2" localSheetId="12" hidden="1">Datos1.6!$A$1:$C$801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1" i="22" l="1"/>
  <c r="L12" i="22"/>
  <c r="L13" i="22"/>
  <c r="L14" i="22"/>
  <c r="L15" i="22"/>
  <c r="L16" i="22"/>
  <c r="L17" i="22"/>
  <c r="L18" i="22"/>
  <c r="L19" i="22"/>
  <c r="L10" i="22"/>
  <c r="K11" i="22"/>
  <c r="K12" i="22"/>
  <c r="K13" i="22"/>
  <c r="K14" i="22"/>
  <c r="K15" i="22"/>
  <c r="K16" i="22"/>
  <c r="K17" i="22"/>
  <c r="K18" i="22"/>
  <c r="K19" i="22"/>
  <c r="K10" i="22"/>
  <c r="H15" i="7"/>
  <c r="H15" i="6"/>
  <c r="H15" i="5"/>
  <c r="H15" i="4"/>
  <c r="H15" i="3"/>
  <c r="H15" i="2"/>
  <c r="G15" i="7"/>
  <c r="G16" i="7"/>
  <c r="H16" i="7"/>
  <c r="G17" i="7"/>
  <c r="H17" i="7"/>
  <c r="F17" i="7"/>
  <c r="F16" i="7"/>
  <c r="F15" i="7"/>
  <c r="F14" i="7"/>
  <c r="H17" i="6"/>
  <c r="H17" i="5"/>
  <c r="H17" i="4"/>
  <c r="H17" i="3"/>
  <c r="G15" i="3"/>
  <c r="G16" i="3"/>
  <c r="H16" i="3"/>
  <c r="G17" i="3"/>
  <c r="F16" i="3"/>
  <c r="F15" i="3"/>
  <c r="F17" i="3"/>
  <c r="F15" i="4"/>
  <c r="G15" i="4"/>
  <c r="F16" i="4"/>
  <c r="G16" i="4"/>
  <c r="H16" i="4"/>
  <c r="F17" i="4"/>
  <c r="G17" i="4"/>
  <c r="F15" i="5"/>
  <c r="G15" i="5"/>
  <c r="F16" i="5"/>
  <c r="G16" i="5"/>
  <c r="H16" i="5"/>
  <c r="F17" i="5"/>
  <c r="G17" i="5"/>
  <c r="F15" i="6"/>
  <c r="G15" i="6"/>
  <c r="F16" i="6"/>
  <c r="G16" i="6"/>
  <c r="H16" i="6"/>
  <c r="F17" i="6"/>
  <c r="G17" i="6"/>
  <c r="G15" i="2"/>
  <c r="G16" i="2"/>
  <c r="H16" i="2"/>
  <c r="G17" i="2"/>
  <c r="H17" i="2"/>
  <c r="F17" i="2"/>
  <c r="F15" i="2"/>
  <c r="F16" i="2"/>
  <c r="G14" i="5"/>
  <c r="H14" i="5"/>
  <c r="F14" i="5"/>
  <c r="J16" i="19"/>
  <c r="K16" i="19"/>
  <c r="J17" i="19"/>
  <c r="K17" i="19"/>
  <c r="J18" i="19"/>
  <c r="K18" i="19"/>
  <c r="J19" i="19"/>
  <c r="K19" i="19"/>
  <c r="I19" i="19"/>
  <c r="I18" i="19"/>
  <c r="I17" i="19"/>
  <c r="I16" i="19"/>
  <c r="H13" i="10"/>
  <c r="H12" i="10"/>
  <c r="H11" i="10"/>
  <c r="H10" i="10"/>
  <c r="H9" i="10"/>
  <c r="H8" i="10"/>
  <c r="H7" i="10"/>
  <c r="H6" i="10"/>
  <c r="H5" i="10"/>
  <c r="H4" i="10"/>
  <c r="H4" i="8"/>
  <c r="H13" i="8"/>
  <c r="H12" i="8"/>
  <c r="H11" i="8"/>
  <c r="H10" i="8"/>
  <c r="H9" i="8"/>
  <c r="H8" i="8"/>
  <c r="H7" i="8"/>
  <c r="H6" i="8"/>
  <c r="H5" i="8"/>
  <c r="H17" i="10"/>
  <c r="H17" i="8"/>
  <c r="G17" i="8"/>
  <c r="H14" i="6"/>
  <c r="G14" i="6"/>
  <c r="F14" i="6"/>
  <c r="H14" i="7"/>
  <c r="G14" i="7"/>
  <c r="E2" i="15"/>
  <c r="H14" i="4"/>
  <c r="G14" i="4"/>
  <c r="F14" i="4"/>
  <c r="H14" i="3"/>
  <c r="G14" i="3"/>
  <c r="F14" i="3"/>
  <c r="H14" i="2"/>
  <c r="G14" i="2"/>
  <c r="F14" i="2"/>
  <c r="I17" i="10"/>
</calcChain>
</file>

<file path=xl/connections.xml><?xml version="1.0" encoding="utf-8"?>
<connections xmlns="http://schemas.openxmlformats.org/spreadsheetml/2006/main">
  <connection id="1" keepAlive="1" name="Consulta - resultados1" description="Conexión a la consulta 'resultados1' en el libro." type="5" refreshedVersion="6" background="1" saveData="1">
    <dbPr connection="Provider=Microsoft.Mashup.OleDb.1;Data Source=$Workbook$;Location=resultados1;Extended Properties=&quot;&quot;" command="SELECT * FROM [resultados1]"/>
  </connection>
  <connection id="2" keepAlive="1" name="Consulta - T1-200-40s" description="Conexión a la consulta 'T1-200-40s' en el libro." type="5" refreshedVersion="6" background="1" saveData="1">
    <dbPr connection="Provider=Microsoft.Mashup.OleDb.1;Data Source=$Workbook$;Location=T1-200-40s;Extended Properties=&quot;&quot;" command="SELECT * FROM [T1-200-40s]"/>
  </connection>
  <connection id="3" keepAlive="1" name="Consulta - T1-80-100s" description="Conexión a la consulta 'T1-80-100s' en el libro." type="5" refreshedVersion="6" background="1" saveData="1">
    <dbPr connection="Provider=Microsoft.Mashup.OleDb.1;Data Source=$Workbook$;Location=T1-80-100s;Extended Properties=&quot;&quot;" command="SELECT * FROM [T1-80-100s]"/>
  </connection>
  <connection id="4" keepAlive="1" name="Consulta - T2-200-40s" description="Conexión a la consulta 'T2-200-40s' en el libro." type="5" refreshedVersion="6" background="1" saveData="1">
    <dbPr connection="Provider=Microsoft.Mashup.OleDb.1;Data Source=$Workbook$;Location=T2-200-40s;Extended Properties=&quot;&quot;" command="SELECT * FROM [T2-200-40s]"/>
  </connection>
  <connection id="5" keepAlive="1" name="Consulta - T2-400-20s" description="Conexión a la consulta 'T2-400-20s' en el libro." type="5" refreshedVersion="6" background="1" saveData="1">
    <dbPr connection="Provider=Microsoft.Mashup.OleDb.1;Data Source=$Workbook$;Location=T2-400-20s;Extended Properties=&quot;&quot;" command="SELECT * FROM [T2-400-20s]"/>
  </connection>
  <connection id="6" keepAlive="1" name="Consulta - T2-80-100s" description="Conexión a la consulta 'T2-80-100s' en el libro." type="5" refreshedVersion="6" background="1" saveData="1">
    <dbPr connection="Provider=Microsoft.Mashup.OleDb.1;Data Source=$Workbook$;Location=T2-80-100s;Extended Properties=&quot;&quot;" command="SELECT * FROM [T2-80-100s]"/>
  </connection>
</connections>
</file>

<file path=xl/sharedStrings.xml><?xml version="1.0" encoding="utf-8"?>
<sst xmlns="http://schemas.openxmlformats.org/spreadsheetml/2006/main" count="176" uniqueCount="42">
  <si>
    <t># Threads</t>
  </si>
  <si>
    <t>Transacciones</t>
  </si>
  <si>
    <t>Retardos (ms)</t>
  </si>
  <si>
    <t>Variables</t>
  </si>
  <si>
    <t>Número de Threads</t>
  </si>
  <si>
    <t>Número de Transacciones</t>
  </si>
  <si>
    <t>Retardo</t>
  </si>
  <si>
    <t>Tiempo de la transacción</t>
  </si>
  <si>
    <t>Exp</t>
  </si>
  <si>
    <t>Transacciones Perdidas</t>
  </si>
  <si>
    <t>% Uso CPU</t>
  </si>
  <si>
    <t>Promedio</t>
  </si>
  <si>
    <t>Carga / Cant. Transacciones</t>
  </si>
  <si>
    <t># Threads vs. Tiempo de Transacción</t>
  </si>
  <si>
    <t># Threads vs. Transacciones perdidas</t>
  </si>
  <si>
    <t>Column1</t>
  </si>
  <si>
    <t>Column2</t>
  </si>
  <si>
    <t>Column3</t>
  </si>
  <si>
    <t>Caso 1</t>
  </si>
  <si>
    <t>1 Thread</t>
  </si>
  <si>
    <t>Caso2</t>
  </si>
  <si>
    <t>2 Threads</t>
  </si>
  <si>
    <t>1</t>
  </si>
  <si>
    <t>2</t>
  </si>
  <si>
    <t>Carga / Cant. Transacciones = 200</t>
  </si>
  <si>
    <t># Threads vs. %CPU</t>
  </si>
  <si>
    <t>tiempo transaccion</t>
  </si>
  <si>
    <t>errores</t>
  </si>
  <si>
    <t>cpuload</t>
  </si>
  <si>
    <t>prueba</t>
  </si>
  <si>
    <t>promedio</t>
  </si>
  <si>
    <t>tiempo</t>
  </si>
  <si>
    <t>cpu load</t>
  </si>
  <si>
    <t>varianza</t>
  </si>
  <si>
    <t>desvEstandar</t>
  </si>
  <si>
    <t>mediana</t>
  </si>
  <si>
    <t>desviacionEsta</t>
  </si>
  <si>
    <t>desvEst</t>
  </si>
  <si>
    <t>desvEST</t>
  </si>
  <si>
    <t>Thread1</t>
  </si>
  <si>
    <t>Thread2</t>
  </si>
  <si>
    <t>Caso1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</si>
</sst>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0.000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6" borderId="0" applyNumberFormat="0" applyBorder="0" applyAlignment="0" applyProtection="0"/>
    <xf numFmtId="0" fontId="6" fillId="7" borderId="9" applyNumberFormat="0" applyAlignment="0" applyProtection="0"/>
    <xf numFmtId="0" fontId="4" fillId="8" borderId="0" applyNumberFormat="0" applyBorder="0" applyAlignment="0" applyProtection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2" xfId="0" applyFill="1" applyBorder="1"/>
    <xf numFmtId="0" fontId="0" fillId="5" borderId="1" xfId="0" applyFill="1" applyBorder="1"/>
    <xf numFmtId="0" fontId="0" fillId="0" borderId="0" xfId="0" applyBorder="1"/>
    <xf numFmtId="0" fontId="0" fillId="0" borderId="0" xfId="0" applyFill="1" applyBorder="1"/>
    <xf numFmtId="169" fontId="0" fillId="0" borderId="0" xfId="0" applyNumberFormat="1"/>
    <xf numFmtId="169" fontId="0" fillId="9" borderId="0" xfId="0" applyNumberFormat="1" applyFill="1"/>
    <xf numFmtId="0" fontId="0" fillId="9" borderId="0" xfId="0" applyFill="1"/>
    <xf numFmtId="0" fontId="0" fillId="0" borderId="11" xfId="0" applyBorder="1"/>
    <xf numFmtId="0" fontId="0" fillId="10" borderId="11" xfId="0" applyFill="1" applyBorder="1"/>
    <xf numFmtId="0" fontId="2" fillId="10" borderId="11" xfId="0" applyFont="1" applyFill="1" applyBorder="1"/>
    <xf numFmtId="0" fontId="1" fillId="10" borderId="11" xfId="0" applyFont="1" applyFill="1" applyBorder="1"/>
    <xf numFmtId="0" fontId="2" fillId="4" borderId="1" xfId="0" applyFont="1" applyFill="1" applyBorder="1"/>
    <xf numFmtId="0" fontId="1" fillId="3" borderId="7" xfId="0" applyFont="1" applyFill="1" applyBorder="1"/>
    <xf numFmtId="0" fontId="5" fillId="6" borderId="10" xfId="1" applyBorder="1"/>
    <xf numFmtId="169" fontId="5" fillId="6" borderId="10" xfId="1" applyNumberFormat="1" applyBorder="1"/>
    <xf numFmtId="0" fontId="0" fillId="11" borderId="0" xfId="0" applyFill="1" applyBorder="1"/>
    <xf numFmtId="0" fontId="4" fillId="8" borderId="11" xfId="3" applyBorder="1"/>
    <xf numFmtId="0" fontId="0" fillId="2" borderId="11" xfId="0" applyFill="1" applyBorder="1"/>
    <xf numFmtId="0" fontId="6" fillId="7" borderId="9" xfId="2"/>
  </cellXfs>
  <cellStyles count="4">
    <cellStyle name="40% - Énfasis6" xfId="3" builtinId="51"/>
    <cellStyle name="Bueno" xfId="1" builtinId="26"/>
    <cellStyle name="Normal" xfId="0" builtinId="0"/>
    <cellStyle name="Salida" xfId="2" builtinId="21"/>
  </cellStyles>
  <dxfs count="12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#Threads</a:t>
            </a:r>
            <a:r>
              <a:rPr lang="es-CO" baseline="0"/>
              <a:t> vs Tiempo de Transacción 400 transacciones cada 20ms</a:t>
            </a:r>
            <a:endParaRPr lang="es-CO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Gráfica_I!$G$3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Gráfica_I!$G$4:$G$13</c:f>
              <c:numCache>
                <c:formatCode>General</c:formatCode>
                <c:ptCount val="10"/>
                <c:pt idx="0">
                  <c:v>14.6775</c:v>
                </c:pt>
                <c:pt idx="1">
                  <c:v>12.7875</c:v>
                </c:pt>
                <c:pt idx="2">
                  <c:v>13.035</c:v>
                </c:pt>
                <c:pt idx="3">
                  <c:v>12.8225</c:v>
                </c:pt>
                <c:pt idx="4">
                  <c:v>12.8575</c:v>
                </c:pt>
                <c:pt idx="5">
                  <c:v>12.8325</c:v>
                </c:pt>
                <c:pt idx="6">
                  <c:v>15.717499999999999</c:v>
                </c:pt>
                <c:pt idx="7">
                  <c:v>12.67</c:v>
                </c:pt>
                <c:pt idx="8">
                  <c:v>12.5275</c:v>
                </c:pt>
                <c:pt idx="9">
                  <c:v>12.6625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2-445A-AB2D-75E394FD55FE}"/>
            </c:ext>
          </c:extLst>
        </c:ser>
        <c:ser>
          <c:idx val="1"/>
          <c:order val="1"/>
          <c:tx>
            <c:strRef>
              <c:f>Gráfica_I!$H$3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Gráfica_I!$H$4:$H$13</c:f>
              <c:numCache>
                <c:formatCode>General</c:formatCode>
                <c:ptCount val="10"/>
                <c:pt idx="0">
                  <c:v>4.3653429602887996</c:v>
                </c:pt>
                <c:pt idx="1">
                  <c:v>3.4079422382671405</c:v>
                </c:pt>
                <c:pt idx="2">
                  <c:v>3.5083032490974801</c:v>
                </c:pt>
                <c:pt idx="3">
                  <c:v>3.3711191335739996</c:v>
                </c:pt>
                <c:pt idx="4">
                  <c:v>3.4137184115523396</c:v>
                </c:pt>
                <c:pt idx="5">
                  <c:v>3.37039711191336</c:v>
                </c:pt>
                <c:pt idx="6">
                  <c:v>3.3429602888086598</c:v>
                </c:pt>
                <c:pt idx="7">
                  <c:v>3.4043321299638998</c:v>
                </c:pt>
                <c:pt idx="8">
                  <c:v>3.3357400722021602</c:v>
                </c:pt>
                <c:pt idx="9">
                  <c:v>3.2411552346570405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C2-445A-AB2D-75E394FD55FE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704344"/>
        <c:axId val="1013705000"/>
      </c:lineChart>
      <c:catAx>
        <c:axId val="1013704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prueba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3705000"/>
        <c:crosses val="autoZero"/>
        <c:auto val="1"/>
        <c:lblAlgn val="ctr"/>
        <c:lblOffset val="100"/>
        <c:noMultiLvlLbl val="0"/>
      </c:catAx>
      <c:valAx>
        <c:axId val="101370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</a:t>
                </a:r>
                <a:r>
                  <a:rPr lang="es-CO" baseline="0"/>
                  <a:t> de transacción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370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#</a:t>
            </a:r>
            <a:r>
              <a:rPr lang="es-CO" baseline="0"/>
              <a:t> Threads vs Tiempo promedio de Transacción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Gráfica_I!$G$16:$H$16</c:f>
              <c:strCache>
                <c:ptCount val="2"/>
                <c:pt idx="0">
                  <c:v>1 Thread</c:v>
                </c:pt>
                <c:pt idx="1">
                  <c:v>2 Threads</c:v>
                </c:pt>
              </c:strCache>
            </c:strRef>
          </c:cat>
          <c:val>
            <c:numRef>
              <c:f>Gráfica_I!$G$17:$H$17</c:f>
              <c:numCache>
                <c:formatCode>General</c:formatCode>
                <c:ptCount val="2"/>
                <c:pt idx="0">
                  <c:v>13.259</c:v>
                </c:pt>
                <c:pt idx="1">
                  <c:v>3.4761010830324879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F-4108-B4AE-5C5F7EE2E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7637152"/>
        <c:axId val="1007638464"/>
      </c:barChart>
      <c:catAx>
        <c:axId val="1007637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7638464"/>
        <c:crosses val="autoZero"/>
        <c:auto val="1"/>
        <c:lblAlgn val="ctr"/>
        <c:lblOffset val="100"/>
        <c:noMultiLvlLbl val="0"/>
      </c:catAx>
      <c:valAx>
        <c:axId val="100763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 promedio de transacción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763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# Threads vs Transacciones perdidas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Gráfica_II!$G$3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Gráfica_II!$G$4:$G$13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3-4253-B1C8-49CFF82A28AB}"/>
            </c:ext>
          </c:extLst>
        </c:ser>
        <c:ser>
          <c:idx val="1"/>
          <c:order val="1"/>
          <c:tx>
            <c:strRef>
              <c:f>Gráfica_II!$H$3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Gráfica_II!$H$4:$H$13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3-4253-B1C8-49CFF82A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168472"/>
        <c:axId val="464169784"/>
      </c:lineChart>
      <c:catAx>
        <c:axId val="464168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prueba</a:t>
                </a:r>
                <a:r>
                  <a:rPr lang="es-CO" baseline="0"/>
                  <a:t> (200 transacciones por prueba)</a:t>
                </a:r>
                <a:endParaRPr lang="es-C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4169784"/>
        <c:crosses val="autoZero"/>
        <c:auto val="1"/>
        <c:lblAlgn val="ctr"/>
        <c:lblOffset val="100"/>
        <c:noMultiLvlLbl val="0"/>
      </c:catAx>
      <c:valAx>
        <c:axId val="46416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416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#Threads vs % Uso de CPU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Gráfica_III!$H$3</c:f>
              <c:strCache>
                <c:ptCount val="1"/>
                <c:pt idx="0">
                  <c:v>1 Thread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Gráfica_III!$H$4:$H$13</c:f>
              <c:numCache>
                <c:formatCode>General</c:formatCode>
                <c:ptCount val="10"/>
                <c:pt idx="0">
                  <c:v>0.17763999999999999</c:v>
                </c:pt>
                <c:pt idx="1">
                  <c:v>0.17377000000000001</c:v>
                </c:pt>
                <c:pt idx="2">
                  <c:v>0.18483875</c:v>
                </c:pt>
                <c:pt idx="3">
                  <c:v>0.17283000000000001</c:v>
                </c:pt>
                <c:pt idx="4">
                  <c:v>0.17770374999999999</c:v>
                </c:pt>
                <c:pt idx="5">
                  <c:v>0.18353625000000001</c:v>
                </c:pt>
                <c:pt idx="6">
                  <c:v>0.25152249999999998</c:v>
                </c:pt>
                <c:pt idx="7">
                  <c:v>0.16995625</c:v>
                </c:pt>
                <c:pt idx="8">
                  <c:v>0.16948625</c:v>
                </c:pt>
                <c:pt idx="9">
                  <c:v>0.17088125000000001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3F-4C05-9516-6E62C8F04D7C}"/>
            </c:ext>
          </c:extLst>
        </c:ser>
        <c:ser>
          <c:idx val="1"/>
          <c:order val="1"/>
          <c:tx>
            <c:strRef>
              <c:f>Gráfica_III!$I$3</c:f>
              <c:strCache>
                <c:ptCount val="1"/>
                <c:pt idx="0">
                  <c:v>2 Threads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Gráfica_III!$I$4:$I$13</c:f>
              <c:numCache>
                <c:formatCode>General</c:formatCode>
                <c:ptCount val="10"/>
                <c:pt idx="0">
                  <c:v>0.52603610108303245</c:v>
                </c:pt>
                <c:pt idx="1">
                  <c:v>0.52604693140794223</c:v>
                </c:pt>
                <c:pt idx="2">
                  <c:v>0.53657761732851983</c:v>
                </c:pt>
                <c:pt idx="3">
                  <c:v>0.51390974729241878</c:v>
                </c:pt>
                <c:pt idx="4">
                  <c:v>0.51255595667870035</c:v>
                </c:pt>
                <c:pt idx="5">
                  <c:v>0.49715162454873646</c:v>
                </c:pt>
                <c:pt idx="6">
                  <c:v>0.49325270758122741</c:v>
                </c:pt>
                <c:pt idx="7">
                  <c:v>0.52754873646209388</c:v>
                </c:pt>
                <c:pt idx="8">
                  <c:v>0.47537545126353792</c:v>
                </c:pt>
                <c:pt idx="9">
                  <c:v>0.48776895306859208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3F-4C05-9516-6E62C8F04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810816"/>
        <c:axId val="1005809176"/>
      </c:lineChart>
      <c:catAx>
        <c:axId val="1005810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prueba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5809176"/>
        <c:crosses val="autoZero"/>
        <c:auto val="1"/>
        <c:lblAlgn val="ctr"/>
        <c:lblOffset val="100"/>
        <c:noMultiLvlLbl val="0"/>
      </c:catAx>
      <c:valAx>
        <c:axId val="100580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</a:t>
                </a:r>
                <a:r>
                  <a:rPr lang="es-CO" baseline="0"/>
                  <a:t> Uso de CPU</a:t>
                </a:r>
                <a:endParaRPr lang="es-C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581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0" i="0" baseline="0">
                <a:effectLst/>
              </a:rPr>
              <a:t>#Threads vs % Uso de CPU</a:t>
            </a:r>
            <a:endParaRPr lang="es-CO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Gráfica_III!$H$16:$I$16</c:f>
              <c:strCache>
                <c:ptCount val="2"/>
                <c:pt idx="0">
                  <c:v>1 Thread</c:v>
                </c:pt>
                <c:pt idx="1">
                  <c:v>2 Threads</c:v>
                </c:pt>
              </c:strCache>
            </c:strRef>
          </c:cat>
          <c:val>
            <c:numRef>
              <c:f>Gráfica_III!$H$17:$I$17</c:f>
              <c:numCache>
                <c:formatCode>General</c:formatCode>
                <c:ptCount val="2"/>
                <c:pt idx="0">
                  <c:v>0.1832165</c:v>
                </c:pt>
                <c:pt idx="1">
                  <c:v>0.50962238267148019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7-4A63-A33E-4E6E2C56C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15853400"/>
        <c:axId val="1100799248"/>
      </c:barChart>
      <c:catAx>
        <c:axId val="1015853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00799248"/>
        <c:crosses val="autoZero"/>
        <c:auto val="1"/>
        <c:lblAlgn val="ctr"/>
        <c:lblOffset val="100"/>
        <c:noMultiLvlLbl val="0"/>
      </c:catAx>
      <c:valAx>
        <c:axId val="110079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 de Ejecución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585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9525</xdr:rowOff>
        </xdr:from>
        <xdr:to>
          <xdr:col>2</xdr:col>
          <xdr:colOff>657225</xdr:colOff>
          <xdr:row>14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21</xdr:row>
      <xdr:rowOff>60960</xdr:rowOff>
    </xdr:from>
    <xdr:to>
      <xdr:col>5</xdr:col>
      <xdr:colOff>411480</xdr:colOff>
      <xdr:row>38</xdr:row>
      <xdr:rowOff>167640</xdr:rowOff>
    </xdr:to>
    <xdr:graphicFrame macro="">
      <xdr:nvGraphicFramePr>
        <xdr:cNvPr id="3" name="Gráfico 2" title="asdf">
          <a:extLst>
            <a:ext uri="{FF2B5EF4-FFF2-40B4-BE49-F238E27FC236}">
              <a16:creationId xmlns:a16="http://schemas.microsoft.com/office/drawing/2014/main" id="{7186F692-5581-47E2-8B0D-B341443E4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358140</xdr:colOff>
      <xdr:row>3</xdr:row>
      <xdr:rowOff>125730</xdr:rowOff>
    </xdr:from>
    <xdr:to>
      <xdr:col>5</xdr:col>
      <xdr:colOff>403860</xdr:colOff>
      <xdr:row>21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674D14-D7B7-437E-9517-F887F3CD5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3</xdr:row>
      <xdr:rowOff>118110</xdr:rowOff>
    </xdr:from>
    <xdr:to>
      <xdr:col>5</xdr:col>
      <xdr:colOff>381000</xdr:colOff>
      <xdr:row>24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6E4108-C914-4C9C-943B-DFDEC3FA8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3</xdr:row>
      <xdr:rowOff>87630</xdr:rowOff>
    </xdr:from>
    <xdr:to>
      <xdr:col>5</xdr:col>
      <xdr:colOff>624840</xdr:colOff>
      <xdr:row>22</xdr:row>
      <xdr:rowOff>160020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84B782-4436-45AE-82E8-68DE7B40A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632460</xdr:colOff>
      <xdr:row>23</xdr:row>
      <xdr:rowOff>140970</xdr:rowOff>
    </xdr:from>
    <xdr:to>
      <xdr:col>5</xdr:col>
      <xdr:colOff>678180</xdr:colOff>
      <xdr:row>39</xdr:row>
      <xdr:rowOff>175260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4337E7-2030-4BC1-B42C-14D3B64CD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16" applyNumberFormats="0" applyBorderFormats="0" applyFontFormats="0" applyPatternFormats="0" applyAlignmentFormats="0" applyWidthHeightFormats="0">
  <queryTableRefresh nextId="5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name="DatosExternos_1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3.xml><?xml version="1.0" encoding="utf-8"?>
<queryTable xmlns="http://schemas.openxmlformats.org/spreadsheetml/2006/main" name="DatosExternos_1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4.xml><?xml version="1.0" encoding="utf-8"?>
<queryTable xmlns="http://schemas.openxmlformats.org/spreadsheetml/2006/main" name="DatosExternos_1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5.xml><?xml version="1.0" encoding="utf-8"?>
<queryTable xmlns="http://schemas.openxmlformats.org/spreadsheetml/2006/main" name="DatosExternos_1" connectionId="4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6.xml><?xml version="1.0" encoding="utf-8"?>
<queryTable xmlns="http://schemas.openxmlformats.org/spreadsheetml/2006/main" name="DatosExternos_2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resultados1" displayName="resultados1" ref="A1:C4001" tableType="queryTable" totalsRowShown="0">
  <autoFilter ref="A1:C4001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1_200_40s" displayName="T1_200_40s" ref="A1:C2001" tableType="queryTable" totalsRowShown="0">
  <autoFilter ref="A1:C2001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1_80_100s" displayName="T1_80_100s" ref="A1:C801" tableType="queryTable" totalsRowShown="0">
  <autoFilter ref="A1:C801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2_400_20s" displayName="T2_400_20s" ref="A1:C2775" tableType="queryTable" totalsRowShown="0">
  <autoFilter ref="A1:C2775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2_200_40s" displayName="T2_200_40s" ref="A1:C2001" tableType="queryTable" totalsRowShown="0">
  <autoFilter ref="A1:C2001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2_80_100s" displayName="T2_80_100s" ref="A1:C801" tableType="queryTable" totalsRowShown="0">
  <autoFilter ref="A1:C801"/>
  <tableColumns count="3">
    <tableColumn id="1" uniqueName="1" name="Column1" queryTableFieldId="1"/>
    <tableColumn id="2" uniqueName="2" name="Column2" queryTableFieldId="2"/>
    <tableColumn id="3" uniqueName="3" name="Column3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8" name="Tabla8" displayName="Tabla8" ref="G3:H13" totalsRowShown="0" dataDxfId="11" tableBorderDxfId="10">
  <autoFilter ref="G3:H13"/>
  <tableColumns count="2">
    <tableColumn id="1" name="1" dataDxfId="9"/>
    <tableColumn id="2" name="2" dataDxfId="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a10" displayName="Tabla10" ref="G16:H17" totalsRowShown="0" tableBorderDxfId="7">
  <autoFilter ref="G16:H17"/>
  <tableColumns count="2">
    <tableColumn id="1" name="1 Thread">
      <calculatedColumnFormula>AVERAGE(Tabla8[1])</calculatedColumnFormula>
    </tableColumn>
    <tableColumn id="2" name="2 Threads">
      <calculatedColumnFormula>AVERAGE(Tabla8[2])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a11" displayName="Tabla11" ref="G3:H13" totalsRowShown="0" dataDxfId="6" tableBorderDxfId="5">
  <autoFilter ref="G3:H13"/>
  <tableColumns count="2">
    <tableColumn id="1" name="1" dataDxfId="4"/>
    <tableColumn id="2" name="2" dataDxfId="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abla12" displayName="Tabla12" ref="H3:I13" totalsRowShown="0" tableBorderDxfId="2">
  <autoFilter ref="H3:I13"/>
  <tableColumns count="2">
    <tableColumn id="1" name="1 Thread" dataDxfId="1"/>
    <tableColumn id="2" name="2 Threads" dataDxfId="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Tabla13" displayName="Tabla13" ref="H16:I17" totalsRowShown="0">
  <autoFilter ref="H16:I17"/>
  <tableColumns count="2">
    <tableColumn id="1" name="1 Thread">
      <calculatedColumnFormula>AVERAGE(Tabla12[1 Thread])</calculatedColumnFormula>
    </tableColumn>
    <tableColumn id="2" name="2 Threads">
      <calculatedColumnFormula>AVERAGE(Tabla12[2 Threads])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C10"/>
  <sheetViews>
    <sheetView workbookViewId="0">
      <selection activeCell="B26" sqref="B26"/>
    </sheetView>
  </sheetViews>
  <sheetFormatPr baseColWidth="10" defaultRowHeight="15" x14ac:dyDescent="0.25"/>
  <sheetData>
    <row r="2" spans="1:3" x14ac:dyDescent="0.25">
      <c r="B2" t="s">
        <v>3</v>
      </c>
    </row>
    <row r="4" spans="1:3" x14ac:dyDescent="0.25">
      <c r="B4" t="s">
        <v>0</v>
      </c>
    </row>
    <row r="5" spans="1:3" x14ac:dyDescent="0.25">
      <c r="A5">
        <v>1</v>
      </c>
      <c r="B5">
        <v>1</v>
      </c>
    </row>
    <row r="6" spans="1:3" x14ac:dyDescent="0.25">
      <c r="A6">
        <v>2</v>
      </c>
      <c r="B6">
        <v>2</v>
      </c>
    </row>
    <row r="7" spans="1:3" x14ac:dyDescent="0.25">
      <c r="B7" t="s">
        <v>1</v>
      </c>
      <c r="C7" t="s">
        <v>2</v>
      </c>
    </row>
    <row r="8" spans="1:3" x14ac:dyDescent="0.25">
      <c r="A8">
        <v>1</v>
      </c>
      <c r="B8">
        <v>400</v>
      </c>
      <c r="C8">
        <v>20</v>
      </c>
    </row>
    <row r="9" spans="1:3" x14ac:dyDescent="0.25">
      <c r="A9">
        <v>2</v>
      </c>
      <c r="B9">
        <v>200</v>
      </c>
      <c r="C9">
        <v>40</v>
      </c>
    </row>
    <row r="10" spans="1:3" x14ac:dyDescent="0.25">
      <c r="A10">
        <v>3</v>
      </c>
      <c r="B10">
        <v>80</v>
      </c>
      <c r="C10">
        <v>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Datos">
                <anchor mov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2</xdr:col>
                    <xdr:colOff>657225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H17"/>
  <sheetViews>
    <sheetView tabSelected="1" workbookViewId="0">
      <selection activeCell="K16" sqref="K16"/>
    </sheetView>
  </sheetViews>
  <sheetFormatPr baseColWidth="10" defaultRowHeight="15" x14ac:dyDescent="0.25"/>
  <cols>
    <col min="2" max="2" width="24" bestFit="1" customWidth="1"/>
    <col min="6" max="6" width="23.140625" bestFit="1" customWidth="1"/>
    <col min="7" max="7" width="21.7109375" bestFit="1" customWidth="1"/>
    <col min="13" max="13" width="4.140625" customWidth="1"/>
    <col min="14" max="14" width="2.140625" customWidth="1"/>
    <col min="15" max="15" width="5.140625" customWidth="1"/>
  </cols>
  <sheetData>
    <row r="1" spans="2:8" ht="15.75" thickBot="1" x14ac:dyDescent="0.3"/>
    <row r="2" spans="2:8" x14ac:dyDescent="0.25">
      <c r="B2" s="1" t="s">
        <v>4</v>
      </c>
      <c r="C2" s="2">
        <v>1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400</v>
      </c>
      <c r="E3" s="11">
        <v>1</v>
      </c>
      <c r="F3" s="7">
        <v>14.6775</v>
      </c>
      <c r="G3" s="7">
        <v>0</v>
      </c>
      <c r="H3" s="8">
        <v>0.35527999999999998</v>
      </c>
    </row>
    <row r="4" spans="2:8" ht="15.75" thickBot="1" x14ac:dyDescent="0.3">
      <c r="B4" s="5" t="s">
        <v>6</v>
      </c>
      <c r="C4" s="6">
        <v>20</v>
      </c>
      <c r="E4" s="11">
        <v>2</v>
      </c>
      <c r="F4" s="7">
        <v>12.7875</v>
      </c>
      <c r="G4" s="7">
        <v>0</v>
      </c>
      <c r="H4" s="8">
        <v>0.34754000000000002</v>
      </c>
    </row>
    <row r="5" spans="2:8" x14ac:dyDescent="0.25">
      <c r="E5" s="11">
        <v>3</v>
      </c>
      <c r="F5" s="7">
        <v>13.035</v>
      </c>
      <c r="G5" s="7">
        <v>0</v>
      </c>
      <c r="H5" s="8">
        <v>0.36967749999999999</v>
      </c>
    </row>
    <row r="6" spans="2:8" x14ac:dyDescent="0.25">
      <c r="E6" s="11">
        <v>4</v>
      </c>
      <c r="F6" s="7">
        <v>12.8225</v>
      </c>
      <c r="G6" s="7">
        <v>0</v>
      </c>
      <c r="H6" s="8">
        <v>0.34566000000000002</v>
      </c>
    </row>
    <row r="7" spans="2:8" x14ac:dyDescent="0.25">
      <c r="E7" s="11">
        <v>5</v>
      </c>
      <c r="F7" s="7">
        <v>12.8575</v>
      </c>
      <c r="G7" s="7">
        <v>0</v>
      </c>
      <c r="H7" s="8">
        <v>0.35540750000000004</v>
      </c>
    </row>
    <row r="8" spans="2:8" x14ac:dyDescent="0.25">
      <c r="E8" s="11">
        <v>6</v>
      </c>
      <c r="F8" s="7">
        <v>12.8325</v>
      </c>
      <c r="G8" s="7">
        <v>0</v>
      </c>
      <c r="H8" s="8">
        <v>0.36707249999999997</v>
      </c>
    </row>
    <row r="9" spans="2:8" x14ac:dyDescent="0.25">
      <c r="E9" s="11">
        <v>7</v>
      </c>
      <c r="F9" s="7">
        <v>15.717499999999999</v>
      </c>
      <c r="G9" s="7">
        <v>0</v>
      </c>
      <c r="H9" s="8">
        <v>0.50304499999999996</v>
      </c>
    </row>
    <row r="10" spans="2:8" x14ac:dyDescent="0.25">
      <c r="E10" s="11">
        <v>8</v>
      </c>
      <c r="F10" s="7">
        <v>12.67</v>
      </c>
      <c r="G10" s="7">
        <v>0</v>
      </c>
      <c r="H10" s="8">
        <v>0.33991250000000001</v>
      </c>
    </row>
    <row r="11" spans="2:8" x14ac:dyDescent="0.25">
      <c r="E11" s="11">
        <v>9</v>
      </c>
      <c r="F11" s="7">
        <v>12.5275</v>
      </c>
      <c r="G11" s="7">
        <v>0</v>
      </c>
      <c r="H11" s="8">
        <v>0.33897250000000001</v>
      </c>
    </row>
    <row r="12" spans="2:8" ht="15.75" thickBot="1" x14ac:dyDescent="0.3">
      <c r="E12" s="12">
        <v>10</v>
      </c>
      <c r="F12" s="9">
        <v>12.6625</v>
      </c>
      <c r="G12" s="9">
        <v>0</v>
      </c>
      <c r="H12" s="10">
        <v>0.34176249999999997</v>
      </c>
    </row>
    <row r="13" spans="2:8" ht="15.75" thickBot="1" x14ac:dyDescent="0.3"/>
    <row r="14" spans="2:8" x14ac:dyDescent="0.25">
      <c r="E14" s="25" t="s">
        <v>11</v>
      </c>
      <c r="F14" s="26">
        <f>AVERAGE(F3:F12)</f>
        <v>13.259</v>
      </c>
      <c r="G14" s="26">
        <f t="shared" ref="G14:H14" si="0">AVERAGE(G3:G12)</f>
        <v>0</v>
      </c>
      <c r="H14" s="26">
        <f t="shared" si="0"/>
        <v>0.36643299999999995</v>
      </c>
    </row>
    <row r="15" spans="2:8" x14ac:dyDescent="0.25">
      <c r="E15" s="22" t="s">
        <v>33</v>
      </c>
      <c r="F15" s="22">
        <f>_xlfn.VAR.S(resultados1[Column1])</f>
        <v>85.836378094523624</v>
      </c>
      <c r="G15" s="22">
        <f>_xlfn.VAR.S(resultados1[Column2])</f>
        <v>0</v>
      </c>
      <c r="H15" s="22">
        <f>_xlfn.VAR.S(resultados1[Column3])*0.00001</f>
        <v>8.3411407961990577E-2</v>
      </c>
    </row>
    <row r="16" spans="2:8" x14ac:dyDescent="0.25">
      <c r="E16" s="22" t="s">
        <v>38</v>
      </c>
      <c r="F16" s="22">
        <f>SQRT(F15)</f>
        <v>9.2647923934928844</v>
      </c>
      <c r="G16" s="22">
        <f t="shared" ref="G16:H16" si="1">SQRT(G15)</f>
        <v>0</v>
      </c>
      <c r="H16" s="22">
        <f t="shared" si="1"/>
        <v>0.28881033215934393</v>
      </c>
    </row>
    <row r="17" spans="5:8" x14ac:dyDescent="0.25">
      <c r="E17" s="22" t="s">
        <v>35</v>
      </c>
      <c r="F17" s="22">
        <f>MEDIAN(resultados1[Column1])</f>
        <v>12</v>
      </c>
      <c r="G17" s="22">
        <f>MEDIAN(resultados1[Column2])</f>
        <v>0</v>
      </c>
      <c r="H17" s="22">
        <f>MEDIAN(resultados1[Column3])</f>
        <v>351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4001"/>
  <sheetViews>
    <sheetView topLeftCell="A3964" workbookViewId="0">
      <selection activeCell="A2" sqref="A2"/>
    </sheetView>
  </sheetViews>
  <sheetFormatPr baseColWidth="10" defaultRowHeight="15" x14ac:dyDescent="0.25"/>
  <cols>
    <col min="1" max="3" width="10.710937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>
        <v>564</v>
      </c>
      <c r="B2">
        <v>0</v>
      </c>
      <c r="C2">
        <v>0</v>
      </c>
    </row>
    <row r="3" spans="1:3" x14ac:dyDescent="0.25">
      <c r="A3">
        <v>14</v>
      </c>
      <c r="B3">
        <v>0</v>
      </c>
      <c r="C3">
        <v>0</v>
      </c>
    </row>
    <row r="4" spans="1:3" x14ac:dyDescent="0.25">
      <c r="A4">
        <v>15</v>
      </c>
      <c r="B4">
        <v>0</v>
      </c>
      <c r="C4">
        <v>0</v>
      </c>
    </row>
    <row r="5" spans="1:3" x14ac:dyDescent="0.25">
      <c r="A5">
        <v>15</v>
      </c>
      <c r="B5">
        <v>0</v>
      </c>
      <c r="C5">
        <v>0</v>
      </c>
    </row>
    <row r="6" spans="1:3" x14ac:dyDescent="0.25">
      <c r="A6">
        <v>14</v>
      </c>
      <c r="B6">
        <v>0</v>
      </c>
      <c r="C6">
        <v>0</v>
      </c>
    </row>
    <row r="7" spans="1:3" x14ac:dyDescent="0.25">
      <c r="A7">
        <v>14</v>
      </c>
      <c r="B7">
        <v>0</v>
      </c>
      <c r="C7">
        <v>0</v>
      </c>
    </row>
    <row r="8" spans="1:3" x14ac:dyDescent="0.25">
      <c r="A8">
        <v>14</v>
      </c>
      <c r="B8">
        <v>0</v>
      </c>
      <c r="C8">
        <v>0</v>
      </c>
    </row>
    <row r="9" spans="1:3" x14ac:dyDescent="0.25">
      <c r="A9">
        <v>14</v>
      </c>
      <c r="B9">
        <v>0</v>
      </c>
      <c r="C9">
        <v>0</v>
      </c>
    </row>
    <row r="10" spans="1:3" x14ac:dyDescent="0.25">
      <c r="A10">
        <v>15</v>
      </c>
      <c r="B10">
        <v>0</v>
      </c>
      <c r="C10">
        <v>409</v>
      </c>
    </row>
    <row r="11" spans="1:3" x14ac:dyDescent="0.25">
      <c r="A11">
        <v>16</v>
      </c>
      <c r="B11">
        <v>0</v>
      </c>
      <c r="C11">
        <v>409</v>
      </c>
    </row>
    <row r="12" spans="1:3" x14ac:dyDescent="0.25">
      <c r="A12">
        <v>14</v>
      </c>
      <c r="B12">
        <v>0</v>
      </c>
      <c r="C12">
        <v>409</v>
      </c>
    </row>
    <row r="13" spans="1:3" x14ac:dyDescent="0.25">
      <c r="A13">
        <v>13</v>
      </c>
      <c r="B13">
        <v>0</v>
      </c>
      <c r="C13">
        <v>409</v>
      </c>
    </row>
    <row r="14" spans="1:3" x14ac:dyDescent="0.25">
      <c r="A14">
        <v>15</v>
      </c>
      <c r="B14">
        <v>0</v>
      </c>
      <c r="C14">
        <v>409</v>
      </c>
    </row>
    <row r="15" spans="1:3" x14ac:dyDescent="0.25">
      <c r="A15">
        <v>14</v>
      </c>
      <c r="B15">
        <v>0</v>
      </c>
      <c r="C15">
        <v>409</v>
      </c>
    </row>
    <row r="16" spans="1:3" x14ac:dyDescent="0.25">
      <c r="A16">
        <v>12</v>
      </c>
      <c r="B16">
        <v>0</v>
      </c>
      <c r="C16">
        <v>409</v>
      </c>
    </row>
    <row r="17" spans="1:3" x14ac:dyDescent="0.25">
      <c r="A17">
        <v>15</v>
      </c>
      <c r="B17">
        <v>0</v>
      </c>
      <c r="C17">
        <v>409</v>
      </c>
    </row>
    <row r="18" spans="1:3" x14ac:dyDescent="0.25">
      <c r="A18">
        <v>16</v>
      </c>
      <c r="B18">
        <v>0</v>
      </c>
      <c r="C18">
        <v>371</v>
      </c>
    </row>
    <row r="19" spans="1:3" x14ac:dyDescent="0.25">
      <c r="A19">
        <v>13</v>
      </c>
      <c r="B19">
        <v>0</v>
      </c>
      <c r="C19">
        <v>371</v>
      </c>
    </row>
    <row r="20" spans="1:3" x14ac:dyDescent="0.25">
      <c r="A20">
        <v>12</v>
      </c>
      <c r="B20">
        <v>0</v>
      </c>
      <c r="C20">
        <v>371</v>
      </c>
    </row>
    <row r="21" spans="1:3" x14ac:dyDescent="0.25">
      <c r="A21">
        <v>14</v>
      </c>
      <c r="B21">
        <v>0</v>
      </c>
      <c r="C21">
        <v>371</v>
      </c>
    </row>
    <row r="22" spans="1:3" x14ac:dyDescent="0.25">
      <c r="A22">
        <v>14</v>
      </c>
      <c r="B22">
        <v>0</v>
      </c>
      <c r="C22">
        <v>371</v>
      </c>
    </row>
    <row r="23" spans="1:3" x14ac:dyDescent="0.25">
      <c r="A23">
        <v>13</v>
      </c>
      <c r="B23">
        <v>0</v>
      </c>
      <c r="C23">
        <v>371</v>
      </c>
    </row>
    <row r="24" spans="1:3" x14ac:dyDescent="0.25">
      <c r="A24">
        <v>14</v>
      </c>
      <c r="B24">
        <v>0</v>
      </c>
      <c r="C24">
        <v>371</v>
      </c>
    </row>
    <row r="25" spans="1:3" x14ac:dyDescent="0.25">
      <c r="A25">
        <v>12</v>
      </c>
      <c r="B25">
        <v>0</v>
      </c>
      <c r="C25">
        <v>371</v>
      </c>
    </row>
    <row r="26" spans="1:3" x14ac:dyDescent="0.25">
      <c r="A26">
        <v>14</v>
      </c>
      <c r="B26">
        <v>0</v>
      </c>
      <c r="C26">
        <v>329</v>
      </c>
    </row>
    <row r="27" spans="1:3" x14ac:dyDescent="0.25">
      <c r="A27">
        <v>14</v>
      </c>
      <c r="B27">
        <v>0</v>
      </c>
      <c r="C27">
        <v>329</v>
      </c>
    </row>
    <row r="28" spans="1:3" x14ac:dyDescent="0.25">
      <c r="A28">
        <v>14</v>
      </c>
      <c r="B28">
        <v>0</v>
      </c>
      <c r="C28">
        <v>329</v>
      </c>
    </row>
    <row r="29" spans="1:3" x14ac:dyDescent="0.25">
      <c r="A29">
        <v>15</v>
      </c>
      <c r="B29">
        <v>0</v>
      </c>
      <c r="C29">
        <v>329</v>
      </c>
    </row>
    <row r="30" spans="1:3" x14ac:dyDescent="0.25">
      <c r="A30">
        <v>13</v>
      </c>
      <c r="B30">
        <v>0</v>
      </c>
      <c r="C30">
        <v>329</v>
      </c>
    </row>
    <row r="31" spans="1:3" x14ac:dyDescent="0.25">
      <c r="A31">
        <v>12</v>
      </c>
      <c r="B31">
        <v>0</v>
      </c>
      <c r="C31">
        <v>329</v>
      </c>
    </row>
    <row r="32" spans="1:3" x14ac:dyDescent="0.25">
      <c r="A32">
        <v>14</v>
      </c>
      <c r="B32">
        <v>0</v>
      </c>
      <c r="C32">
        <v>329</v>
      </c>
    </row>
    <row r="33" spans="1:3" x14ac:dyDescent="0.25">
      <c r="A33">
        <v>14</v>
      </c>
      <c r="B33">
        <v>0</v>
      </c>
      <c r="C33">
        <v>433</v>
      </c>
    </row>
    <row r="34" spans="1:3" x14ac:dyDescent="0.25">
      <c r="A34">
        <v>13</v>
      </c>
      <c r="B34">
        <v>0</v>
      </c>
      <c r="C34">
        <v>433</v>
      </c>
    </row>
    <row r="35" spans="1:3" x14ac:dyDescent="0.25">
      <c r="A35">
        <v>14</v>
      </c>
      <c r="B35">
        <v>0</v>
      </c>
      <c r="C35">
        <v>433</v>
      </c>
    </row>
    <row r="36" spans="1:3" x14ac:dyDescent="0.25">
      <c r="A36">
        <v>16</v>
      </c>
      <c r="B36">
        <v>0</v>
      </c>
      <c r="C36">
        <v>433</v>
      </c>
    </row>
    <row r="37" spans="1:3" x14ac:dyDescent="0.25">
      <c r="A37">
        <v>14</v>
      </c>
      <c r="B37">
        <v>0</v>
      </c>
      <c r="C37">
        <v>433</v>
      </c>
    </row>
    <row r="38" spans="1:3" x14ac:dyDescent="0.25">
      <c r="A38">
        <v>17</v>
      </c>
      <c r="B38">
        <v>0</v>
      </c>
      <c r="C38">
        <v>433</v>
      </c>
    </row>
    <row r="39" spans="1:3" x14ac:dyDescent="0.25">
      <c r="A39">
        <v>15</v>
      </c>
      <c r="B39">
        <v>0</v>
      </c>
      <c r="C39">
        <v>433</v>
      </c>
    </row>
    <row r="40" spans="1:3" x14ac:dyDescent="0.25">
      <c r="A40">
        <v>13</v>
      </c>
      <c r="B40">
        <v>0</v>
      </c>
      <c r="C40">
        <v>344</v>
      </c>
    </row>
    <row r="41" spans="1:3" x14ac:dyDescent="0.25">
      <c r="A41">
        <v>12</v>
      </c>
      <c r="B41">
        <v>0</v>
      </c>
      <c r="C41">
        <v>344</v>
      </c>
    </row>
    <row r="42" spans="1:3" x14ac:dyDescent="0.25">
      <c r="A42">
        <v>14</v>
      </c>
      <c r="B42">
        <v>0</v>
      </c>
      <c r="C42">
        <v>344</v>
      </c>
    </row>
    <row r="43" spans="1:3" x14ac:dyDescent="0.25">
      <c r="A43">
        <v>15</v>
      </c>
      <c r="B43">
        <v>0</v>
      </c>
      <c r="C43">
        <v>344</v>
      </c>
    </row>
    <row r="44" spans="1:3" x14ac:dyDescent="0.25">
      <c r="A44">
        <v>15</v>
      </c>
      <c r="B44">
        <v>0</v>
      </c>
      <c r="C44">
        <v>344</v>
      </c>
    </row>
    <row r="45" spans="1:3" x14ac:dyDescent="0.25">
      <c r="A45">
        <v>13</v>
      </c>
      <c r="B45">
        <v>0</v>
      </c>
      <c r="C45">
        <v>344</v>
      </c>
    </row>
    <row r="46" spans="1:3" x14ac:dyDescent="0.25">
      <c r="A46">
        <v>13</v>
      </c>
      <c r="B46">
        <v>0</v>
      </c>
      <c r="C46">
        <v>344</v>
      </c>
    </row>
    <row r="47" spans="1:3" x14ac:dyDescent="0.25">
      <c r="A47">
        <v>13</v>
      </c>
      <c r="B47">
        <v>0</v>
      </c>
      <c r="C47">
        <v>428</v>
      </c>
    </row>
    <row r="48" spans="1:3" x14ac:dyDescent="0.25">
      <c r="A48">
        <v>14</v>
      </c>
      <c r="B48">
        <v>0</v>
      </c>
      <c r="C48">
        <v>428</v>
      </c>
    </row>
    <row r="49" spans="1:3" x14ac:dyDescent="0.25">
      <c r="A49">
        <v>13</v>
      </c>
      <c r="B49">
        <v>0</v>
      </c>
      <c r="C49">
        <v>428</v>
      </c>
    </row>
    <row r="50" spans="1:3" x14ac:dyDescent="0.25">
      <c r="A50">
        <v>12</v>
      </c>
      <c r="B50">
        <v>0</v>
      </c>
      <c r="C50">
        <v>428</v>
      </c>
    </row>
    <row r="51" spans="1:3" x14ac:dyDescent="0.25">
      <c r="A51">
        <v>14</v>
      </c>
      <c r="B51">
        <v>0</v>
      </c>
      <c r="C51">
        <v>428</v>
      </c>
    </row>
    <row r="52" spans="1:3" x14ac:dyDescent="0.25">
      <c r="A52">
        <v>13</v>
      </c>
      <c r="B52">
        <v>0</v>
      </c>
      <c r="C52">
        <v>428</v>
      </c>
    </row>
    <row r="53" spans="1:3" x14ac:dyDescent="0.25">
      <c r="A53">
        <v>13</v>
      </c>
      <c r="B53">
        <v>0</v>
      </c>
      <c r="C53">
        <v>428</v>
      </c>
    </row>
    <row r="54" spans="1:3" x14ac:dyDescent="0.25">
      <c r="A54">
        <v>13</v>
      </c>
      <c r="B54">
        <v>0</v>
      </c>
      <c r="C54">
        <v>343</v>
      </c>
    </row>
    <row r="55" spans="1:3" x14ac:dyDescent="0.25">
      <c r="A55">
        <v>14</v>
      </c>
      <c r="B55">
        <v>0</v>
      </c>
      <c r="C55">
        <v>343</v>
      </c>
    </row>
    <row r="56" spans="1:3" x14ac:dyDescent="0.25">
      <c r="A56">
        <v>13</v>
      </c>
      <c r="B56">
        <v>0</v>
      </c>
      <c r="C56">
        <v>343</v>
      </c>
    </row>
    <row r="57" spans="1:3" x14ac:dyDescent="0.25">
      <c r="A57">
        <v>13</v>
      </c>
      <c r="B57">
        <v>0</v>
      </c>
      <c r="C57">
        <v>343</v>
      </c>
    </row>
    <row r="58" spans="1:3" x14ac:dyDescent="0.25">
      <c r="A58">
        <v>12</v>
      </c>
      <c r="B58">
        <v>0</v>
      </c>
      <c r="C58">
        <v>343</v>
      </c>
    </row>
    <row r="59" spans="1:3" x14ac:dyDescent="0.25">
      <c r="A59">
        <v>14</v>
      </c>
      <c r="B59">
        <v>0</v>
      </c>
      <c r="C59">
        <v>343</v>
      </c>
    </row>
    <row r="60" spans="1:3" x14ac:dyDescent="0.25">
      <c r="A60">
        <v>15</v>
      </c>
      <c r="B60">
        <v>0</v>
      </c>
      <c r="C60">
        <v>343</v>
      </c>
    </row>
    <row r="61" spans="1:3" x14ac:dyDescent="0.25">
      <c r="A61">
        <v>12</v>
      </c>
      <c r="B61">
        <v>0</v>
      </c>
      <c r="C61">
        <v>390</v>
      </c>
    </row>
    <row r="62" spans="1:3" x14ac:dyDescent="0.25">
      <c r="A62">
        <v>12</v>
      </c>
      <c r="B62">
        <v>0</v>
      </c>
      <c r="C62">
        <v>390</v>
      </c>
    </row>
    <row r="63" spans="1:3" x14ac:dyDescent="0.25">
      <c r="A63">
        <v>44</v>
      </c>
      <c r="B63">
        <v>0</v>
      </c>
      <c r="C63">
        <v>390</v>
      </c>
    </row>
    <row r="64" spans="1:3" x14ac:dyDescent="0.25">
      <c r="A64">
        <v>14</v>
      </c>
      <c r="B64">
        <v>0</v>
      </c>
      <c r="C64">
        <v>390</v>
      </c>
    </row>
    <row r="65" spans="1:3" x14ac:dyDescent="0.25">
      <c r="A65">
        <v>17</v>
      </c>
      <c r="B65">
        <v>0</v>
      </c>
      <c r="C65">
        <v>390</v>
      </c>
    </row>
    <row r="66" spans="1:3" x14ac:dyDescent="0.25">
      <c r="A66">
        <v>13</v>
      </c>
      <c r="B66">
        <v>0</v>
      </c>
      <c r="C66">
        <v>390</v>
      </c>
    </row>
    <row r="67" spans="1:3" x14ac:dyDescent="0.25">
      <c r="A67">
        <v>12</v>
      </c>
      <c r="B67">
        <v>0</v>
      </c>
      <c r="C67">
        <v>390</v>
      </c>
    </row>
    <row r="68" spans="1:3" x14ac:dyDescent="0.25">
      <c r="A68">
        <v>14</v>
      </c>
      <c r="B68">
        <v>0</v>
      </c>
      <c r="C68">
        <v>389</v>
      </c>
    </row>
    <row r="69" spans="1:3" x14ac:dyDescent="0.25">
      <c r="A69">
        <v>13</v>
      </c>
      <c r="B69">
        <v>0</v>
      </c>
      <c r="C69">
        <v>389</v>
      </c>
    </row>
    <row r="70" spans="1:3" x14ac:dyDescent="0.25">
      <c r="A70">
        <v>14</v>
      </c>
      <c r="B70">
        <v>0</v>
      </c>
      <c r="C70">
        <v>389</v>
      </c>
    </row>
    <row r="71" spans="1:3" x14ac:dyDescent="0.25">
      <c r="A71">
        <v>16</v>
      </c>
      <c r="B71">
        <v>0</v>
      </c>
      <c r="C71">
        <v>389</v>
      </c>
    </row>
    <row r="72" spans="1:3" x14ac:dyDescent="0.25">
      <c r="A72">
        <v>13</v>
      </c>
      <c r="B72">
        <v>0</v>
      </c>
      <c r="C72">
        <v>389</v>
      </c>
    </row>
    <row r="73" spans="1:3" x14ac:dyDescent="0.25">
      <c r="A73">
        <v>14</v>
      </c>
      <c r="B73">
        <v>0</v>
      </c>
      <c r="C73">
        <v>389</v>
      </c>
    </row>
    <row r="74" spans="1:3" x14ac:dyDescent="0.25">
      <c r="A74">
        <v>13</v>
      </c>
      <c r="B74">
        <v>0</v>
      </c>
      <c r="C74">
        <v>389</v>
      </c>
    </row>
    <row r="75" spans="1:3" x14ac:dyDescent="0.25">
      <c r="A75">
        <v>14</v>
      </c>
      <c r="B75">
        <v>0</v>
      </c>
      <c r="C75">
        <v>389</v>
      </c>
    </row>
    <row r="76" spans="1:3" x14ac:dyDescent="0.25">
      <c r="A76">
        <v>13</v>
      </c>
      <c r="B76">
        <v>0</v>
      </c>
      <c r="C76">
        <v>462</v>
      </c>
    </row>
    <row r="77" spans="1:3" x14ac:dyDescent="0.25">
      <c r="A77">
        <v>16</v>
      </c>
      <c r="B77">
        <v>0</v>
      </c>
      <c r="C77">
        <v>462</v>
      </c>
    </row>
    <row r="78" spans="1:3" x14ac:dyDescent="0.25">
      <c r="A78">
        <v>14</v>
      </c>
      <c r="B78">
        <v>0</v>
      </c>
      <c r="C78">
        <v>462</v>
      </c>
    </row>
    <row r="79" spans="1:3" x14ac:dyDescent="0.25">
      <c r="A79">
        <v>12</v>
      </c>
      <c r="B79">
        <v>0</v>
      </c>
      <c r="C79">
        <v>462</v>
      </c>
    </row>
    <row r="80" spans="1:3" x14ac:dyDescent="0.25">
      <c r="A80">
        <v>16</v>
      </c>
      <c r="B80">
        <v>0</v>
      </c>
      <c r="C80">
        <v>462</v>
      </c>
    </row>
    <row r="81" spans="1:3" x14ac:dyDescent="0.25">
      <c r="A81">
        <v>12</v>
      </c>
      <c r="B81">
        <v>0</v>
      </c>
      <c r="C81">
        <v>462</v>
      </c>
    </row>
    <row r="82" spans="1:3" x14ac:dyDescent="0.25">
      <c r="A82">
        <v>12</v>
      </c>
      <c r="B82">
        <v>0</v>
      </c>
      <c r="C82">
        <v>462</v>
      </c>
    </row>
    <row r="83" spans="1:3" x14ac:dyDescent="0.25">
      <c r="A83">
        <v>12</v>
      </c>
      <c r="B83">
        <v>0</v>
      </c>
      <c r="C83">
        <v>462</v>
      </c>
    </row>
    <row r="84" spans="1:3" x14ac:dyDescent="0.25">
      <c r="A84">
        <v>17</v>
      </c>
      <c r="B84">
        <v>0</v>
      </c>
      <c r="C84">
        <v>456</v>
      </c>
    </row>
    <row r="85" spans="1:3" x14ac:dyDescent="0.25">
      <c r="A85">
        <v>11</v>
      </c>
      <c r="B85">
        <v>0</v>
      </c>
      <c r="C85">
        <v>456</v>
      </c>
    </row>
    <row r="86" spans="1:3" x14ac:dyDescent="0.25">
      <c r="A86">
        <v>15</v>
      </c>
      <c r="B86">
        <v>0</v>
      </c>
      <c r="C86">
        <v>456</v>
      </c>
    </row>
    <row r="87" spans="1:3" x14ac:dyDescent="0.25">
      <c r="A87">
        <v>13</v>
      </c>
      <c r="B87">
        <v>0</v>
      </c>
      <c r="C87">
        <v>456</v>
      </c>
    </row>
    <row r="88" spans="1:3" x14ac:dyDescent="0.25">
      <c r="A88">
        <v>13</v>
      </c>
      <c r="B88">
        <v>0</v>
      </c>
      <c r="C88">
        <v>456</v>
      </c>
    </row>
    <row r="89" spans="1:3" x14ac:dyDescent="0.25">
      <c r="A89">
        <v>13</v>
      </c>
      <c r="B89">
        <v>0</v>
      </c>
      <c r="C89">
        <v>456</v>
      </c>
    </row>
    <row r="90" spans="1:3" x14ac:dyDescent="0.25">
      <c r="A90">
        <v>13</v>
      </c>
      <c r="B90">
        <v>0</v>
      </c>
      <c r="C90">
        <v>456</v>
      </c>
    </row>
    <row r="91" spans="1:3" x14ac:dyDescent="0.25">
      <c r="A91">
        <v>14</v>
      </c>
      <c r="B91">
        <v>0</v>
      </c>
      <c r="C91">
        <v>456</v>
      </c>
    </row>
    <row r="92" spans="1:3" x14ac:dyDescent="0.25">
      <c r="A92">
        <v>15</v>
      </c>
      <c r="B92">
        <v>0</v>
      </c>
      <c r="C92">
        <v>305</v>
      </c>
    </row>
    <row r="93" spans="1:3" x14ac:dyDescent="0.25">
      <c r="A93">
        <v>13</v>
      </c>
      <c r="B93">
        <v>0</v>
      </c>
      <c r="C93">
        <v>305</v>
      </c>
    </row>
    <row r="94" spans="1:3" x14ac:dyDescent="0.25">
      <c r="A94">
        <v>12</v>
      </c>
      <c r="B94">
        <v>0</v>
      </c>
      <c r="C94">
        <v>305</v>
      </c>
    </row>
    <row r="95" spans="1:3" x14ac:dyDescent="0.25">
      <c r="A95">
        <v>13</v>
      </c>
      <c r="B95">
        <v>0</v>
      </c>
      <c r="C95">
        <v>305</v>
      </c>
    </row>
    <row r="96" spans="1:3" x14ac:dyDescent="0.25">
      <c r="A96">
        <v>12</v>
      </c>
      <c r="B96">
        <v>0</v>
      </c>
      <c r="C96">
        <v>305</v>
      </c>
    </row>
    <row r="97" spans="1:3" x14ac:dyDescent="0.25">
      <c r="A97">
        <v>13</v>
      </c>
      <c r="B97">
        <v>0</v>
      </c>
      <c r="C97">
        <v>305</v>
      </c>
    </row>
    <row r="98" spans="1:3" x14ac:dyDescent="0.25">
      <c r="A98">
        <v>12</v>
      </c>
      <c r="B98">
        <v>0</v>
      </c>
      <c r="C98">
        <v>305</v>
      </c>
    </row>
    <row r="99" spans="1:3" x14ac:dyDescent="0.25">
      <c r="A99">
        <v>18</v>
      </c>
      <c r="B99">
        <v>0</v>
      </c>
      <c r="C99">
        <v>305</v>
      </c>
    </row>
    <row r="100" spans="1:3" x14ac:dyDescent="0.25">
      <c r="A100">
        <v>12</v>
      </c>
      <c r="B100">
        <v>0</v>
      </c>
      <c r="C100">
        <v>360</v>
      </c>
    </row>
    <row r="101" spans="1:3" x14ac:dyDescent="0.25">
      <c r="A101">
        <v>11</v>
      </c>
      <c r="B101">
        <v>0</v>
      </c>
      <c r="C101">
        <v>360</v>
      </c>
    </row>
    <row r="102" spans="1:3" x14ac:dyDescent="0.25">
      <c r="A102">
        <v>12</v>
      </c>
      <c r="B102">
        <v>0</v>
      </c>
      <c r="C102">
        <v>360</v>
      </c>
    </row>
    <row r="103" spans="1:3" x14ac:dyDescent="0.25">
      <c r="A103">
        <v>12</v>
      </c>
      <c r="B103">
        <v>0</v>
      </c>
      <c r="C103">
        <v>360</v>
      </c>
    </row>
    <row r="104" spans="1:3" x14ac:dyDescent="0.25">
      <c r="A104">
        <v>13</v>
      </c>
      <c r="B104">
        <v>0</v>
      </c>
      <c r="C104">
        <v>360</v>
      </c>
    </row>
    <row r="105" spans="1:3" x14ac:dyDescent="0.25">
      <c r="A105">
        <v>13</v>
      </c>
      <c r="B105">
        <v>0</v>
      </c>
      <c r="C105">
        <v>360</v>
      </c>
    </row>
    <row r="106" spans="1:3" x14ac:dyDescent="0.25">
      <c r="A106">
        <v>13</v>
      </c>
      <c r="B106">
        <v>0</v>
      </c>
      <c r="C106">
        <v>360</v>
      </c>
    </row>
    <row r="107" spans="1:3" x14ac:dyDescent="0.25">
      <c r="A107">
        <v>14</v>
      </c>
      <c r="B107">
        <v>0</v>
      </c>
      <c r="C107">
        <v>360</v>
      </c>
    </row>
    <row r="108" spans="1:3" x14ac:dyDescent="0.25">
      <c r="A108">
        <v>11</v>
      </c>
      <c r="B108">
        <v>0</v>
      </c>
      <c r="C108">
        <v>337</v>
      </c>
    </row>
    <row r="109" spans="1:3" x14ac:dyDescent="0.25">
      <c r="A109">
        <v>13</v>
      </c>
      <c r="B109">
        <v>0</v>
      </c>
      <c r="C109">
        <v>337</v>
      </c>
    </row>
    <row r="110" spans="1:3" x14ac:dyDescent="0.25">
      <c r="A110">
        <v>13</v>
      </c>
      <c r="B110">
        <v>0</v>
      </c>
      <c r="C110">
        <v>337</v>
      </c>
    </row>
    <row r="111" spans="1:3" x14ac:dyDescent="0.25">
      <c r="A111">
        <v>13</v>
      </c>
      <c r="B111">
        <v>0</v>
      </c>
      <c r="C111">
        <v>337</v>
      </c>
    </row>
    <row r="112" spans="1:3" x14ac:dyDescent="0.25">
      <c r="A112">
        <v>12</v>
      </c>
      <c r="B112">
        <v>0</v>
      </c>
      <c r="C112">
        <v>337</v>
      </c>
    </row>
    <row r="113" spans="1:3" x14ac:dyDescent="0.25">
      <c r="A113">
        <v>12</v>
      </c>
      <c r="B113">
        <v>0</v>
      </c>
      <c r="C113">
        <v>337</v>
      </c>
    </row>
    <row r="114" spans="1:3" x14ac:dyDescent="0.25">
      <c r="A114">
        <v>16</v>
      </c>
      <c r="B114">
        <v>0</v>
      </c>
      <c r="C114">
        <v>337</v>
      </c>
    </row>
    <row r="115" spans="1:3" x14ac:dyDescent="0.25">
      <c r="A115">
        <v>12</v>
      </c>
      <c r="B115">
        <v>0</v>
      </c>
      <c r="C115">
        <v>337</v>
      </c>
    </row>
    <row r="116" spans="1:3" x14ac:dyDescent="0.25">
      <c r="A116">
        <v>13</v>
      </c>
      <c r="B116">
        <v>0</v>
      </c>
      <c r="C116">
        <v>371</v>
      </c>
    </row>
    <row r="117" spans="1:3" x14ac:dyDescent="0.25">
      <c r="A117">
        <v>13</v>
      </c>
      <c r="B117">
        <v>0</v>
      </c>
      <c r="C117">
        <v>371</v>
      </c>
    </row>
    <row r="118" spans="1:3" x14ac:dyDescent="0.25">
      <c r="A118">
        <v>12</v>
      </c>
      <c r="B118">
        <v>0</v>
      </c>
      <c r="C118">
        <v>371</v>
      </c>
    </row>
    <row r="119" spans="1:3" x14ac:dyDescent="0.25">
      <c r="A119">
        <v>13</v>
      </c>
      <c r="B119">
        <v>0</v>
      </c>
      <c r="C119">
        <v>371</v>
      </c>
    </row>
    <row r="120" spans="1:3" x14ac:dyDescent="0.25">
      <c r="A120">
        <v>13</v>
      </c>
      <c r="B120">
        <v>0</v>
      </c>
      <c r="C120">
        <v>371</v>
      </c>
    </row>
    <row r="121" spans="1:3" x14ac:dyDescent="0.25">
      <c r="A121">
        <v>12</v>
      </c>
      <c r="B121">
        <v>0</v>
      </c>
      <c r="C121">
        <v>371</v>
      </c>
    </row>
    <row r="122" spans="1:3" x14ac:dyDescent="0.25">
      <c r="A122">
        <v>18</v>
      </c>
      <c r="B122">
        <v>0</v>
      </c>
      <c r="C122">
        <v>371</v>
      </c>
    </row>
    <row r="123" spans="1:3" x14ac:dyDescent="0.25">
      <c r="A123">
        <v>14</v>
      </c>
      <c r="B123">
        <v>0</v>
      </c>
      <c r="C123">
        <v>371</v>
      </c>
    </row>
    <row r="124" spans="1:3" x14ac:dyDescent="0.25">
      <c r="A124">
        <v>16</v>
      </c>
      <c r="B124">
        <v>0</v>
      </c>
      <c r="C124">
        <v>367</v>
      </c>
    </row>
    <row r="125" spans="1:3" x14ac:dyDescent="0.25">
      <c r="A125">
        <v>12</v>
      </c>
      <c r="B125">
        <v>0</v>
      </c>
      <c r="C125">
        <v>367</v>
      </c>
    </row>
    <row r="126" spans="1:3" x14ac:dyDescent="0.25">
      <c r="A126">
        <v>12</v>
      </c>
      <c r="B126">
        <v>0</v>
      </c>
      <c r="C126">
        <v>367</v>
      </c>
    </row>
    <row r="127" spans="1:3" x14ac:dyDescent="0.25">
      <c r="A127">
        <v>13</v>
      </c>
      <c r="B127">
        <v>0</v>
      </c>
      <c r="C127">
        <v>367</v>
      </c>
    </row>
    <row r="128" spans="1:3" x14ac:dyDescent="0.25">
      <c r="A128">
        <v>15</v>
      </c>
      <c r="B128">
        <v>0</v>
      </c>
      <c r="C128">
        <v>367</v>
      </c>
    </row>
    <row r="129" spans="1:3" x14ac:dyDescent="0.25">
      <c r="A129">
        <v>15</v>
      </c>
      <c r="B129">
        <v>0</v>
      </c>
      <c r="C129">
        <v>367</v>
      </c>
    </row>
    <row r="130" spans="1:3" x14ac:dyDescent="0.25">
      <c r="A130">
        <v>13</v>
      </c>
      <c r="B130">
        <v>0</v>
      </c>
      <c r="C130">
        <v>367</v>
      </c>
    </row>
    <row r="131" spans="1:3" x14ac:dyDescent="0.25">
      <c r="A131">
        <v>12</v>
      </c>
      <c r="B131">
        <v>0</v>
      </c>
      <c r="C131">
        <v>367</v>
      </c>
    </row>
    <row r="132" spans="1:3" x14ac:dyDescent="0.25">
      <c r="A132">
        <v>12</v>
      </c>
      <c r="B132">
        <v>0</v>
      </c>
      <c r="C132">
        <v>343</v>
      </c>
    </row>
    <row r="133" spans="1:3" x14ac:dyDescent="0.25">
      <c r="A133">
        <v>12</v>
      </c>
      <c r="B133">
        <v>0</v>
      </c>
      <c r="C133">
        <v>343</v>
      </c>
    </row>
    <row r="134" spans="1:3" x14ac:dyDescent="0.25">
      <c r="A134">
        <v>11</v>
      </c>
      <c r="B134">
        <v>0</v>
      </c>
      <c r="C134">
        <v>343</v>
      </c>
    </row>
    <row r="135" spans="1:3" x14ac:dyDescent="0.25">
      <c r="A135">
        <v>12</v>
      </c>
      <c r="B135">
        <v>0</v>
      </c>
      <c r="C135">
        <v>343</v>
      </c>
    </row>
    <row r="136" spans="1:3" x14ac:dyDescent="0.25">
      <c r="A136">
        <v>13</v>
      </c>
      <c r="B136">
        <v>0</v>
      </c>
      <c r="C136">
        <v>343</v>
      </c>
    </row>
    <row r="137" spans="1:3" x14ac:dyDescent="0.25">
      <c r="A137">
        <v>16</v>
      </c>
      <c r="B137">
        <v>0</v>
      </c>
      <c r="C137">
        <v>343</v>
      </c>
    </row>
    <row r="138" spans="1:3" x14ac:dyDescent="0.25">
      <c r="A138">
        <v>14</v>
      </c>
      <c r="B138">
        <v>0</v>
      </c>
      <c r="C138">
        <v>343</v>
      </c>
    </row>
    <row r="139" spans="1:3" x14ac:dyDescent="0.25">
      <c r="A139">
        <v>13</v>
      </c>
      <c r="B139">
        <v>0</v>
      </c>
      <c r="C139">
        <v>343</v>
      </c>
    </row>
    <row r="140" spans="1:3" x14ac:dyDescent="0.25">
      <c r="A140">
        <v>12</v>
      </c>
      <c r="B140">
        <v>0</v>
      </c>
      <c r="C140">
        <v>348</v>
      </c>
    </row>
    <row r="141" spans="1:3" x14ac:dyDescent="0.25">
      <c r="A141">
        <v>12</v>
      </c>
      <c r="B141">
        <v>0</v>
      </c>
      <c r="C141">
        <v>348</v>
      </c>
    </row>
    <row r="142" spans="1:3" x14ac:dyDescent="0.25">
      <c r="A142">
        <v>13</v>
      </c>
      <c r="B142">
        <v>0</v>
      </c>
      <c r="C142">
        <v>348</v>
      </c>
    </row>
    <row r="143" spans="1:3" x14ac:dyDescent="0.25">
      <c r="A143">
        <v>12</v>
      </c>
      <c r="B143">
        <v>0</v>
      </c>
      <c r="C143">
        <v>348</v>
      </c>
    </row>
    <row r="144" spans="1:3" x14ac:dyDescent="0.25">
      <c r="A144">
        <v>13</v>
      </c>
      <c r="B144">
        <v>0</v>
      </c>
      <c r="C144">
        <v>348</v>
      </c>
    </row>
    <row r="145" spans="1:3" x14ac:dyDescent="0.25">
      <c r="A145">
        <v>14</v>
      </c>
      <c r="B145">
        <v>0</v>
      </c>
      <c r="C145">
        <v>348</v>
      </c>
    </row>
    <row r="146" spans="1:3" x14ac:dyDescent="0.25">
      <c r="A146">
        <v>12</v>
      </c>
      <c r="B146">
        <v>0</v>
      </c>
      <c r="C146">
        <v>348</v>
      </c>
    </row>
    <row r="147" spans="1:3" x14ac:dyDescent="0.25">
      <c r="A147">
        <v>13</v>
      </c>
      <c r="B147">
        <v>0</v>
      </c>
      <c r="C147">
        <v>348</v>
      </c>
    </row>
    <row r="148" spans="1:3" x14ac:dyDescent="0.25">
      <c r="A148">
        <v>13</v>
      </c>
      <c r="B148">
        <v>0</v>
      </c>
      <c r="C148">
        <v>369</v>
      </c>
    </row>
    <row r="149" spans="1:3" x14ac:dyDescent="0.25">
      <c r="A149">
        <v>12</v>
      </c>
      <c r="B149">
        <v>0</v>
      </c>
      <c r="C149">
        <v>369</v>
      </c>
    </row>
    <row r="150" spans="1:3" x14ac:dyDescent="0.25">
      <c r="A150">
        <v>14</v>
      </c>
      <c r="B150">
        <v>0</v>
      </c>
      <c r="C150">
        <v>369</v>
      </c>
    </row>
    <row r="151" spans="1:3" x14ac:dyDescent="0.25">
      <c r="A151">
        <v>13</v>
      </c>
      <c r="B151">
        <v>0</v>
      </c>
      <c r="C151">
        <v>369</v>
      </c>
    </row>
    <row r="152" spans="1:3" x14ac:dyDescent="0.25">
      <c r="A152">
        <v>12</v>
      </c>
      <c r="B152">
        <v>0</v>
      </c>
      <c r="C152">
        <v>369</v>
      </c>
    </row>
    <row r="153" spans="1:3" x14ac:dyDescent="0.25">
      <c r="A153">
        <v>13</v>
      </c>
      <c r="B153">
        <v>0</v>
      </c>
      <c r="C153">
        <v>369</v>
      </c>
    </row>
    <row r="154" spans="1:3" x14ac:dyDescent="0.25">
      <c r="A154">
        <v>13</v>
      </c>
      <c r="B154">
        <v>0</v>
      </c>
      <c r="C154">
        <v>369</v>
      </c>
    </row>
    <row r="155" spans="1:3" x14ac:dyDescent="0.25">
      <c r="A155">
        <v>12</v>
      </c>
      <c r="B155">
        <v>0</v>
      </c>
      <c r="C155">
        <v>369</v>
      </c>
    </row>
    <row r="156" spans="1:3" x14ac:dyDescent="0.25">
      <c r="A156">
        <v>14</v>
      </c>
      <c r="B156">
        <v>0</v>
      </c>
      <c r="C156">
        <v>356</v>
      </c>
    </row>
    <row r="157" spans="1:3" x14ac:dyDescent="0.25">
      <c r="A157">
        <v>14</v>
      </c>
      <c r="B157">
        <v>0</v>
      </c>
      <c r="C157">
        <v>356</v>
      </c>
    </row>
    <row r="158" spans="1:3" x14ac:dyDescent="0.25">
      <c r="A158">
        <v>13</v>
      </c>
      <c r="B158">
        <v>0</v>
      </c>
      <c r="C158">
        <v>356</v>
      </c>
    </row>
    <row r="159" spans="1:3" x14ac:dyDescent="0.25">
      <c r="A159">
        <v>15</v>
      </c>
      <c r="B159">
        <v>0</v>
      </c>
      <c r="C159">
        <v>356</v>
      </c>
    </row>
    <row r="160" spans="1:3" x14ac:dyDescent="0.25">
      <c r="A160">
        <v>15</v>
      </c>
      <c r="B160">
        <v>0</v>
      </c>
      <c r="C160">
        <v>356</v>
      </c>
    </row>
    <row r="161" spans="1:3" x14ac:dyDescent="0.25">
      <c r="A161">
        <v>12</v>
      </c>
      <c r="B161">
        <v>0</v>
      </c>
      <c r="C161">
        <v>356</v>
      </c>
    </row>
    <row r="162" spans="1:3" x14ac:dyDescent="0.25">
      <c r="A162">
        <v>13</v>
      </c>
      <c r="B162">
        <v>0</v>
      </c>
      <c r="C162">
        <v>356</v>
      </c>
    </row>
    <row r="163" spans="1:3" x14ac:dyDescent="0.25">
      <c r="A163">
        <v>12</v>
      </c>
      <c r="B163">
        <v>0</v>
      </c>
      <c r="C163">
        <v>356</v>
      </c>
    </row>
    <row r="164" spans="1:3" x14ac:dyDescent="0.25">
      <c r="A164">
        <v>12</v>
      </c>
      <c r="B164">
        <v>0</v>
      </c>
      <c r="C164">
        <v>336</v>
      </c>
    </row>
    <row r="165" spans="1:3" x14ac:dyDescent="0.25">
      <c r="A165">
        <v>16</v>
      </c>
      <c r="B165">
        <v>0</v>
      </c>
      <c r="C165">
        <v>336</v>
      </c>
    </row>
    <row r="166" spans="1:3" x14ac:dyDescent="0.25">
      <c r="A166">
        <v>12</v>
      </c>
      <c r="B166">
        <v>0</v>
      </c>
      <c r="C166">
        <v>336</v>
      </c>
    </row>
    <row r="167" spans="1:3" x14ac:dyDescent="0.25">
      <c r="A167">
        <v>13</v>
      </c>
      <c r="B167">
        <v>0</v>
      </c>
      <c r="C167">
        <v>336</v>
      </c>
    </row>
    <row r="168" spans="1:3" x14ac:dyDescent="0.25">
      <c r="A168">
        <v>12</v>
      </c>
      <c r="B168">
        <v>0</v>
      </c>
      <c r="C168">
        <v>336</v>
      </c>
    </row>
    <row r="169" spans="1:3" x14ac:dyDescent="0.25">
      <c r="A169">
        <v>12</v>
      </c>
      <c r="B169">
        <v>0</v>
      </c>
      <c r="C169">
        <v>336</v>
      </c>
    </row>
    <row r="170" spans="1:3" x14ac:dyDescent="0.25">
      <c r="A170">
        <v>12</v>
      </c>
      <c r="B170">
        <v>0</v>
      </c>
      <c r="C170">
        <v>336</v>
      </c>
    </row>
    <row r="171" spans="1:3" x14ac:dyDescent="0.25">
      <c r="A171">
        <v>16</v>
      </c>
      <c r="B171">
        <v>0</v>
      </c>
      <c r="C171">
        <v>336</v>
      </c>
    </row>
    <row r="172" spans="1:3" x14ac:dyDescent="0.25">
      <c r="A172">
        <v>21</v>
      </c>
      <c r="B172">
        <v>0</v>
      </c>
      <c r="C172">
        <v>427</v>
      </c>
    </row>
    <row r="173" spans="1:3" x14ac:dyDescent="0.25">
      <c r="A173">
        <v>13</v>
      </c>
      <c r="B173">
        <v>0</v>
      </c>
      <c r="C173">
        <v>427</v>
      </c>
    </row>
    <row r="174" spans="1:3" x14ac:dyDescent="0.25">
      <c r="A174">
        <v>16</v>
      </c>
      <c r="B174">
        <v>0</v>
      </c>
      <c r="C174">
        <v>427</v>
      </c>
    </row>
    <row r="175" spans="1:3" x14ac:dyDescent="0.25">
      <c r="A175">
        <v>11</v>
      </c>
      <c r="B175">
        <v>0</v>
      </c>
      <c r="C175">
        <v>427</v>
      </c>
    </row>
    <row r="176" spans="1:3" x14ac:dyDescent="0.25">
      <c r="A176">
        <v>15</v>
      </c>
      <c r="B176">
        <v>0</v>
      </c>
      <c r="C176">
        <v>427</v>
      </c>
    </row>
    <row r="177" spans="1:3" x14ac:dyDescent="0.25">
      <c r="A177">
        <v>14</v>
      </c>
      <c r="B177">
        <v>0</v>
      </c>
      <c r="C177">
        <v>427</v>
      </c>
    </row>
    <row r="178" spans="1:3" x14ac:dyDescent="0.25">
      <c r="A178">
        <v>12</v>
      </c>
      <c r="B178">
        <v>0</v>
      </c>
      <c r="C178">
        <v>427</v>
      </c>
    </row>
    <row r="179" spans="1:3" x14ac:dyDescent="0.25">
      <c r="A179">
        <v>13</v>
      </c>
      <c r="B179">
        <v>0</v>
      </c>
      <c r="C179">
        <v>427</v>
      </c>
    </row>
    <row r="180" spans="1:3" x14ac:dyDescent="0.25">
      <c r="A180">
        <v>12</v>
      </c>
      <c r="B180">
        <v>0</v>
      </c>
      <c r="C180">
        <v>371</v>
      </c>
    </row>
    <row r="181" spans="1:3" x14ac:dyDescent="0.25">
      <c r="A181">
        <v>13</v>
      </c>
      <c r="B181">
        <v>0</v>
      </c>
      <c r="C181">
        <v>371</v>
      </c>
    </row>
    <row r="182" spans="1:3" x14ac:dyDescent="0.25">
      <c r="A182">
        <v>12</v>
      </c>
      <c r="B182">
        <v>0</v>
      </c>
      <c r="C182">
        <v>371</v>
      </c>
    </row>
    <row r="183" spans="1:3" x14ac:dyDescent="0.25">
      <c r="A183">
        <v>12</v>
      </c>
      <c r="B183">
        <v>0</v>
      </c>
      <c r="C183">
        <v>371</v>
      </c>
    </row>
    <row r="184" spans="1:3" x14ac:dyDescent="0.25">
      <c r="A184">
        <v>13</v>
      </c>
      <c r="B184">
        <v>0</v>
      </c>
      <c r="C184">
        <v>371</v>
      </c>
    </row>
    <row r="185" spans="1:3" x14ac:dyDescent="0.25">
      <c r="A185">
        <v>12</v>
      </c>
      <c r="B185">
        <v>0</v>
      </c>
      <c r="C185">
        <v>371</v>
      </c>
    </row>
    <row r="186" spans="1:3" x14ac:dyDescent="0.25">
      <c r="A186">
        <v>12</v>
      </c>
      <c r="B186">
        <v>0</v>
      </c>
      <c r="C186">
        <v>371</v>
      </c>
    </row>
    <row r="187" spans="1:3" x14ac:dyDescent="0.25">
      <c r="A187">
        <v>16</v>
      </c>
      <c r="B187">
        <v>0</v>
      </c>
      <c r="C187">
        <v>371</v>
      </c>
    </row>
    <row r="188" spans="1:3" x14ac:dyDescent="0.25">
      <c r="A188">
        <v>17</v>
      </c>
      <c r="B188">
        <v>0</v>
      </c>
      <c r="C188">
        <v>345</v>
      </c>
    </row>
    <row r="189" spans="1:3" x14ac:dyDescent="0.25">
      <c r="A189">
        <v>13</v>
      </c>
      <c r="B189">
        <v>0</v>
      </c>
      <c r="C189">
        <v>345</v>
      </c>
    </row>
    <row r="190" spans="1:3" x14ac:dyDescent="0.25">
      <c r="A190">
        <v>22</v>
      </c>
      <c r="B190">
        <v>0</v>
      </c>
      <c r="C190">
        <v>345</v>
      </c>
    </row>
    <row r="191" spans="1:3" x14ac:dyDescent="0.25">
      <c r="A191">
        <v>12</v>
      </c>
      <c r="B191">
        <v>0</v>
      </c>
      <c r="C191">
        <v>345</v>
      </c>
    </row>
    <row r="192" spans="1:3" x14ac:dyDescent="0.25">
      <c r="A192">
        <v>14</v>
      </c>
      <c r="B192">
        <v>0</v>
      </c>
      <c r="C192">
        <v>345</v>
      </c>
    </row>
    <row r="193" spans="1:3" x14ac:dyDescent="0.25">
      <c r="A193">
        <v>12</v>
      </c>
      <c r="B193">
        <v>0</v>
      </c>
      <c r="C193">
        <v>345</v>
      </c>
    </row>
    <row r="194" spans="1:3" x14ac:dyDescent="0.25">
      <c r="A194">
        <v>13</v>
      </c>
      <c r="B194">
        <v>0</v>
      </c>
      <c r="C194">
        <v>345</v>
      </c>
    </row>
    <row r="195" spans="1:3" x14ac:dyDescent="0.25">
      <c r="A195">
        <v>17</v>
      </c>
      <c r="B195">
        <v>0</v>
      </c>
      <c r="C195">
        <v>345</v>
      </c>
    </row>
    <row r="196" spans="1:3" x14ac:dyDescent="0.25">
      <c r="A196">
        <v>13</v>
      </c>
      <c r="B196">
        <v>0</v>
      </c>
      <c r="C196">
        <v>293</v>
      </c>
    </row>
    <row r="197" spans="1:3" x14ac:dyDescent="0.25">
      <c r="A197">
        <v>12</v>
      </c>
      <c r="B197">
        <v>0</v>
      </c>
      <c r="C197">
        <v>293</v>
      </c>
    </row>
    <row r="198" spans="1:3" x14ac:dyDescent="0.25">
      <c r="A198">
        <v>12</v>
      </c>
      <c r="B198">
        <v>0</v>
      </c>
      <c r="C198">
        <v>293</v>
      </c>
    </row>
    <row r="199" spans="1:3" x14ac:dyDescent="0.25">
      <c r="A199">
        <v>13</v>
      </c>
      <c r="B199">
        <v>0</v>
      </c>
      <c r="C199">
        <v>293</v>
      </c>
    </row>
    <row r="200" spans="1:3" x14ac:dyDescent="0.25">
      <c r="A200">
        <v>13</v>
      </c>
      <c r="B200">
        <v>0</v>
      </c>
      <c r="C200">
        <v>293</v>
      </c>
    </row>
    <row r="201" spans="1:3" x14ac:dyDescent="0.25">
      <c r="A201">
        <v>14</v>
      </c>
      <c r="B201">
        <v>0</v>
      </c>
      <c r="C201">
        <v>293</v>
      </c>
    </row>
    <row r="202" spans="1:3" x14ac:dyDescent="0.25">
      <c r="A202">
        <v>12</v>
      </c>
      <c r="B202">
        <v>0</v>
      </c>
      <c r="C202">
        <v>293</v>
      </c>
    </row>
    <row r="203" spans="1:3" x14ac:dyDescent="0.25">
      <c r="A203">
        <v>13</v>
      </c>
      <c r="B203">
        <v>0</v>
      </c>
      <c r="C203">
        <v>293</v>
      </c>
    </row>
    <row r="204" spans="1:3" x14ac:dyDescent="0.25">
      <c r="A204">
        <v>13</v>
      </c>
      <c r="B204">
        <v>0</v>
      </c>
      <c r="C204">
        <v>343</v>
      </c>
    </row>
    <row r="205" spans="1:3" x14ac:dyDescent="0.25">
      <c r="A205">
        <v>13</v>
      </c>
      <c r="B205">
        <v>0</v>
      </c>
      <c r="C205">
        <v>343</v>
      </c>
    </row>
    <row r="206" spans="1:3" x14ac:dyDescent="0.25">
      <c r="A206">
        <v>12</v>
      </c>
      <c r="B206">
        <v>0</v>
      </c>
      <c r="C206">
        <v>343</v>
      </c>
    </row>
    <row r="207" spans="1:3" x14ac:dyDescent="0.25">
      <c r="A207">
        <v>12</v>
      </c>
      <c r="B207">
        <v>0</v>
      </c>
      <c r="C207">
        <v>343</v>
      </c>
    </row>
    <row r="208" spans="1:3" x14ac:dyDescent="0.25">
      <c r="A208">
        <v>14</v>
      </c>
      <c r="B208">
        <v>0</v>
      </c>
      <c r="C208">
        <v>343</v>
      </c>
    </row>
    <row r="209" spans="1:3" x14ac:dyDescent="0.25">
      <c r="A209">
        <v>12</v>
      </c>
      <c r="B209">
        <v>0</v>
      </c>
      <c r="C209">
        <v>343</v>
      </c>
    </row>
    <row r="210" spans="1:3" x14ac:dyDescent="0.25">
      <c r="A210">
        <v>12</v>
      </c>
      <c r="B210">
        <v>0</v>
      </c>
      <c r="C210">
        <v>343</v>
      </c>
    </row>
    <row r="211" spans="1:3" x14ac:dyDescent="0.25">
      <c r="A211">
        <v>13</v>
      </c>
      <c r="B211">
        <v>0</v>
      </c>
      <c r="C211">
        <v>343</v>
      </c>
    </row>
    <row r="212" spans="1:3" x14ac:dyDescent="0.25">
      <c r="A212">
        <v>13</v>
      </c>
      <c r="B212">
        <v>0</v>
      </c>
      <c r="C212">
        <v>311</v>
      </c>
    </row>
    <row r="213" spans="1:3" x14ac:dyDescent="0.25">
      <c r="A213">
        <v>11</v>
      </c>
      <c r="B213">
        <v>0</v>
      </c>
      <c r="C213">
        <v>311</v>
      </c>
    </row>
    <row r="214" spans="1:3" x14ac:dyDescent="0.25">
      <c r="A214">
        <v>12</v>
      </c>
      <c r="B214">
        <v>0</v>
      </c>
      <c r="C214">
        <v>311</v>
      </c>
    </row>
    <row r="215" spans="1:3" x14ac:dyDescent="0.25">
      <c r="A215">
        <v>12</v>
      </c>
      <c r="B215">
        <v>0</v>
      </c>
      <c r="C215">
        <v>311</v>
      </c>
    </row>
    <row r="216" spans="1:3" x14ac:dyDescent="0.25">
      <c r="A216">
        <v>13</v>
      </c>
      <c r="B216">
        <v>0</v>
      </c>
      <c r="C216">
        <v>311</v>
      </c>
    </row>
    <row r="217" spans="1:3" x14ac:dyDescent="0.25">
      <c r="A217">
        <v>12</v>
      </c>
      <c r="B217">
        <v>0</v>
      </c>
      <c r="C217">
        <v>311</v>
      </c>
    </row>
    <row r="218" spans="1:3" x14ac:dyDescent="0.25">
      <c r="A218">
        <v>17</v>
      </c>
      <c r="B218">
        <v>0</v>
      </c>
      <c r="C218">
        <v>311</v>
      </c>
    </row>
    <row r="219" spans="1:3" x14ac:dyDescent="0.25">
      <c r="A219">
        <v>11</v>
      </c>
      <c r="B219">
        <v>0</v>
      </c>
      <c r="C219">
        <v>311</v>
      </c>
    </row>
    <row r="220" spans="1:3" x14ac:dyDescent="0.25">
      <c r="A220">
        <v>11</v>
      </c>
      <c r="B220">
        <v>0</v>
      </c>
      <c r="C220">
        <v>327</v>
      </c>
    </row>
    <row r="221" spans="1:3" x14ac:dyDescent="0.25">
      <c r="A221">
        <v>13</v>
      </c>
      <c r="B221">
        <v>0</v>
      </c>
      <c r="C221">
        <v>327</v>
      </c>
    </row>
    <row r="222" spans="1:3" x14ac:dyDescent="0.25">
      <c r="A222">
        <v>12</v>
      </c>
      <c r="B222">
        <v>0</v>
      </c>
      <c r="C222">
        <v>327</v>
      </c>
    </row>
    <row r="223" spans="1:3" x14ac:dyDescent="0.25">
      <c r="A223">
        <v>12</v>
      </c>
      <c r="B223">
        <v>0</v>
      </c>
      <c r="C223">
        <v>327</v>
      </c>
    </row>
    <row r="224" spans="1:3" x14ac:dyDescent="0.25">
      <c r="A224">
        <v>13</v>
      </c>
      <c r="B224">
        <v>0</v>
      </c>
      <c r="C224">
        <v>327</v>
      </c>
    </row>
    <row r="225" spans="1:3" x14ac:dyDescent="0.25">
      <c r="A225">
        <v>12</v>
      </c>
      <c r="B225">
        <v>0</v>
      </c>
      <c r="C225">
        <v>327</v>
      </c>
    </row>
    <row r="226" spans="1:3" x14ac:dyDescent="0.25">
      <c r="A226">
        <v>14</v>
      </c>
      <c r="B226">
        <v>0</v>
      </c>
      <c r="C226">
        <v>327</v>
      </c>
    </row>
    <row r="227" spans="1:3" x14ac:dyDescent="0.25">
      <c r="A227">
        <v>13</v>
      </c>
      <c r="B227">
        <v>0</v>
      </c>
      <c r="C227">
        <v>327</v>
      </c>
    </row>
    <row r="228" spans="1:3" x14ac:dyDescent="0.25">
      <c r="A228">
        <v>12</v>
      </c>
      <c r="B228">
        <v>0</v>
      </c>
      <c r="C228">
        <v>365</v>
      </c>
    </row>
    <row r="229" spans="1:3" x14ac:dyDescent="0.25">
      <c r="A229">
        <v>13</v>
      </c>
      <c r="B229">
        <v>0</v>
      </c>
      <c r="C229">
        <v>365</v>
      </c>
    </row>
    <row r="230" spans="1:3" x14ac:dyDescent="0.25">
      <c r="A230">
        <v>11</v>
      </c>
      <c r="B230">
        <v>0</v>
      </c>
      <c r="C230">
        <v>365</v>
      </c>
    </row>
    <row r="231" spans="1:3" x14ac:dyDescent="0.25">
      <c r="A231">
        <v>12</v>
      </c>
      <c r="B231">
        <v>0</v>
      </c>
      <c r="C231">
        <v>365</v>
      </c>
    </row>
    <row r="232" spans="1:3" x14ac:dyDescent="0.25">
      <c r="A232">
        <v>13</v>
      </c>
      <c r="B232">
        <v>0</v>
      </c>
      <c r="C232">
        <v>365</v>
      </c>
    </row>
    <row r="233" spans="1:3" x14ac:dyDescent="0.25">
      <c r="A233">
        <v>17</v>
      </c>
      <c r="B233">
        <v>0</v>
      </c>
      <c r="C233">
        <v>365</v>
      </c>
    </row>
    <row r="234" spans="1:3" x14ac:dyDescent="0.25">
      <c r="A234">
        <v>13</v>
      </c>
      <c r="B234">
        <v>0</v>
      </c>
      <c r="C234">
        <v>365</v>
      </c>
    </row>
    <row r="235" spans="1:3" x14ac:dyDescent="0.25">
      <c r="A235">
        <v>12</v>
      </c>
      <c r="B235">
        <v>0</v>
      </c>
      <c r="C235">
        <v>365</v>
      </c>
    </row>
    <row r="236" spans="1:3" x14ac:dyDescent="0.25">
      <c r="A236">
        <v>13</v>
      </c>
      <c r="B236">
        <v>0</v>
      </c>
      <c r="C236">
        <v>315</v>
      </c>
    </row>
    <row r="237" spans="1:3" x14ac:dyDescent="0.25">
      <c r="A237">
        <v>13</v>
      </c>
      <c r="B237">
        <v>0</v>
      </c>
      <c r="C237">
        <v>315</v>
      </c>
    </row>
    <row r="238" spans="1:3" x14ac:dyDescent="0.25">
      <c r="A238">
        <v>12</v>
      </c>
      <c r="B238">
        <v>0</v>
      </c>
      <c r="C238">
        <v>315</v>
      </c>
    </row>
    <row r="239" spans="1:3" x14ac:dyDescent="0.25">
      <c r="A239">
        <v>12</v>
      </c>
      <c r="B239">
        <v>0</v>
      </c>
      <c r="C239">
        <v>315</v>
      </c>
    </row>
    <row r="240" spans="1:3" x14ac:dyDescent="0.25">
      <c r="A240">
        <v>12</v>
      </c>
      <c r="B240">
        <v>0</v>
      </c>
      <c r="C240">
        <v>315</v>
      </c>
    </row>
    <row r="241" spans="1:3" x14ac:dyDescent="0.25">
      <c r="A241">
        <v>11</v>
      </c>
      <c r="B241">
        <v>0</v>
      </c>
      <c r="C241">
        <v>315</v>
      </c>
    </row>
    <row r="242" spans="1:3" x14ac:dyDescent="0.25">
      <c r="A242">
        <v>13</v>
      </c>
      <c r="B242">
        <v>0</v>
      </c>
      <c r="C242">
        <v>315</v>
      </c>
    </row>
    <row r="243" spans="1:3" x14ac:dyDescent="0.25">
      <c r="A243">
        <v>14</v>
      </c>
      <c r="B243">
        <v>0</v>
      </c>
      <c r="C243">
        <v>315</v>
      </c>
    </row>
    <row r="244" spans="1:3" x14ac:dyDescent="0.25">
      <c r="A244">
        <v>13</v>
      </c>
      <c r="B244">
        <v>0</v>
      </c>
      <c r="C244">
        <v>338</v>
      </c>
    </row>
    <row r="245" spans="1:3" x14ac:dyDescent="0.25">
      <c r="A245">
        <v>11</v>
      </c>
      <c r="B245">
        <v>0</v>
      </c>
      <c r="C245">
        <v>338</v>
      </c>
    </row>
    <row r="246" spans="1:3" x14ac:dyDescent="0.25">
      <c r="A246">
        <v>11</v>
      </c>
      <c r="B246">
        <v>0</v>
      </c>
      <c r="C246">
        <v>338</v>
      </c>
    </row>
    <row r="247" spans="1:3" x14ac:dyDescent="0.25">
      <c r="A247">
        <v>12</v>
      </c>
      <c r="B247">
        <v>0</v>
      </c>
      <c r="C247">
        <v>338</v>
      </c>
    </row>
    <row r="248" spans="1:3" x14ac:dyDescent="0.25">
      <c r="A248">
        <v>14</v>
      </c>
      <c r="B248">
        <v>0</v>
      </c>
      <c r="C248">
        <v>338</v>
      </c>
    </row>
    <row r="249" spans="1:3" x14ac:dyDescent="0.25">
      <c r="A249">
        <v>12</v>
      </c>
      <c r="B249">
        <v>0</v>
      </c>
      <c r="C249">
        <v>338</v>
      </c>
    </row>
    <row r="250" spans="1:3" x14ac:dyDescent="0.25">
      <c r="A250">
        <v>15</v>
      </c>
      <c r="B250">
        <v>0</v>
      </c>
      <c r="C250">
        <v>338</v>
      </c>
    </row>
    <row r="251" spans="1:3" x14ac:dyDescent="0.25">
      <c r="A251">
        <v>16</v>
      </c>
      <c r="B251">
        <v>0</v>
      </c>
      <c r="C251">
        <v>338</v>
      </c>
    </row>
    <row r="252" spans="1:3" x14ac:dyDescent="0.25">
      <c r="A252">
        <v>12</v>
      </c>
      <c r="B252">
        <v>0</v>
      </c>
      <c r="C252">
        <v>307</v>
      </c>
    </row>
    <row r="253" spans="1:3" x14ac:dyDescent="0.25">
      <c r="A253">
        <v>16</v>
      </c>
      <c r="B253">
        <v>0</v>
      </c>
      <c r="C253">
        <v>307</v>
      </c>
    </row>
    <row r="254" spans="1:3" x14ac:dyDescent="0.25">
      <c r="A254">
        <v>16</v>
      </c>
      <c r="B254">
        <v>0</v>
      </c>
      <c r="C254">
        <v>307</v>
      </c>
    </row>
    <row r="255" spans="1:3" x14ac:dyDescent="0.25">
      <c r="A255">
        <v>12</v>
      </c>
      <c r="B255">
        <v>0</v>
      </c>
      <c r="C255">
        <v>307</v>
      </c>
    </row>
    <row r="256" spans="1:3" x14ac:dyDescent="0.25">
      <c r="A256">
        <v>12</v>
      </c>
      <c r="B256">
        <v>0</v>
      </c>
      <c r="C256">
        <v>307</v>
      </c>
    </row>
    <row r="257" spans="1:3" x14ac:dyDescent="0.25">
      <c r="A257">
        <v>14</v>
      </c>
      <c r="B257">
        <v>0</v>
      </c>
      <c r="C257">
        <v>307</v>
      </c>
    </row>
    <row r="258" spans="1:3" x14ac:dyDescent="0.25">
      <c r="A258">
        <v>13</v>
      </c>
      <c r="B258">
        <v>0</v>
      </c>
      <c r="C258">
        <v>307</v>
      </c>
    </row>
    <row r="259" spans="1:3" x14ac:dyDescent="0.25">
      <c r="A259">
        <v>14</v>
      </c>
      <c r="B259">
        <v>0</v>
      </c>
      <c r="C259">
        <v>307</v>
      </c>
    </row>
    <row r="260" spans="1:3" x14ac:dyDescent="0.25">
      <c r="A260">
        <v>12</v>
      </c>
      <c r="B260">
        <v>0</v>
      </c>
      <c r="C260">
        <v>362</v>
      </c>
    </row>
    <row r="261" spans="1:3" x14ac:dyDescent="0.25">
      <c r="A261">
        <v>12</v>
      </c>
      <c r="B261">
        <v>0</v>
      </c>
      <c r="C261">
        <v>362</v>
      </c>
    </row>
    <row r="262" spans="1:3" x14ac:dyDescent="0.25">
      <c r="A262">
        <v>12</v>
      </c>
      <c r="B262">
        <v>0</v>
      </c>
      <c r="C262">
        <v>362</v>
      </c>
    </row>
    <row r="263" spans="1:3" x14ac:dyDescent="0.25">
      <c r="A263">
        <v>13</v>
      </c>
      <c r="B263">
        <v>0</v>
      </c>
      <c r="C263">
        <v>362</v>
      </c>
    </row>
    <row r="264" spans="1:3" x14ac:dyDescent="0.25">
      <c r="A264">
        <v>11</v>
      </c>
      <c r="B264">
        <v>0</v>
      </c>
      <c r="C264">
        <v>362</v>
      </c>
    </row>
    <row r="265" spans="1:3" x14ac:dyDescent="0.25">
      <c r="A265">
        <v>12</v>
      </c>
      <c r="B265">
        <v>0</v>
      </c>
      <c r="C265">
        <v>362</v>
      </c>
    </row>
    <row r="266" spans="1:3" x14ac:dyDescent="0.25">
      <c r="A266">
        <v>12</v>
      </c>
      <c r="B266">
        <v>0</v>
      </c>
      <c r="C266">
        <v>362</v>
      </c>
    </row>
    <row r="267" spans="1:3" x14ac:dyDescent="0.25">
      <c r="A267">
        <v>12</v>
      </c>
      <c r="B267">
        <v>0</v>
      </c>
      <c r="C267">
        <v>362</v>
      </c>
    </row>
    <row r="268" spans="1:3" x14ac:dyDescent="0.25">
      <c r="A268">
        <v>12</v>
      </c>
      <c r="B268">
        <v>0</v>
      </c>
      <c r="C268">
        <v>322</v>
      </c>
    </row>
    <row r="269" spans="1:3" x14ac:dyDescent="0.25">
      <c r="A269">
        <v>19</v>
      </c>
      <c r="B269">
        <v>0</v>
      </c>
      <c r="C269">
        <v>322</v>
      </c>
    </row>
    <row r="270" spans="1:3" x14ac:dyDescent="0.25">
      <c r="A270">
        <v>15</v>
      </c>
      <c r="B270">
        <v>0</v>
      </c>
      <c r="C270">
        <v>322</v>
      </c>
    </row>
    <row r="271" spans="1:3" x14ac:dyDescent="0.25">
      <c r="A271">
        <v>13</v>
      </c>
      <c r="B271">
        <v>0</v>
      </c>
      <c r="C271">
        <v>322</v>
      </c>
    </row>
    <row r="272" spans="1:3" x14ac:dyDescent="0.25">
      <c r="A272">
        <v>12</v>
      </c>
      <c r="B272">
        <v>0</v>
      </c>
      <c r="C272">
        <v>322</v>
      </c>
    </row>
    <row r="273" spans="1:3" x14ac:dyDescent="0.25">
      <c r="A273">
        <v>12</v>
      </c>
      <c r="B273">
        <v>0</v>
      </c>
      <c r="C273">
        <v>322</v>
      </c>
    </row>
    <row r="274" spans="1:3" x14ac:dyDescent="0.25">
      <c r="A274">
        <v>15</v>
      </c>
      <c r="B274">
        <v>0</v>
      </c>
      <c r="C274">
        <v>322</v>
      </c>
    </row>
    <row r="275" spans="1:3" x14ac:dyDescent="0.25">
      <c r="A275">
        <v>13</v>
      </c>
      <c r="B275">
        <v>0</v>
      </c>
      <c r="C275">
        <v>322</v>
      </c>
    </row>
    <row r="276" spans="1:3" x14ac:dyDescent="0.25">
      <c r="A276">
        <v>13</v>
      </c>
      <c r="B276">
        <v>0</v>
      </c>
      <c r="C276">
        <v>327</v>
      </c>
    </row>
    <row r="277" spans="1:3" x14ac:dyDescent="0.25">
      <c r="A277">
        <v>12</v>
      </c>
      <c r="B277">
        <v>0</v>
      </c>
      <c r="C277">
        <v>327</v>
      </c>
    </row>
    <row r="278" spans="1:3" x14ac:dyDescent="0.25">
      <c r="A278">
        <v>13</v>
      </c>
      <c r="B278">
        <v>0</v>
      </c>
      <c r="C278">
        <v>327</v>
      </c>
    </row>
    <row r="279" spans="1:3" x14ac:dyDescent="0.25">
      <c r="A279">
        <v>13</v>
      </c>
      <c r="B279">
        <v>0</v>
      </c>
      <c r="C279">
        <v>327</v>
      </c>
    </row>
    <row r="280" spans="1:3" x14ac:dyDescent="0.25">
      <c r="A280">
        <v>12</v>
      </c>
      <c r="B280">
        <v>0</v>
      </c>
      <c r="C280">
        <v>327</v>
      </c>
    </row>
    <row r="281" spans="1:3" x14ac:dyDescent="0.25">
      <c r="A281">
        <v>12</v>
      </c>
      <c r="B281">
        <v>0</v>
      </c>
      <c r="C281">
        <v>327</v>
      </c>
    </row>
    <row r="282" spans="1:3" x14ac:dyDescent="0.25">
      <c r="A282">
        <v>13</v>
      </c>
      <c r="B282">
        <v>0</v>
      </c>
      <c r="C282">
        <v>327</v>
      </c>
    </row>
    <row r="283" spans="1:3" x14ac:dyDescent="0.25">
      <c r="A283">
        <v>11</v>
      </c>
      <c r="B283">
        <v>0</v>
      </c>
      <c r="C283">
        <v>327</v>
      </c>
    </row>
    <row r="284" spans="1:3" x14ac:dyDescent="0.25">
      <c r="A284">
        <v>13</v>
      </c>
      <c r="B284">
        <v>0</v>
      </c>
      <c r="C284">
        <v>302</v>
      </c>
    </row>
    <row r="285" spans="1:3" x14ac:dyDescent="0.25">
      <c r="A285">
        <v>12</v>
      </c>
      <c r="B285">
        <v>0</v>
      </c>
      <c r="C285">
        <v>302</v>
      </c>
    </row>
    <row r="286" spans="1:3" x14ac:dyDescent="0.25">
      <c r="A286">
        <v>13</v>
      </c>
      <c r="B286">
        <v>0</v>
      </c>
      <c r="C286">
        <v>302</v>
      </c>
    </row>
    <row r="287" spans="1:3" x14ac:dyDescent="0.25">
      <c r="A287">
        <v>12</v>
      </c>
      <c r="B287">
        <v>0</v>
      </c>
      <c r="C287">
        <v>302</v>
      </c>
    </row>
    <row r="288" spans="1:3" x14ac:dyDescent="0.25">
      <c r="A288">
        <v>13</v>
      </c>
      <c r="B288">
        <v>0</v>
      </c>
      <c r="C288">
        <v>302</v>
      </c>
    </row>
    <row r="289" spans="1:3" x14ac:dyDescent="0.25">
      <c r="A289">
        <v>12</v>
      </c>
      <c r="B289">
        <v>0</v>
      </c>
      <c r="C289">
        <v>302</v>
      </c>
    </row>
    <row r="290" spans="1:3" x14ac:dyDescent="0.25">
      <c r="A290">
        <v>13</v>
      </c>
      <c r="B290">
        <v>0</v>
      </c>
      <c r="C290">
        <v>302</v>
      </c>
    </row>
    <row r="291" spans="1:3" x14ac:dyDescent="0.25">
      <c r="A291">
        <v>12</v>
      </c>
      <c r="B291">
        <v>0</v>
      </c>
      <c r="C291">
        <v>302</v>
      </c>
    </row>
    <row r="292" spans="1:3" x14ac:dyDescent="0.25">
      <c r="A292">
        <v>12</v>
      </c>
      <c r="B292">
        <v>0</v>
      </c>
      <c r="C292">
        <v>390</v>
      </c>
    </row>
    <row r="293" spans="1:3" x14ac:dyDescent="0.25">
      <c r="A293">
        <v>13</v>
      </c>
      <c r="B293">
        <v>0</v>
      </c>
      <c r="C293">
        <v>390</v>
      </c>
    </row>
    <row r="294" spans="1:3" x14ac:dyDescent="0.25">
      <c r="A294">
        <v>12</v>
      </c>
      <c r="B294">
        <v>0</v>
      </c>
      <c r="C294">
        <v>390</v>
      </c>
    </row>
    <row r="295" spans="1:3" x14ac:dyDescent="0.25">
      <c r="A295">
        <v>11</v>
      </c>
      <c r="B295">
        <v>0</v>
      </c>
      <c r="C295">
        <v>390</v>
      </c>
    </row>
    <row r="296" spans="1:3" x14ac:dyDescent="0.25">
      <c r="A296">
        <v>11</v>
      </c>
      <c r="B296">
        <v>0</v>
      </c>
      <c r="C296">
        <v>390</v>
      </c>
    </row>
    <row r="297" spans="1:3" x14ac:dyDescent="0.25">
      <c r="A297">
        <v>12</v>
      </c>
      <c r="B297">
        <v>0</v>
      </c>
      <c r="C297">
        <v>390</v>
      </c>
    </row>
    <row r="298" spans="1:3" x14ac:dyDescent="0.25">
      <c r="A298">
        <v>11</v>
      </c>
      <c r="B298">
        <v>0</v>
      </c>
      <c r="C298">
        <v>390</v>
      </c>
    </row>
    <row r="299" spans="1:3" x14ac:dyDescent="0.25">
      <c r="A299">
        <v>13</v>
      </c>
      <c r="B299">
        <v>0</v>
      </c>
      <c r="C299">
        <v>390</v>
      </c>
    </row>
    <row r="300" spans="1:3" x14ac:dyDescent="0.25">
      <c r="A300">
        <v>13</v>
      </c>
      <c r="B300">
        <v>0</v>
      </c>
      <c r="C300">
        <v>340</v>
      </c>
    </row>
    <row r="301" spans="1:3" x14ac:dyDescent="0.25">
      <c r="A301">
        <v>12</v>
      </c>
      <c r="B301">
        <v>0</v>
      </c>
      <c r="C301">
        <v>340</v>
      </c>
    </row>
    <row r="302" spans="1:3" x14ac:dyDescent="0.25">
      <c r="A302">
        <v>12</v>
      </c>
      <c r="B302">
        <v>0</v>
      </c>
      <c r="C302">
        <v>340</v>
      </c>
    </row>
    <row r="303" spans="1:3" x14ac:dyDescent="0.25">
      <c r="A303">
        <v>13</v>
      </c>
      <c r="B303">
        <v>0</v>
      </c>
      <c r="C303">
        <v>340</v>
      </c>
    </row>
    <row r="304" spans="1:3" x14ac:dyDescent="0.25">
      <c r="A304">
        <v>13</v>
      </c>
      <c r="B304">
        <v>0</v>
      </c>
      <c r="C304">
        <v>340</v>
      </c>
    </row>
    <row r="305" spans="1:3" x14ac:dyDescent="0.25">
      <c r="A305">
        <v>15</v>
      </c>
      <c r="B305">
        <v>0</v>
      </c>
      <c r="C305">
        <v>340</v>
      </c>
    </row>
    <row r="306" spans="1:3" x14ac:dyDescent="0.25">
      <c r="A306">
        <v>12</v>
      </c>
      <c r="B306">
        <v>0</v>
      </c>
      <c r="C306">
        <v>340</v>
      </c>
    </row>
    <row r="307" spans="1:3" x14ac:dyDescent="0.25">
      <c r="A307">
        <v>13</v>
      </c>
      <c r="B307">
        <v>0</v>
      </c>
      <c r="C307">
        <v>340</v>
      </c>
    </row>
    <row r="308" spans="1:3" x14ac:dyDescent="0.25">
      <c r="A308">
        <v>13</v>
      </c>
      <c r="B308">
        <v>0</v>
      </c>
      <c r="C308">
        <v>332</v>
      </c>
    </row>
    <row r="309" spans="1:3" x14ac:dyDescent="0.25">
      <c r="A309">
        <v>12</v>
      </c>
      <c r="B309">
        <v>0</v>
      </c>
      <c r="C309">
        <v>332</v>
      </c>
    </row>
    <row r="310" spans="1:3" x14ac:dyDescent="0.25">
      <c r="A310">
        <v>11</v>
      </c>
      <c r="B310">
        <v>0</v>
      </c>
      <c r="C310">
        <v>332</v>
      </c>
    </row>
    <row r="311" spans="1:3" x14ac:dyDescent="0.25">
      <c r="A311">
        <v>12</v>
      </c>
      <c r="B311">
        <v>0</v>
      </c>
      <c r="C311">
        <v>332</v>
      </c>
    </row>
    <row r="312" spans="1:3" x14ac:dyDescent="0.25">
      <c r="A312">
        <v>12</v>
      </c>
      <c r="B312">
        <v>0</v>
      </c>
      <c r="C312">
        <v>332</v>
      </c>
    </row>
    <row r="313" spans="1:3" x14ac:dyDescent="0.25">
      <c r="A313">
        <v>14</v>
      </c>
      <c r="B313">
        <v>0</v>
      </c>
      <c r="C313">
        <v>332</v>
      </c>
    </row>
    <row r="314" spans="1:3" x14ac:dyDescent="0.25">
      <c r="A314">
        <v>13</v>
      </c>
      <c r="B314">
        <v>0</v>
      </c>
      <c r="C314">
        <v>332</v>
      </c>
    </row>
    <row r="315" spans="1:3" x14ac:dyDescent="0.25">
      <c r="A315">
        <v>14</v>
      </c>
      <c r="B315">
        <v>0</v>
      </c>
      <c r="C315">
        <v>332</v>
      </c>
    </row>
    <row r="316" spans="1:3" x14ac:dyDescent="0.25">
      <c r="A316">
        <v>13</v>
      </c>
      <c r="B316">
        <v>0</v>
      </c>
      <c r="C316">
        <v>324</v>
      </c>
    </row>
    <row r="317" spans="1:3" x14ac:dyDescent="0.25">
      <c r="A317">
        <v>13</v>
      </c>
      <c r="B317">
        <v>0</v>
      </c>
      <c r="C317">
        <v>324</v>
      </c>
    </row>
    <row r="318" spans="1:3" x14ac:dyDescent="0.25">
      <c r="A318">
        <v>13</v>
      </c>
      <c r="B318">
        <v>0</v>
      </c>
      <c r="C318">
        <v>324</v>
      </c>
    </row>
    <row r="319" spans="1:3" x14ac:dyDescent="0.25">
      <c r="A319">
        <v>12</v>
      </c>
      <c r="B319">
        <v>0</v>
      </c>
      <c r="C319">
        <v>324</v>
      </c>
    </row>
    <row r="320" spans="1:3" x14ac:dyDescent="0.25">
      <c r="A320">
        <v>15</v>
      </c>
      <c r="B320">
        <v>0</v>
      </c>
      <c r="C320">
        <v>324</v>
      </c>
    </row>
    <row r="321" spans="1:3" x14ac:dyDescent="0.25">
      <c r="A321">
        <v>20</v>
      </c>
      <c r="B321">
        <v>0</v>
      </c>
      <c r="C321">
        <v>324</v>
      </c>
    </row>
    <row r="322" spans="1:3" x14ac:dyDescent="0.25">
      <c r="A322">
        <v>21</v>
      </c>
      <c r="B322">
        <v>0</v>
      </c>
      <c r="C322">
        <v>324</v>
      </c>
    </row>
    <row r="323" spans="1:3" x14ac:dyDescent="0.25">
      <c r="A323">
        <v>20</v>
      </c>
      <c r="B323">
        <v>0</v>
      </c>
      <c r="C323">
        <v>674</v>
      </c>
    </row>
    <row r="324" spans="1:3" x14ac:dyDescent="0.25">
      <c r="A324">
        <v>20</v>
      </c>
      <c r="B324">
        <v>0</v>
      </c>
      <c r="C324">
        <v>674</v>
      </c>
    </row>
    <row r="325" spans="1:3" x14ac:dyDescent="0.25">
      <c r="A325">
        <v>17</v>
      </c>
      <c r="B325">
        <v>0</v>
      </c>
      <c r="C325">
        <v>674</v>
      </c>
    </row>
    <row r="326" spans="1:3" x14ac:dyDescent="0.25">
      <c r="A326">
        <v>13</v>
      </c>
      <c r="B326">
        <v>0</v>
      </c>
      <c r="C326">
        <v>674</v>
      </c>
    </row>
    <row r="327" spans="1:3" x14ac:dyDescent="0.25">
      <c r="A327">
        <v>14</v>
      </c>
      <c r="B327">
        <v>0</v>
      </c>
      <c r="C327">
        <v>674</v>
      </c>
    </row>
    <row r="328" spans="1:3" x14ac:dyDescent="0.25">
      <c r="A328">
        <v>13</v>
      </c>
      <c r="B328">
        <v>0</v>
      </c>
      <c r="C328">
        <v>674</v>
      </c>
    </row>
    <row r="329" spans="1:3" x14ac:dyDescent="0.25">
      <c r="A329">
        <v>16</v>
      </c>
      <c r="B329">
        <v>0</v>
      </c>
      <c r="C329">
        <v>674</v>
      </c>
    </row>
    <row r="330" spans="1:3" x14ac:dyDescent="0.25">
      <c r="A330">
        <v>12</v>
      </c>
      <c r="B330">
        <v>0</v>
      </c>
      <c r="C330">
        <v>493</v>
      </c>
    </row>
    <row r="331" spans="1:3" x14ac:dyDescent="0.25">
      <c r="A331">
        <v>12</v>
      </c>
      <c r="B331">
        <v>0</v>
      </c>
      <c r="C331">
        <v>493</v>
      </c>
    </row>
    <row r="332" spans="1:3" x14ac:dyDescent="0.25">
      <c r="A332">
        <v>12</v>
      </c>
      <c r="B332">
        <v>0</v>
      </c>
      <c r="C332">
        <v>493</v>
      </c>
    </row>
    <row r="333" spans="1:3" x14ac:dyDescent="0.25">
      <c r="A333">
        <v>12</v>
      </c>
      <c r="B333">
        <v>0</v>
      </c>
      <c r="C333">
        <v>493</v>
      </c>
    </row>
    <row r="334" spans="1:3" x14ac:dyDescent="0.25">
      <c r="A334">
        <v>12</v>
      </c>
      <c r="B334">
        <v>0</v>
      </c>
      <c r="C334">
        <v>493</v>
      </c>
    </row>
    <row r="335" spans="1:3" x14ac:dyDescent="0.25">
      <c r="A335">
        <v>16</v>
      </c>
      <c r="B335">
        <v>0</v>
      </c>
      <c r="C335">
        <v>493</v>
      </c>
    </row>
    <row r="336" spans="1:3" x14ac:dyDescent="0.25">
      <c r="A336">
        <v>15</v>
      </c>
      <c r="B336">
        <v>0</v>
      </c>
      <c r="C336">
        <v>493</v>
      </c>
    </row>
    <row r="337" spans="1:3" x14ac:dyDescent="0.25">
      <c r="A337">
        <v>21</v>
      </c>
      <c r="B337">
        <v>0</v>
      </c>
      <c r="C337">
        <v>377</v>
      </c>
    </row>
    <row r="338" spans="1:3" x14ac:dyDescent="0.25">
      <c r="A338">
        <v>12</v>
      </c>
      <c r="B338">
        <v>0</v>
      </c>
      <c r="C338">
        <v>377</v>
      </c>
    </row>
    <row r="339" spans="1:3" x14ac:dyDescent="0.25">
      <c r="A339">
        <v>13</v>
      </c>
      <c r="B339">
        <v>0</v>
      </c>
      <c r="C339">
        <v>377</v>
      </c>
    </row>
    <row r="340" spans="1:3" x14ac:dyDescent="0.25">
      <c r="A340">
        <v>21</v>
      </c>
      <c r="B340">
        <v>0</v>
      </c>
      <c r="C340">
        <v>377</v>
      </c>
    </row>
    <row r="341" spans="1:3" x14ac:dyDescent="0.25">
      <c r="A341">
        <v>14</v>
      </c>
      <c r="B341">
        <v>0</v>
      </c>
      <c r="C341">
        <v>377</v>
      </c>
    </row>
    <row r="342" spans="1:3" x14ac:dyDescent="0.25">
      <c r="A342">
        <v>11</v>
      </c>
      <c r="B342">
        <v>0</v>
      </c>
      <c r="C342">
        <v>377</v>
      </c>
    </row>
    <row r="343" spans="1:3" x14ac:dyDescent="0.25">
      <c r="A343">
        <v>13</v>
      </c>
      <c r="B343">
        <v>0</v>
      </c>
      <c r="C343">
        <v>377</v>
      </c>
    </row>
    <row r="344" spans="1:3" x14ac:dyDescent="0.25">
      <c r="A344">
        <v>12</v>
      </c>
      <c r="B344">
        <v>0</v>
      </c>
      <c r="C344">
        <v>377</v>
      </c>
    </row>
    <row r="345" spans="1:3" x14ac:dyDescent="0.25">
      <c r="A345">
        <v>12</v>
      </c>
      <c r="B345">
        <v>0</v>
      </c>
      <c r="C345">
        <v>309</v>
      </c>
    </row>
    <row r="346" spans="1:3" x14ac:dyDescent="0.25">
      <c r="A346">
        <v>12</v>
      </c>
      <c r="B346">
        <v>0</v>
      </c>
      <c r="C346">
        <v>309</v>
      </c>
    </row>
    <row r="347" spans="1:3" x14ac:dyDescent="0.25">
      <c r="A347">
        <v>11</v>
      </c>
      <c r="B347">
        <v>0</v>
      </c>
      <c r="C347">
        <v>309</v>
      </c>
    </row>
    <row r="348" spans="1:3" x14ac:dyDescent="0.25">
      <c r="A348">
        <v>12</v>
      </c>
      <c r="B348">
        <v>0</v>
      </c>
      <c r="C348">
        <v>309</v>
      </c>
    </row>
    <row r="349" spans="1:3" x14ac:dyDescent="0.25">
      <c r="A349">
        <v>13</v>
      </c>
      <c r="B349">
        <v>0</v>
      </c>
      <c r="C349">
        <v>309</v>
      </c>
    </row>
    <row r="350" spans="1:3" x14ac:dyDescent="0.25">
      <c r="A350">
        <v>12</v>
      </c>
      <c r="B350">
        <v>0</v>
      </c>
      <c r="C350">
        <v>309</v>
      </c>
    </row>
    <row r="351" spans="1:3" x14ac:dyDescent="0.25">
      <c r="A351">
        <v>13</v>
      </c>
      <c r="B351">
        <v>0</v>
      </c>
      <c r="C351">
        <v>309</v>
      </c>
    </row>
    <row r="352" spans="1:3" x14ac:dyDescent="0.25">
      <c r="A352">
        <v>12</v>
      </c>
      <c r="B352">
        <v>0</v>
      </c>
      <c r="C352">
        <v>309</v>
      </c>
    </row>
    <row r="353" spans="1:3" x14ac:dyDescent="0.25">
      <c r="A353">
        <v>12</v>
      </c>
      <c r="B353">
        <v>0</v>
      </c>
      <c r="C353">
        <v>336</v>
      </c>
    </row>
    <row r="354" spans="1:3" x14ac:dyDescent="0.25">
      <c r="A354">
        <v>13</v>
      </c>
      <c r="B354">
        <v>0</v>
      </c>
      <c r="C354">
        <v>336</v>
      </c>
    </row>
    <row r="355" spans="1:3" x14ac:dyDescent="0.25">
      <c r="A355">
        <v>17</v>
      </c>
      <c r="B355">
        <v>0</v>
      </c>
      <c r="C355">
        <v>336</v>
      </c>
    </row>
    <row r="356" spans="1:3" x14ac:dyDescent="0.25">
      <c r="A356">
        <v>15</v>
      </c>
      <c r="B356">
        <v>0</v>
      </c>
      <c r="C356">
        <v>336</v>
      </c>
    </row>
    <row r="357" spans="1:3" x14ac:dyDescent="0.25">
      <c r="A357">
        <v>14</v>
      </c>
      <c r="B357">
        <v>0</v>
      </c>
      <c r="C357">
        <v>336</v>
      </c>
    </row>
    <row r="358" spans="1:3" x14ac:dyDescent="0.25">
      <c r="A358">
        <v>13</v>
      </c>
      <c r="B358">
        <v>0</v>
      </c>
      <c r="C358">
        <v>336</v>
      </c>
    </row>
    <row r="359" spans="1:3" x14ac:dyDescent="0.25">
      <c r="A359">
        <v>14</v>
      </c>
      <c r="B359">
        <v>0</v>
      </c>
      <c r="C359">
        <v>336</v>
      </c>
    </row>
    <row r="360" spans="1:3" x14ac:dyDescent="0.25">
      <c r="A360">
        <v>12</v>
      </c>
      <c r="B360">
        <v>0</v>
      </c>
      <c r="C360">
        <v>336</v>
      </c>
    </row>
    <row r="361" spans="1:3" x14ac:dyDescent="0.25">
      <c r="A361">
        <v>12</v>
      </c>
      <c r="B361">
        <v>0</v>
      </c>
      <c r="C361">
        <v>357</v>
      </c>
    </row>
    <row r="362" spans="1:3" x14ac:dyDescent="0.25">
      <c r="A362">
        <v>13</v>
      </c>
      <c r="B362">
        <v>0</v>
      </c>
      <c r="C362">
        <v>357</v>
      </c>
    </row>
    <row r="363" spans="1:3" x14ac:dyDescent="0.25">
      <c r="A363">
        <v>13</v>
      </c>
      <c r="B363">
        <v>0</v>
      </c>
      <c r="C363">
        <v>357</v>
      </c>
    </row>
    <row r="364" spans="1:3" x14ac:dyDescent="0.25">
      <c r="A364">
        <v>12</v>
      </c>
      <c r="B364">
        <v>0</v>
      </c>
      <c r="C364">
        <v>357</v>
      </c>
    </row>
    <row r="365" spans="1:3" x14ac:dyDescent="0.25">
      <c r="A365">
        <v>14</v>
      </c>
      <c r="B365">
        <v>0</v>
      </c>
      <c r="C365">
        <v>357</v>
      </c>
    </row>
    <row r="366" spans="1:3" x14ac:dyDescent="0.25">
      <c r="A366">
        <v>12</v>
      </c>
      <c r="B366">
        <v>0</v>
      </c>
      <c r="C366">
        <v>357</v>
      </c>
    </row>
    <row r="367" spans="1:3" x14ac:dyDescent="0.25">
      <c r="A367">
        <v>12</v>
      </c>
      <c r="B367">
        <v>0</v>
      </c>
      <c r="C367">
        <v>357</v>
      </c>
    </row>
    <row r="368" spans="1:3" x14ac:dyDescent="0.25">
      <c r="A368">
        <v>11</v>
      </c>
      <c r="B368">
        <v>0</v>
      </c>
      <c r="C368">
        <v>357</v>
      </c>
    </row>
    <row r="369" spans="1:3" x14ac:dyDescent="0.25">
      <c r="A369">
        <v>13</v>
      </c>
      <c r="B369">
        <v>0</v>
      </c>
      <c r="C369">
        <v>332</v>
      </c>
    </row>
    <row r="370" spans="1:3" x14ac:dyDescent="0.25">
      <c r="A370">
        <v>12</v>
      </c>
      <c r="B370">
        <v>0</v>
      </c>
      <c r="C370">
        <v>332</v>
      </c>
    </row>
    <row r="371" spans="1:3" x14ac:dyDescent="0.25">
      <c r="A371">
        <v>12</v>
      </c>
      <c r="B371">
        <v>0</v>
      </c>
      <c r="C371">
        <v>332</v>
      </c>
    </row>
    <row r="372" spans="1:3" x14ac:dyDescent="0.25">
      <c r="A372">
        <v>13</v>
      </c>
      <c r="B372">
        <v>0</v>
      </c>
      <c r="C372">
        <v>332</v>
      </c>
    </row>
    <row r="373" spans="1:3" x14ac:dyDescent="0.25">
      <c r="A373">
        <v>11</v>
      </c>
      <c r="B373">
        <v>0</v>
      </c>
      <c r="C373">
        <v>332</v>
      </c>
    </row>
    <row r="374" spans="1:3" x14ac:dyDescent="0.25">
      <c r="A374">
        <v>12</v>
      </c>
      <c r="B374">
        <v>0</v>
      </c>
      <c r="C374">
        <v>332</v>
      </c>
    </row>
    <row r="375" spans="1:3" x14ac:dyDescent="0.25">
      <c r="A375">
        <v>12</v>
      </c>
      <c r="B375">
        <v>0</v>
      </c>
      <c r="C375">
        <v>332</v>
      </c>
    </row>
    <row r="376" spans="1:3" x14ac:dyDescent="0.25">
      <c r="A376">
        <v>18</v>
      </c>
      <c r="B376">
        <v>0</v>
      </c>
      <c r="C376">
        <v>332</v>
      </c>
    </row>
    <row r="377" spans="1:3" x14ac:dyDescent="0.25">
      <c r="A377">
        <v>13</v>
      </c>
      <c r="B377">
        <v>0</v>
      </c>
      <c r="C377">
        <v>343</v>
      </c>
    </row>
    <row r="378" spans="1:3" x14ac:dyDescent="0.25">
      <c r="A378">
        <v>13</v>
      </c>
      <c r="B378">
        <v>0</v>
      </c>
      <c r="C378">
        <v>343</v>
      </c>
    </row>
    <row r="379" spans="1:3" x14ac:dyDescent="0.25">
      <c r="A379">
        <v>12</v>
      </c>
      <c r="B379">
        <v>0</v>
      </c>
      <c r="C379">
        <v>343</v>
      </c>
    </row>
    <row r="380" spans="1:3" x14ac:dyDescent="0.25">
      <c r="A380">
        <v>12</v>
      </c>
      <c r="B380">
        <v>0</v>
      </c>
      <c r="C380">
        <v>343</v>
      </c>
    </row>
    <row r="381" spans="1:3" x14ac:dyDescent="0.25">
      <c r="A381">
        <v>13</v>
      </c>
      <c r="B381">
        <v>0</v>
      </c>
      <c r="C381">
        <v>343</v>
      </c>
    </row>
    <row r="382" spans="1:3" x14ac:dyDescent="0.25">
      <c r="A382">
        <v>12</v>
      </c>
      <c r="B382">
        <v>0</v>
      </c>
      <c r="C382">
        <v>343</v>
      </c>
    </row>
    <row r="383" spans="1:3" x14ac:dyDescent="0.25">
      <c r="A383">
        <v>11</v>
      </c>
      <c r="B383">
        <v>0</v>
      </c>
      <c r="C383">
        <v>343</v>
      </c>
    </row>
    <row r="384" spans="1:3" x14ac:dyDescent="0.25">
      <c r="A384">
        <v>13</v>
      </c>
      <c r="B384">
        <v>0</v>
      </c>
      <c r="C384">
        <v>343</v>
      </c>
    </row>
    <row r="385" spans="1:3" x14ac:dyDescent="0.25">
      <c r="A385">
        <v>12</v>
      </c>
      <c r="B385">
        <v>0</v>
      </c>
      <c r="C385">
        <v>299</v>
      </c>
    </row>
    <row r="386" spans="1:3" x14ac:dyDescent="0.25">
      <c r="A386">
        <v>12</v>
      </c>
      <c r="B386">
        <v>0</v>
      </c>
      <c r="C386">
        <v>299</v>
      </c>
    </row>
    <row r="387" spans="1:3" x14ac:dyDescent="0.25">
      <c r="A387">
        <v>12</v>
      </c>
      <c r="B387">
        <v>0</v>
      </c>
      <c r="C387">
        <v>299</v>
      </c>
    </row>
    <row r="388" spans="1:3" x14ac:dyDescent="0.25">
      <c r="A388">
        <v>12</v>
      </c>
      <c r="B388">
        <v>0</v>
      </c>
      <c r="C388">
        <v>299</v>
      </c>
    </row>
    <row r="389" spans="1:3" x14ac:dyDescent="0.25">
      <c r="A389">
        <v>12</v>
      </c>
      <c r="B389">
        <v>0</v>
      </c>
      <c r="C389">
        <v>299</v>
      </c>
    </row>
    <row r="390" spans="1:3" x14ac:dyDescent="0.25">
      <c r="A390">
        <v>12</v>
      </c>
      <c r="B390">
        <v>0</v>
      </c>
      <c r="C390">
        <v>299</v>
      </c>
    </row>
    <row r="391" spans="1:3" x14ac:dyDescent="0.25">
      <c r="A391">
        <v>11</v>
      </c>
      <c r="B391">
        <v>0</v>
      </c>
      <c r="C391">
        <v>299</v>
      </c>
    </row>
    <row r="392" spans="1:3" x14ac:dyDescent="0.25">
      <c r="A392">
        <v>12</v>
      </c>
      <c r="B392">
        <v>0</v>
      </c>
      <c r="C392">
        <v>299</v>
      </c>
    </row>
    <row r="393" spans="1:3" x14ac:dyDescent="0.25">
      <c r="A393">
        <v>12</v>
      </c>
      <c r="B393">
        <v>0</v>
      </c>
      <c r="C393">
        <v>385</v>
      </c>
    </row>
    <row r="394" spans="1:3" x14ac:dyDescent="0.25">
      <c r="A394">
        <v>12</v>
      </c>
      <c r="B394">
        <v>0</v>
      </c>
      <c r="C394">
        <v>385</v>
      </c>
    </row>
    <row r="395" spans="1:3" x14ac:dyDescent="0.25">
      <c r="A395">
        <v>12</v>
      </c>
      <c r="B395">
        <v>0</v>
      </c>
      <c r="C395">
        <v>385</v>
      </c>
    </row>
    <row r="396" spans="1:3" x14ac:dyDescent="0.25">
      <c r="A396">
        <v>12</v>
      </c>
      <c r="B396">
        <v>0</v>
      </c>
      <c r="C396">
        <v>385</v>
      </c>
    </row>
    <row r="397" spans="1:3" x14ac:dyDescent="0.25">
      <c r="A397">
        <v>14</v>
      </c>
      <c r="B397">
        <v>0</v>
      </c>
      <c r="C397">
        <v>385</v>
      </c>
    </row>
    <row r="398" spans="1:3" x14ac:dyDescent="0.25">
      <c r="A398">
        <v>17</v>
      </c>
      <c r="B398">
        <v>0</v>
      </c>
      <c r="C398">
        <v>385</v>
      </c>
    </row>
    <row r="399" spans="1:3" x14ac:dyDescent="0.25">
      <c r="A399">
        <v>12</v>
      </c>
      <c r="B399">
        <v>0</v>
      </c>
      <c r="C399">
        <v>385</v>
      </c>
    </row>
    <row r="400" spans="1:3" x14ac:dyDescent="0.25">
      <c r="A400">
        <v>13</v>
      </c>
      <c r="B400">
        <v>0</v>
      </c>
      <c r="C400">
        <v>385</v>
      </c>
    </row>
    <row r="401" spans="1:3" x14ac:dyDescent="0.25">
      <c r="A401">
        <v>12</v>
      </c>
      <c r="B401">
        <v>0</v>
      </c>
      <c r="C401">
        <v>334</v>
      </c>
    </row>
    <row r="402" spans="1:3" x14ac:dyDescent="0.25">
      <c r="A402">
        <v>41</v>
      </c>
      <c r="B402">
        <v>0</v>
      </c>
      <c r="C402">
        <v>107</v>
      </c>
    </row>
    <row r="403" spans="1:3" x14ac:dyDescent="0.25">
      <c r="A403">
        <v>12</v>
      </c>
      <c r="B403">
        <v>0</v>
      </c>
      <c r="C403">
        <v>107</v>
      </c>
    </row>
    <row r="404" spans="1:3" x14ac:dyDescent="0.25">
      <c r="A404">
        <v>12</v>
      </c>
      <c r="B404">
        <v>0</v>
      </c>
      <c r="C404">
        <v>107</v>
      </c>
    </row>
    <row r="405" spans="1:3" x14ac:dyDescent="0.25">
      <c r="A405">
        <v>13</v>
      </c>
      <c r="B405">
        <v>0</v>
      </c>
      <c r="C405">
        <v>107</v>
      </c>
    </row>
    <row r="406" spans="1:3" x14ac:dyDescent="0.25">
      <c r="A406">
        <v>14</v>
      </c>
      <c r="B406">
        <v>0</v>
      </c>
      <c r="C406">
        <v>107</v>
      </c>
    </row>
    <row r="407" spans="1:3" x14ac:dyDescent="0.25">
      <c r="A407">
        <v>12</v>
      </c>
      <c r="B407">
        <v>0</v>
      </c>
      <c r="C407">
        <v>107</v>
      </c>
    </row>
    <row r="408" spans="1:3" x14ac:dyDescent="0.25">
      <c r="A408">
        <v>12</v>
      </c>
      <c r="B408">
        <v>0</v>
      </c>
      <c r="C408">
        <v>107</v>
      </c>
    </row>
    <row r="409" spans="1:3" x14ac:dyDescent="0.25">
      <c r="A409">
        <v>13</v>
      </c>
      <c r="B409">
        <v>0</v>
      </c>
      <c r="C409">
        <v>107</v>
      </c>
    </row>
    <row r="410" spans="1:3" x14ac:dyDescent="0.25">
      <c r="A410">
        <v>15</v>
      </c>
      <c r="B410">
        <v>0</v>
      </c>
      <c r="C410">
        <v>384</v>
      </c>
    </row>
    <row r="411" spans="1:3" x14ac:dyDescent="0.25">
      <c r="A411">
        <v>15</v>
      </c>
      <c r="B411">
        <v>0</v>
      </c>
      <c r="C411">
        <v>384</v>
      </c>
    </row>
    <row r="412" spans="1:3" x14ac:dyDescent="0.25">
      <c r="A412">
        <v>15</v>
      </c>
      <c r="B412">
        <v>0</v>
      </c>
      <c r="C412">
        <v>384</v>
      </c>
    </row>
    <row r="413" spans="1:3" x14ac:dyDescent="0.25">
      <c r="A413">
        <v>16</v>
      </c>
      <c r="B413">
        <v>0</v>
      </c>
      <c r="C413">
        <v>384</v>
      </c>
    </row>
    <row r="414" spans="1:3" x14ac:dyDescent="0.25">
      <c r="A414">
        <v>13</v>
      </c>
      <c r="B414">
        <v>0</v>
      </c>
      <c r="C414">
        <v>384</v>
      </c>
    </row>
    <row r="415" spans="1:3" x14ac:dyDescent="0.25">
      <c r="A415">
        <v>13</v>
      </c>
      <c r="B415">
        <v>0</v>
      </c>
      <c r="C415">
        <v>384</v>
      </c>
    </row>
    <row r="416" spans="1:3" x14ac:dyDescent="0.25">
      <c r="A416">
        <v>12</v>
      </c>
      <c r="B416">
        <v>0</v>
      </c>
      <c r="C416">
        <v>384</v>
      </c>
    </row>
    <row r="417" spans="1:3" x14ac:dyDescent="0.25">
      <c r="A417">
        <v>12</v>
      </c>
      <c r="B417">
        <v>0</v>
      </c>
      <c r="C417">
        <v>398</v>
      </c>
    </row>
    <row r="418" spans="1:3" x14ac:dyDescent="0.25">
      <c r="A418">
        <v>13</v>
      </c>
      <c r="B418">
        <v>0</v>
      </c>
      <c r="C418">
        <v>398</v>
      </c>
    </row>
    <row r="419" spans="1:3" x14ac:dyDescent="0.25">
      <c r="A419">
        <v>12</v>
      </c>
      <c r="B419">
        <v>0</v>
      </c>
      <c r="C419">
        <v>398</v>
      </c>
    </row>
    <row r="420" spans="1:3" x14ac:dyDescent="0.25">
      <c r="A420">
        <v>12</v>
      </c>
      <c r="B420">
        <v>0</v>
      </c>
      <c r="C420">
        <v>398</v>
      </c>
    </row>
    <row r="421" spans="1:3" x14ac:dyDescent="0.25">
      <c r="A421">
        <v>14</v>
      </c>
      <c r="B421">
        <v>0</v>
      </c>
      <c r="C421">
        <v>398</v>
      </c>
    </row>
    <row r="422" spans="1:3" x14ac:dyDescent="0.25">
      <c r="A422">
        <v>12</v>
      </c>
      <c r="B422">
        <v>0</v>
      </c>
      <c r="C422">
        <v>398</v>
      </c>
    </row>
    <row r="423" spans="1:3" x14ac:dyDescent="0.25">
      <c r="A423">
        <v>13</v>
      </c>
      <c r="B423">
        <v>0</v>
      </c>
      <c r="C423">
        <v>398</v>
      </c>
    </row>
    <row r="424" spans="1:3" x14ac:dyDescent="0.25">
      <c r="A424">
        <v>12</v>
      </c>
      <c r="B424">
        <v>0</v>
      </c>
      <c r="C424">
        <v>398</v>
      </c>
    </row>
    <row r="425" spans="1:3" x14ac:dyDescent="0.25">
      <c r="A425">
        <v>16</v>
      </c>
      <c r="B425">
        <v>0</v>
      </c>
      <c r="C425">
        <v>357</v>
      </c>
    </row>
    <row r="426" spans="1:3" x14ac:dyDescent="0.25">
      <c r="A426">
        <v>12</v>
      </c>
      <c r="B426">
        <v>0</v>
      </c>
      <c r="C426">
        <v>357</v>
      </c>
    </row>
    <row r="427" spans="1:3" x14ac:dyDescent="0.25">
      <c r="A427">
        <v>12</v>
      </c>
      <c r="B427">
        <v>0</v>
      </c>
      <c r="C427">
        <v>357</v>
      </c>
    </row>
    <row r="428" spans="1:3" x14ac:dyDescent="0.25">
      <c r="A428">
        <v>12</v>
      </c>
      <c r="B428">
        <v>0</v>
      </c>
      <c r="C428">
        <v>357</v>
      </c>
    </row>
    <row r="429" spans="1:3" x14ac:dyDescent="0.25">
      <c r="A429">
        <v>12</v>
      </c>
      <c r="B429">
        <v>0</v>
      </c>
      <c r="C429">
        <v>357</v>
      </c>
    </row>
    <row r="430" spans="1:3" x14ac:dyDescent="0.25">
      <c r="A430">
        <v>13</v>
      </c>
      <c r="B430">
        <v>0</v>
      </c>
      <c r="C430">
        <v>357</v>
      </c>
    </row>
    <row r="431" spans="1:3" x14ac:dyDescent="0.25">
      <c r="A431">
        <v>14</v>
      </c>
      <c r="B431">
        <v>0</v>
      </c>
      <c r="C431">
        <v>357</v>
      </c>
    </row>
    <row r="432" spans="1:3" x14ac:dyDescent="0.25">
      <c r="A432">
        <v>12</v>
      </c>
      <c r="B432">
        <v>0</v>
      </c>
      <c r="C432">
        <v>357</v>
      </c>
    </row>
    <row r="433" spans="1:3" x14ac:dyDescent="0.25">
      <c r="A433">
        <v>13</v>
      </c>
      <c r="B433">
        <v>0</v>
      </c>
      <c r="C433">
        <v>388</v>
      </c>
    </row>
    <row r="434" spans="1:3" x14ac:dyDescent="0.25">
      <c r="A434">
        <v>13</v>
      </c>
      <c r="B434">
        <v>0</v>
      </c>
      <c r="C434">
        <v>388</v>
      </c>
    </row>
    <row r="435" spans="1:3" x14ac:dyDescent="0.25">
      <c r="A435">
        <v>14</v>
      </c>
      <c r="B435">
        <v>0</v>
      </c>
      <c r="C435">
        <v>388</v>
      </c>
    </row>
    <row r="436" spans="1:3" x14ac:dyDescent="0.25">
      <c r="A436">
        <v>17</v>
      </c>
      <c r="B436">
        <v>0</v>
      </c>
      <c r="C436">
        <v>388</v>
      </c>
    </row>
    <row r="437" spans="1:3" x14ac:dyDescent="0.25">
      <c r="A437">
        <v>12</v>
      </c>
      <c r="B437">
        <v>0</v>
      </c>
      <c r="C437">
        <v>388</v>
      </c>
    </row>
    <row r="438" spans="1:3" x14ac:dyDescent="0.25">
      <c r="A438">
        <v>13</v>
      </c>
      <c r="B438">
        <v>0</v>
      </c>
      <c r="C438">
        <v>388</v>
      </c>
    </row>
    <row r="439" spans="1:3" x14ac:dyDescent="0.25">
      <c r="A439">
        <v>13</v>
      </c>
      <c r="B439">
        <v>0</v>
      </c>
      <c r="C439">
        <v>388</v>
      </c>
    </row>
    <row r="440" spans="1:3" x14ac:dyDescent="0.25">
      <c r="A440">
        <v>13</v>
      </c>
      <c r="B440">
        <v>0</v>
      </c>
      <c r="C440">
        <v>424</v>
      </c>
    </row>
    <row r="441" spans="1:3" x14ac:dyDescent="0.25">
      <c r="A441">
        <v>13</v>
      </c>
      <c r="B441">
        <v>0</v>
      </c>
      <c r="C441">
        <v>424</v>
      </c>
    </row>
    <row r="442" spans="1:3" x14ac:dyDescent="0.25">
      <c r="A442">
        <v>12</v>
      </c>
      <c r="B442">
        <v>0</v>
      </c>
      <c r="C442">
        <v>424</v>
      </c>
    </row>
    <row r="443" spans="1:3" x14ac:dyDescent="0.25">
      <c r="A443">
        <v>11</v>
      </c>
      <c r="B443">
        <v>0</v>
      </c>
      <c r="C443">
        <v>424</v>
      </c>
    </row>
    <row r="444" spans="1:3" x14ac:dyDescent="0.25">
      <c r="A444">
        <v>13</v>
      </c>
      <c r="B444">
        <v>0</v>
      </c>
      <c r="C444">
        <v>424</v>
      </c>
    </row>
    <row r="445" spans="1:3" x14ac:dyDescent="0.25">
      <c r="A445">
        <v>12</v>
      </c>
      <c r="B445">
        <v>0</v>
      </c>
      <c r="C445">
        <v>424</v>
      </c>
    </row>
    <row r="446" spans="1:3" x14ac:dyDescent="0.25">
      <c r="A446">
        <v>14</v>
      </c>
      <c r="B446">
        <v>0</v>
      </c>
      <c r="C446">
        <v>424</v>
      </c>
    </row>
    <row r="447" spans="1:3" x14ac:dyDescent="0.25">
      <c r="A447">
        <v>12</v>
      </c>
      <c r="B447">
        <v>0</v>
      </c>
      <c r="C447">
        <v>424</v>
      </c>
    </row>
    <row r="448" spans="1:3" x14ac:dyDescent="0.25">
      <c r="A448">
        <v>18</v>
      </c>
      <c r="B448">
        <v>0</v>
      </c>
      <c r="C448">
        <v>399</v>
      </c>
    </row>
    <row r="449" spans="1:3" x14ac:dyDescent="0.25">
      <c r="A449">
        <v>12</v>
      </c>
      <c r="B449">
        <v>0</v>
      </c>
      <c r="C449">
        <v>399</v>
      </c>
    </row>
    <row r="450" spans="1:3" x14ac:dyDescent="0.25">
      <c r="A450">
        <v>17</v>
      </c>
      <c r="B450">
        <v>0</v>
      </c>
      <c r="C450">
        <v>399</v>
      </c>
    </row>
    <row r="451" spans="1:3" x14ac:dyDescent="0.25">
      <c r="A451">
        <v>13</v>
      </c>
      <c r="B451">
        <v>0</v>
      </c>
      <c r="C451">
        <v>399</v>
      </c>
    </row>
    <row r="452" spans="1:3" x14ac:dyDescent="0.25">
      <c r="A452">
        <v>11</v>
      </c>
      <c r="B452">
        <v>0</v>
      </c>
      <c r="C452">
        <v>399</v>
      </c>
    </row>
    <row r="453" spans="1:3" x14ac:dyDescent="0.25">
      <c r="A453">
        <v>14</v>
      </c>
      <c r="B453">
        <v>0</v>
      </c>
      <c r="C453">
        <v>399</v>
      </c>
    </row>
    <row r="454" spans="1:3" x14ac:dyDescent="0.25">
      <c r="A454">
        <v>13</v>
      </c>
      <c r="B454">
        <v>0</v>
      </c>
      <c r="C454">
        <v>399</v>
      </c>
    </row>
    <row r="455" spans="1:3" x14ac:dyDescent="0.25">
      <c r="A455">
        <v>12</v>
      </c>
      <c r="B455">
        <v>0</v>
      </c>
      <c r="C455">
        <v>399</v>
      </c>
    </row>
    <row r="456" spans="1:3" x14ac:dyDescent="0.25">
      <c r="A456">
        <v>14</v>
      </c>
      <c r="B456">
        <v>0</v>
      </c>
      <c r="C456">
        <v>376</v>
      </c>
    </row>
    <row r="457" spans="1:3" x14ac:dyDescent="0.25">
      <c r="A457">
        <v>11</v>
      </c>
      <c r="B457">
        <v>0</v>
      </c>
      <c r="C457">
        <v>376</v>
      </c>
    </row>
    <row r="458" spans="1:3" x14ac:dyDescent="0.25">
      <c r="A458">
        <v>12</v>
      </c>
      <c r="B458">
        <v>0</v>
      </c>
      <c r="C458">
        <v>376</v>
      </c>
    </row>
    <row r="459" spans="1:3" x14ac:dyDescent="0.25">
      <c r="A459">
        <v>14</v>
      </c>
      <c r="B459">
        <v>0</v>
      </c>
      <c r="C459">
        <v>376</v>
      </c>
    </row>
    <row r="460" spans="1:3" x14ac:dyDescent="0.25">
      <c r="A460">
        <v>13</v>
      </c>
      <c r="B460">
        <v>0</v>
      </c>
      <c r="C460">
        <v>376</v>
      </c>
    </row>
    <row r="461" spans="1:3" x14ac:dyDescent="0.25">
      <c r="A461">
        <v>12</v>
      </c>
      <c r="B461">
        <v>0</v>
      </c>
      <c r="C461">
        <v>376</v>
      </c>
    </row>
    <row r="462" spans="1:3" x14ac:dyDescent="0.25">
      <c r="A462">
        <v>16</v>
      </c>
      <c r="B462">
        <v>0</v>
      </c>
      <c r="C462">
        <v>376</v>
      </c>
    </row>
    <row r="463" spans="1:3" x14ac:dyDescent="0.25">
      <c r="A463">
        <v>15</v>
      </c>
      <c r="B463">
        <v>0</v>
      </c>
      <c r="C463">
        <v>376</v>
      </c>
    </row>
    <row r="464" spans="1:3" x14ac:dyDescent="0.25">
      <c r="A464">
        <v>15</v>
      </c>
      <c r="B464">
        <v>0</v>
      </c>
      <c r="C464">
        <v>370</v>
      </c>
    </row>
    <row r="465" spans="1:3" x14ac:dyDescent="0.25">
      <c r="A465">
        <v>12</v>
      </c>
      <c r="B465">
        <v>0</v>
      </c>
      <c r="C465">
        <v>370</v>
      </c>
    </row>
    <row r="466" spans="1:3" x14ac:dyDescent="0.25">
      <c r="A466">
        <v>12</v>
      </c>
      <c r="B466">
        <v>0</v>
      </c>
      <c r="C466">
        <v>370</v>
      </c>
    </row>
    <row r="467" spans="1:3" x14ac:dyDescent="0.25">
      <c r="A467">
        <v>16</v>
      </c>
      <c r="B467">
        <v>0</v>
      </c>
      <c r="C467">
        <v>370</v>
      </c>
    </row>
    <row r="468" spans="1:3" x14ac:dyDescent="0.25">
      <c r="A468">
        <v>12</v>
      </c>
      <c r="B468">
        <v>0</v>
      </c>
      <c r="C468">
        <v>370</v>
      </c>
    </row>
    <row r="469" spans="1:3" x14ac:dyDescent="0.25">
      <c r="A469">
        <v>13</v>
      </c>
      <c r="B469">
        <v>0</v>
      </c>
      <c r="C469">
        <v>370</v>
      </c>
    </row>
    <row r="470" spans="1:3" x14ac:dyDescent="0.25">
      <c r="A470">
        <v>16</v>
      </c>
      <c r="B470">
        <v>0</v>
      </c>
      <c r="C470">
        <v>370</v>
      </c>
    </row>
    <row r="471" spans="1:3" x14ac:dyDescent="0.25">
      <c r="A471">
        <v>12</v>
      </c>
      <c r="B471">
        <v>0</v>
      </c>
      <c r="C471">
        <v>392</v>
      </c>
    </row>
    <row r="472" spans="1:3" x14ac:dyDescent="0.25">
      <c r="A472">
        <v>12</v>
      </c>
      <c r="B472">
        <v>0</v>
      </c>
      <c r="C472">
        <v>392</v>
      </c>
    </row>
    <row r="473" spans="1:3" x14ac:dyDescent="0.25">
      <c r="A473">
        <v>13</v>
      </c>
      <c r="B473">
        <v>0</v>
      </c>
      <c r="C473">
        <v>392</v>
      </c>
    </row>
    <row r="474" spans="1:3" x14ac:dyDescent="0.25">
      <c r="A474">
        <v>16</v>
      </c>
      <c r="B474">
        <v>0</v>
      </c>
      <c r="C474">
        <v>392</v>
      </c>
    </row>
    <row r="475" spans="1:3" x14ac:dyDescent="0.25">
      <c r="A475">
        <v>14</v>
      </c>
      <c r="B475">
        <v>0</v>
      </c>
      <c r="C475">
        <v>392</v>
      </c>
    </row>
    <row r="476" spans="1:3" x14ac:dyDescent="0.25">
      <c r="A476">
        <v>15</v>
      </c>
      <c r="B476">
        <v>0</v>
      </c>
      <c r="C476">
        <v>392</v>
      </c>
    </row>
    <row r="477" spans="1:3" x14ac:dyDescent="0.25">
      <c r="A477">
        <v>12</v>
      </c>
      <c r="B477">
        <v>0</v>
      </c>
      <c r="C477">
        <v>392</v>
      </c>
    </row>
    <row r="478" spans="1:3" x14ac:dyDescent="0.25">
      <c r="A478">
        <v>18</v>
      </c>
      <c r="B478">
        <v>0</v>
      </c>
      <c r="C478">
        <v>368</v>
      </c>
    </row>
    <row r="479" spans="1:3" x14ac:dyDescent="0.25">
      <c r="A479">
        <v>15</v>
      </c>
      <c r="B479">
        <v>0</v>
      </c>
      <c r="C479">
        <v>368</v>
      </c>
    </row>
    <row r="480" spans="1:3" x14ac:dyDescent="0.25">
      <c r="A480">
        <v>12</v>
      </c>
      <c r="B480">
        <v>0</v>
      </c>
      <c r="C480">
        <v>368</v>
      </c>
    </row>
    <row r="481" spans="1:3" x14ac:dyDescent="0.25">
      <c r="A481">
        <v>12</v>
      </c>
      <c r="B481">
        <v>0</v>
      </c>
      <c r="C481">
        <v>368</v>
      </c>
    </row>
    <row r="482" spans="1:3" x14ac:dyDescent="0.25">
      <c r="A482">
        <v>12</v>
      </c>
      <c r="B482">
        <v>0</v>
      </c>
      <c r="C482">
        <v>368</v>
      </c>
    </row>
    <row r="483" spans="1:3" x14ac:dyDescent="0.25">
      <c r="A483">
        <v>13</v>
      </c>
      <c r="B483">
        <v>0</v>
      </c>
      <c r="C483">
        <v>368</v>
      </c>
    </row>
    <row r="484" spans="1:3" x14ac:dyDescent="0.25">
      <c r="A484">
        <v>15</v>
      </c>
      <c r="B484">
        <v>0</v>
      </c>
      <c r="C484">
        <v>368</v>
      </c>
    </row>
    <row r="485" spans="1:3" x14ac:dyDescent="0.25">
      <c r="A485">
        <v>12</v>
      </c>
      <c r="B485">
        <v>0</v>
      </c>
      <c r="C485">
        <v>368</v>
      </c>
    </row>
    <row r="486" spans="1:3" x14ac:dyDescent="0.25">
      <c r="A486">
        <v>13</v>
      </c>
      <c r="B486">
        <v>0</v>
      </c>
      <c r="C486">
        <v>410</v>
      </c>
    </row>
    <row r="487" spans="1:3" x14ac:dyDescent="0.25">
      <c r="A487">
        <v>13</v>
      </c>
      <c r="B487">
        <v>0</v>
      </c>
      <c r="C487">
        <v>410</v>
      </c>
    </row>
    <row r="488" spans="1:3" x14ac:dyDescent="0.25">
      <c r="A488">
        <v>13</v>
      </c>
      <c r="B488">
        <v>0</v>
      </c>
      <c r="C488">
        <v>410</v>
      </c>
    </row>
    <row r="489" spans="1:3" x14ac:dyDescent="0.25">
      <c r="A489">
        <v>13</v>
      </c>
      <c r="B489">
        <v>0</v>
      </c>
      <c r="C489">
        <v>410</v>
      </c>
    </row>
    <row r="490" spans="1:3" x14ac:dyDescent="0.25">
      <c r="A490">
        <v>18</v>
      </c>
      <c r="B490">
        <v>0</v>
      </c>
      <c r="C490">
        <v>410</v>
      </c>
    </row>
    <row r="491" spans="1:3" x14ac:dyDescent="0.25">
      <c r="A491">
        <v>14</v>
      </c>
      <c r="B491">
        <v>0</v>
      </c>
      <c r="C491">
        <v>410</v>
      </c>
    </row>
    <row r="492" spans="1:3" x14ac:dyDescent="0.25">
      <c r="A492">
        <v>15</v>
      </c>
      <c r="B492">
        <v>0</v>
      </c>
      <c r="C492">
        <v>410</v>
      </c>
    </row>
    <row r="493" spans="1:3" x14ac:dyDescent="0.25">
      <c r="A493">
        <v>15</v>
      </c>
      <c r="B493">
        <v>0</v>
      </c>
      <c r="C493">
        <v>369</v>
      </c>
    </row>
    <row r="494" spans="1:3" x14ac:dyDescent="0.25">
      <c r="A494">
        <v>12</v>
      </c>
      <c r="B494">
        <v>0</v>
      </c>
      <c r="C494">
        <v>369</v>
      </c>
    </row>
    <row r="495" spans="1:3" x14ac:dyDescent="0.25">
      <c r="A495">
        <v>12</v>
      </c>
      <c r="B495">
        <v>0</v>
      </c>
      <c r="C495">
        <v>369</v>
      </c>
    </row>
    <row r="496" spans="1:3" x14ac:dyDescent="0.25">
      <c r="A496">
        <v>12</v>
      </c>
      <c r="B496">
        <v>0</v>
      </c>
      <c r="C496">
        <v>369</v>
      </c>
    </row>
    <row r="497" spans="1:3" x14ac:dyDescent="0.25">
      <c r="A497">
        <v>11</v>
      </c>
      <c r="B497">
        <v>0</v>
      </c>
      <c r="C497">
        <v>369</v>
      </c>
    </row>
    <row r="498" spans="1:3" x14ac:dyDescent="0.25">
      <c r="A498">
        <v>13</v>
      </c>
      <c r="B498">
        <v>0</v>
      </c>
      <c r="C498">
        <v>369</v>
      </c>
    </row>
    <row r="499" spans="1:3" x14ac:dyDescent="0.25">
      <c r="A499">
        <v>13</v>
      </c>
      <c r="B499">
        <v>0</v>
      </c>
      <c r="C499">
        <v>369</v>
      </c>
    </row>
    <row r="500" spans="1:3" x14ac:dyDescent="0.25">
      <c r="A500">
        <v>12</v>
      </c>
      <c r="B500">
        <v>0</v>
      </c>
      <c r="C500">
        <v>369</v>
      </c>
    </row>
    <row r="501" spans="1:3" x14ac:dyDescent="0.25">
      <c r="A501">
        <v>13</v>
      </c>
      <c r="B501">
        <v>0</v>
      </c>
      <c r="C501">
        <v>403</v>
      </c>
    </row>
    <row r="502" spans="1:3" x14ac:dyDescent="0.25">
      <c r="A502">
        <v>12</v>
      </c>
      <c r="B502">
        <v>0</v>
      </c>
      <c r="C502">
        <v>403</v>
      </c>
    </row>
    <row r="503" spans="1:3" x14ac:dyDescent="0.25">
      <c r="A503">
        <v>14</v>
      </c>
      <c r="B503">
        <v>0</v>
      </c>
      <c r="C503">
        <v>403</v>
      </c>
    </row>
    <row r="504" spans="1:3" x14ac:dyDescent="0.25">
      <c r="A504">
        <v>14</v>
      </c>
      <c r="B504">
        <v>0</v>
      </c>
      <c r="C504">
        <v>403</v>
      </c>
    </row>
    <row r="505" spans="1:3" x14ac:dyDescent="0.25">
      <c r="A505">
        <v>13</v>
      </c>
      <c r="B505">
        <v>0</v>
      </c>
      <c r="C505">
        <v>403</v>
      </c>
    </row>
    <row r="506" spans="1:3" x14ac:dyDescent="0.25">
      <c r="A506">
        <v>16</v>
      </c>
      <c r="B506">
        <v>0</v>
      </c>
      <c r="C506">
        <v>403</v>
      </c>
    </row>
    <row r="507" spans="1:3" x14ac:dyDescent="0.25">
      <c r="A507">
        <v>14</v>
      </c>
      <c r="B507">
        <v>0</v>
      </c>
      <c r="C507">
        <v>403</v>
      </c>
    </row>
    <row r="508" spans="1:3" x14ac:dyDescent="0.25">
      <c r="A508">
        <v>13</v>
      </c>
      <c r="B508">
        <v>0</v>
      </c>
      <c r="C508">
        <v>403</v>
      </c>
    </row>
    <row r="509" spans="1:3" x14ac:dyDescent="0.25">
      <c r="A509">
        <v>14</v>
      </c>
      <c r="B509">
        <v>0</v>
      </c>
      <c r="C509">
        <v>379</v>
      </c>
    </row>
    <row r="510" spans="1:3" x14ac:dyDescent="0.25">
      <c r="A510">
        <v>11</v>
      </c>
      <c r="B510">
        <v>0</v>
      </c>
      <c r="C510">
        <v>379</v>
      </c>
    </row>
    <row r="511" spans="1:3" x14ac:dyDescent="0.25">
      <c r="A511">
        <v>12</v>
      </c>
      <c r="B511">
        <v>0</v>
      </c>
      <c r="C511">
        <v>379</v>
      </c>
    </row>
    <row r="512" spans="1:3" x14ac:dyDescent="0.25">
      <c r="A512">
        <v>12</v>
      </c>
      <c r="B512">
        <v>0</v>
      </c>
      <c r="C512">
        <v>379</v>
      </c>
    </row>
    <row r="513" spans="1:3" x14ac:dyDescent="0.25">
      <c r="A513">
        <v>13</v>
      </c>
      <c r="B513">
        <v>0</v>
      </c>
      <c r="C513">
        <v>379</v>
      </c>
    </row>
    <row r="514" spans="1:3" x14ac:dyDescent="0.25">
      <c r="A514">
        <v>13</v>
      </c>
      <c r="B514">
        <v>0</v>
      </c>
      <c r="C514">
        <v>379</v>
      </c>
    </row>
    <row r="515" spans="1:3" x14ac:dyDescent="0.25">
      <c r="A515">
        <v>13</v>
      </c>
      <c r="B515">
        <v>0</v>
      </c>
      <c r="C515">
        <v>379</v>
      </c>
    </row>
    <row r="516" spans="1:3" x14ac:dyDescent="0.25">
      <c r="A516">
        <v>13</v>
      </c>
      <c r="B516">
        <v>0</v>
      </c>
      <c r="C516">
        <v>379</v>
      </c>
    </row>
    <row r="517" spans="1:3" x14ac:dyDescent="0.25">
      <c r="A517">
        <v>12</v>
      </c>
      <c r="B517">
        <v>0</v>
      </c>
      <c r="C517">
        <v>313</v>
      </c>
    </row>
    <row r="518" spans="1:3" x14ac:dyDescent="0.25">
      <c r="A518">
        <v>12</v>
      </c>
      <c r="B518">
        <v>0</v>
      </c>
      <c r="C518">
        <v>313</v>
      </c>
    </row>
    <row r="519" spans="1:3" x14ac:dyDescent="0.25">
      <c r="A519">
        <v>11</v>
      </c>
      <c r="B519">
        <v>0</v>
      </c>
      <c r="C519">
        <v>313</v>
      </c>
    </row>
    <row r="520" spans="1:3" x14ac:dyDescent="0.25">
      <c r="A520">
        <v>12</v>
      </c>
      <c r="B520">
        <v>0</v>
      </c>
      <c r="C520">
        <v>313</v>
      </c>
    </row>
    <row r="521" spans="1:3" x14ac:dyDescent="0.25">
      <c r="A521">
        <v>13</v>
      </c>
      <c r="B521">
        <v>0</v>
      </c>
      <c r="C521">
        <v>313</v>
      </c>
    </row>
    <row r="522" spans="1:3" x14ac:dyDescent="0.25">
      <c r="A522">
        <v>14</v>
      </c>
      <c r="B522">
        <v>0</v>
      </c>
      <c r="C522">
        <v>313</v>
      </c>
    </row>
    <row r="523" spans="1:3" x14ac:dyDescent="0.25">
      <c r="A523">
        <v>13</v>
      </c>
      <c r="B523">
        <v>0</v>
      </c>
      <c r="C523">
        <v>313</v>
      </c>
    </row>
    <row r="524" spans="1:3" x14ac:dyDescent="0.25">
      <c r="A524">
        <v>11</v>
      </c>
      <c r="B524">
        <v>0</v>
      </c>
      <c r="C524">
        <v>313</v>
      </c>
    </row>
    <row r="525" spans="1:3" x14ac:dyDescent="0.25">
      <c r="A525">
        <v>12</v>
      </c>
      <c r="B525">
        <v>0</v>
      </c>
      <c r="C525">
        <v>362</v>
      </c>
    </row>
    <row r="526" spans="1:3" x14ac:dyDescent="0.25">
      <c r="A526">
        <v>14</v>
      </c>
      <c r="B526">
        <v>0</v>
      </c>
      <c r="C526">
        <v>362</v>
      </c>
    </row>
    <row r="527" spans="1:3" x14ac:dyDescent="0.25">
      <c r="A527">
        <v>12</v>
      </c>
      <c r="B527">
        <v>0</v>
      </c>
      <c r="C527">
        <v>362</v>
      </c>
    </row>
    <row r="528" spans="1:3" x14ac:dyDescent="0.25">
      <c r="A528">
        <v>12</v>
      </c>
      <c r="B528">
        <v>0</v>
      </c>
      <c r="C528">
        <v>362</v>
      </c>
    </row>
    <row r="529" spans="1:3" x14ac:dyDescent="0.25">
      <c r="A529">
        <v>12</v>
      </c>
      <c r="B529">
        <v>0</v>
      </c>
      <c r="C529">
        <v>362</v>
      </c>
    </row>
    <row r="530" spans="1:3" x14ac:dyDescent="0.25">
      <c r="A530">
        <v>13</v>
      </c>
      <c r="B530">
        <v>0</v>
      </c>
      <c r="C530">
        <v>362</v>
      </c>
    </row>
    <row r="531" spans="1:3" x14ac:dyDescent="0.25">
      <c r="A531">
        <v>11</v>
      </c>
      <c r="B531">
        <v>0</v>
      </c>
      <c r="C531">
        <v>362</v>
      </c>
    </row>
    <row r="532" spans="1:3" x14ac:dyDescent="0.25">
      <c r="A532">
        <v>11</v>
      </c>
      <c r="B532">
        <v>0</v>
      </c>
      <c r="C532">
        <v>362</v>
      </c>
    </row>
    <row r="533" spans="1:3" x14ac:dyDescent="0.25">
      <c r="A533">
        <v>13</v>
      </c>
      <c r="B533">
        <v>0</v>
      </c>
      <c r="C533">
        <v>330</v>
      </c>
    </row>
    <row r="534" spans="1:3" x14ac:dyDescent="0.25">
      <c r="A534">
        <v>12</v>
      </c>
      <c r="B534">
        <v>0</v>
      </c>
      <c r="C534">
        <v>330</v>
      </c>
    </row>
    <row r="535" spans="1:3" x14ac:dyDescent="0.25">
      <c r="A535">
        <v>12</v>
      </c>
      <c r="B535">
        <v>0</v>
      </c>
      <c r="C535">
        <v>330</v>
      </c>
    </row>
    <row r="536" spans="1:3" x14ac:dyDescent="0.25">
      <c r="A536">
        <v>14</v>
      </c>
      <c r="B536">
        <v>0</v>
      </c>
      <c r="C536">
        <v>330</v>
      </c>
    </row>
    <row r="537" spans="1:3" x14ac:dyDescent="0.25">
      <c r="A537">
        <v>12</v>
      </c>
      <c r="B537">
        <v>0</v>
      </c>
      <c r="C537">
        <v>330</v>
      </c>
    </row>
    <row r="538" spans="1:3" x14ac:dyDescent="0.25">
      <c r="A538">
        <v>12</v>
      </c>
      <c r="B538">
        <v>0</v>
      </c>
      <c r="C538">
        <v>330</v>
      </c>
    </row>
    <row r="539" spans="1:3" x14ac:dyDescent="0.25">
      <c r="A539">
        <v>12</v>
      </c>
      <c r="B539">
        <v>0</v>
      </c>
      <c r="C539">
        <v>330</v>
      </c>
    </row>
    <row r="540" spans="1:3" x14ac:dyDescent="0.25">
      <c r="A540">
        <v>11</v>
      </c>
      <c r="B540">
        <v>0</v>
      </c>
      <c r="C540">
        <v>330</v>
      </c>
    </row>
    <row r="541" spans="1:3" x14ac:dyDescent="0.25">
      <c r="A541">
        <v>12</v>
      </c>
      <c r="B541">
        <v>0</v>
      </c>
      <c r="C541">
        <v>370</v>
      </c>
    </row>
    <row r="542" spans="1:3" x14ac:dyDescent="0.25">
      <c r="A542">
        <v>15</v>
      </c>
      <c r="B542">
        <v>0</v>
      </c>
      <c r="C542">
        <v>370</v>
      </c>
    </row>
    <row r="543" spans="1:3" x14ac:dyDescent="0.25">
      <c r="A543">
        <v>12</v>
      </c>
      <c r="B543">
        <v>0</v>
      </c>
      <c r="C543">
        <v>370</v>
      </c>
    </row>
    <row r="544" spans="1:3" x14ac:dyDescent="0.25">
      <c r="A544">
        <v>12</v>
      </c>
      <c r="B544">
        <v>0</v>
      </c>
      <c r="C544">
        <v>370</v>
      </c>
    </row>
    <row r="545" spans="1:3" x14ac:dyDescent="0.25">
      <c r="A545">
        <v>12</v>
      </c>
      <c r="B545">
        <v>0</v>
      </c>
      <c r="C545">
        <v>370</v>
      </c>
    </row>
    <row r="546" spans="1:3" x14ac:dyDescent="0.25">
      <c r="A546">
        <v>13</v>
      </c>
      <c r="B546">
        <v>0</v>
      </c>
      <c r="C546">
        <v>370</v>
      </c>
    </row>
    <row r="547" spans="1:3" x14ac:dyDescent="0.25">
      <c r="A547">
        <v>16</v>
      </c>
      <c r="B547">
        <v>0</v>
      </c>
      <c r="C547">
        <v>370</v>
      </c>
    </row>
    <row r="548" spans="1:3" x14ac:dyDescent="0.25">
      <c r="A548">
        <v>11</v>
      </c>
      <c r="B548">
        <v>0</v>
      </c>
      <c r="C548">
        <v>370</v>
      </c>
    </row>
    <row r="549" spans="1:3" x14ac:dyDescent="0.25">
      <c r="A549">
        <v>14</v>
      </c>
      <c r="B549">
        <v>0</v>
      </c>
      <c r="C549">
        <v>355</v>
      </c>
    </row>
    <row r="550" spans="1:3" x14ac:dyDescent="0.25">
      <c r="A550">
        <v>13</v>
      </c>
      <c r="B550">
        <v>0</v>
      </c>
      <c r="C550">
        <v>355</v>
      </c>
    </row>
    <row r="551" spans="1:3" x14ac:dyDescent="0.25">
      <c r="A551">
        <v>12</v>
      </c>
      <c r="B551">
        <v>0</v>
      </c>
      <c r="C551">
        <v>355</v>
      </c>
    </row>
    <row r="552" spans="1:3" x14ac:dyDescent="0.25">
      <c r="A552">
        <v>12</v>
      </c>
      <c r="B552">
        <v>0</v>
      </c>
      <c r="C552">
        <v>355</v>
      </c>
    </row>
    <row r="553" spans="1:3" x14ac:dyDescent="0.25">
      <c r="A553">
        <v>13</v>
      </c>
      <c r="B553">
        <v>0</v>
      </c>
      <c r="C553">
        <v>355</v>
      </c>
    </row>
    <row r="554" spans="1:3" x14ac:dyDescent="0.25">
      <c r="A554">
        <v>11</v>
      </c>
      <c r="B554">
        <v>0</v>
      </c>
      <c r="C554">
        <v>355</v>
      </c>
    </row>
    <row r="555" spans="1:3" x14ac:dyDescent="0.25">
      <c r="A555">
        <v>14</v>
      </c>
      <c r="B555">
        <v>0</v>
      </c>
      <c r="C555">
        <v>355</v>
      </c>
    </row>
    <row r="556" spans="1:3" x14ac:dyDescent="0.25">
      <c r="A556">
        <v>13</v>
      </c>
      <c r="B556">
        <v>0</v>
      </c>
      <c r="C556">
        <v>355</v>
      </c>
    </row>
    <row r="557" spans="1:3" x14ac:dyDescent="0.25">
      <c r="A557">
        <v>11</v>
      </c>
      <c r="B557">
        <v>0</v>
      </c>
      <c r="C557">
        <v>327</v>
      </c>
    </row>
    <row r="558" spans="1:3" x14ac:dyDescent="0.25">
      <c r="A558">
        <v>13</v>
      </c>
      <c r="B558">
        <v>0</v>
      </c>
      <c r="C558">
        <v>327</v>
      </c>
    </row>
    <row r="559" spans="1:3" x14ac:dyDescent="0.25">
      <c r="A559">
        <v>13</v>
      </c>
      <c r="B559">
        <v>0</v>
      </c>
      <c r="C559">
        <v>327</v>
      </c>
    </row>
    <row r="560" spans="1:3" x14ac:dyDescent="0.25">
      <c r="A560">
        <v>12</v>
      </c>
      <c r="B560">
        <v>0</v>
      </c>
      <c r="C560">
        <v>327</v>
      </c>
    </row>
    <row r="561" spans="1:3" x14ac:dyDescent="0.25">
      <c r="A561">
        <v>14</v>
      </c>
      <c r="B561">
        <v>0</v>
      </c>
      <c r="C561">
        <v>327</v>
      </c>
    </row>
    <row r="562" spans="1:3" x14ac:dyDescent="0.25">
      <c r="A562">
        <v>15</v>
      </c>
      <c r="B562">
        <v>0</v>
      </c>
      <c r="C562">
        <v>327</v>
      </c>
    </row>
    <row r="563" spans="1:3" x14ac:dyDescent="0.25">
      <c r="A563">
        <v>11</v>
      </c>
      <c r="B563">
        <v>0</v>
      </c>
      <c r="C563">
        <v>327</v>
      </c>
    </row>
    <row r="564" spans="1:3" x14ac:dyDescent="0.25">
      <c r="A564">
        <v>13</v>
      </c>
      <c r="B564">
        <v>0</v>
      </c>
      <c r="C564">
        <v>327</v>
      </c>
    </row>
    <row r="565" spans="1:3" x14ac:dyDescent="0.25">
      <c r="A565">
        <v>12</v>
      </c>
      <c r="B565">
        <v>0</v>
      </c>
      <c r="C565">
        <v>361</v>
      </c>
    </row>
    <row r="566" spans="1:3" x14ac:dyDescent="0.25">
      <c r="A566">
        <v>12</v>
      </c>
      <c r="B566">
        <v>0</v>
      </c>
      <c r="C566">
        <v>361</v>
      </c>
    </row>
    <row r="567" spans="1:3" x14ac:dyDescent="0.25">
      <c r="A567">
        <v>13</v>
      </c>
      <c r="B567">
        <v>0</v>
      </c>
      <c r="C567">
        <v>361</v>
      </c>
    </row>
    <row r="568" spans="1:3" x14ac:dyDescent="0.25">
      <c r="A568">
        <v>13</v>
      </c>
      <c r="B568">
        <v>0</v>
      </c>
      <c r="C568">
        <v>361</v>
      </c>
    </row>
    <row r="569" spans="1:3" x14ac:dyDescent="0.25">
      <c r="A569">
        <v>14</v>
      </c>
      <c r="B569">
        <v>0</v>
      </c>
      <c r="C569">
        <v>361</v>
      </c>
    </row>
    <row r="570" spans="1:3" x14ac:dyDescent="0.25">
      <c r="A570">
        <v>12</v>
      </c>
      <c r="B570">
        <v>0</v>
      </c>
      <c r="C570">
        <v>361</v>
      </c>
    </row>
    <row r="571" spans="1:3" x14ac:dyDescent="0.25">
      <c r="A571">
        <v>13</v>
      </c>
      <c r="B571">
        <v>0</v>
      </c>
      <c r="C571">
        <v>361</v>
      </c>
    </row>
    <row r="572" spans="1:3" x14ac:dyDescent="0.25">
      <c r="A572">
        <v>11</v>
      </c>
      <c r="B572">
        <v>0</v>
      </c>
      <c r="C572">
        <v>361</v>
      </c>
    </row>
    <row r="573" spans="1:3" x14ac:dyDescent="0.25">
      <c r="A573">
        <v>12</v>
      </c>
      <c r="B573">
        <v>0</v>
      </c>
      <c r="C573">
        <v>322</v>
      </c>
    </row>
    <row r="574" spans="1:3" x14ac:dyDescent="0.25">
      <c r="A574">
        <v>14</v>
      </c>
      <c r="B574">
        <v>0</v>
      </c>
      <c r="C574">
        <v>322</v>
      </c>
    </row>
    <row r="575" spans="1:3" x14ac:dyDescent="0.25">
      <c r="A575">
        <v>12</v>
      </c>
      <c r="B575">
        <v>0</v>
      </c>
      <c r="C575">
        <v>322</v>
      </c>
    </row>
    <row r="576" spans="1:3" x14ac:dyDescent="0.25">
      <c r="A576">
        <v>13</v>
      </c>
      <c r="B576">
        <v>0</v>
      </c>
      <c r="C576">
        <v>322</v>
      </c>
    </row>
    <row r="577" spans="1:3" x14ac:dyDescent="0.25">
      <c r="A577">
        <v>12</v>
      </c>
      <c r="B577">
        <v>0</v>
      </c>
      <c r="C577">
        <v>322</v>
      </c>
    </row>
    <row r="578" spans="1:3" x14ac:dyDescent="0.25">
      <c r="A578">
        <v>11</v>
      </c>
      <c r="B578">
        <v>0</v>
      </c>
      <c r="C578">
        <v>322</v>
      </c>
    </row>
    <row r="579" spans="1:3" x14ac:dyDescent="0.25">
      <c r="A579">
        <v>13</v>
      </c>
      <c r="B579">
        <v>0</v>
      </c>
      <c r="C579">
        <v>322</v>
      </c>
    </row>
    <row r="580" spans="1:3" x14ac:dyDescent="0.25">
      <c r="A580">
        <v>11</v>
      </c>
      <c r="B580">
        <v>0</v>
      </c>
      <c r="C580">
        <v>322</v>
      </c>
    </row>
    <row r="581" spans="1:3" x14ac:dyDescent="0.25">
      <c r="A581">
        <v>12</v>
      </c>
      <c r="B581">
        <v>0</v>
      </c>
      <c r="C581">
        <v>341</v>
      </c>
    </row>
    <row r="582" spans="1:3" x14ac:dyDescent="0.25">
      <c r="A582">
        <v>12</v>
      </c>
      <c r="B582">
        <v>0</v>
      </c>
      <c r="C582">
        <v>341</v>
      </c>
    </row>
    <row r="583" spans="1:3" x14ac:dyDescent="0.25">
      <c r="A583">
        <v>14</v>
      </c>
      <c r="B583">
        <v>0</v>
      </c>
      <c r="C583">
        <v>341</v>
      </c>
    </row>
    <row r="584" spans="1:3" x14ac:dyDescent="0.25">
      <c r="A584">
        <v>14</v>
      </c>
      <c r="B584">
        <v>0</v>
      </c>
      <c r="C584">
        <v>341</v>
      </c>
    </row>
    <row r="585" spans="1:3" x14ac:dyDescent="0.25">
      <c r="A585">
        <v>11</v>
      </c>
      <c r="B585">
        <v>0</v>
      </c>
      <c r="C585">
        <v>341</v>
      </c>
    </row>
    <row r="586" spans="1:3" x14ac:dyDescent="0.25">
      <c r="A586">
        <v>12</v>
      </c>
      <c r="B586">
        <v>0</v>
      </c>
      <c r="C586">
        <v>341</v>
      </c>
    </row>
    <row r="587" spans="1:3" x14ac:dyDescent="0.25">
      <c r="A587">
        <v>12</v>
      </c>
      <c r="B587">
        <v>0</v>
      </c>
      <c r="C587">
        <v>341</v>
      </c>
    </row>
    <row r="588" spans="1:3" x14ac:dyDescent="0.25">
      <c r="A588">
        <v>12</v>
      </c>
      <c r="B588">
        <v>0</v>
      </c>
      <c r="C588">
        <v>341</v>
      </c>
    </row>
    <row r="589" spans="1:3" x14ac:dyDescent="0.25">
      <c r="A589">
        <v>13</v>
      </c>
      <c r="B589">
        <v>0</v>
      </c>
      <c r="C589">
        <v>330</v>
      </c>
    </row>
    <row r="590" spans="1:3" x14ac:dyDescent="0.25">
      <c r="A590">
        <v>11</v>
      </c>
      <c r="B590">
        <v>0</v>
      </c>
      <c r="C590">
        <v>330</v>
      </c>
    </row>
    <row r="591" spans="1:3" x14ac:dyDescent="0.25">
      <c r="A591">
        <v>13</v>
      </c>
      <c r="B591">
        <v>0</v>
      </c>
      <c r="C591">
        <v>330</v>
      </c>
    </row>
    <row r="592" spans="1:3" x14ac:dyDescent="0.25">
      <c r="A592">
        <v>11</v>
      </c>
      <c r="B592">
        <v>0</v>
      </c>
      <c r="C592">
        <v>330</v>
      </c>
    </row>
    <row r="593" spans="1:3" x14ac:dyDescent="0.25">
      <c r="A593">
        <v>11</v>
      </c>
      <c r="B593">
        <v>0</v>
      </c>
      <c r="C593">
        <v>330</v>
      </c>
    </row>
    <row r="594" spans="1:3" x14ac:dyDescent="0.25">
      <c r="A594">
        <v>12</v>
      </c>
      <c r="B594">
        <v>0</v>
      </c>
      <c r="C594">
        <v>330</v>
      </c>
    </row>
    <row r="595" spans="1:3" x14ac:dyDescent="0.25">
      <c r="A595">
        <v>15</v>
      </c>
      <c r="B595">
        <v>0</v>
      </c>
      <c r="C595">
        <v>330</v>
      </c>
    </row>
    <row r="596" spans="1:3" x14ac:dyDescent="0.25">
      <c r="A596">
        <v>12</v>
      </c>
      <c r="B596">
        <v>0</v>
      </c>
      <c r="C596">
        <v>330</v>
      </c>
    </row>
    <row r="597" spans="1:3" x14ac:dyDescent="0.25">
      <c r="A597">
        <v>13</v>
      </c>
      <c r="B597">
        <v>0</v>
      </c>
      <c r="C597">
        <v>305</v>
      </c>
    </row>
    <row r="598" spans="1:3" x14ac:dyDescent="0.25">
      <c r="A598">
        <v>12</v>
      </c>
      <c r="B598">
        <v>0</v>
      </c>
      <c r="C598">
        <v>305</v>
      </c>
    </row>
    <row r="599" spans="1:3" x14ac:dyDescent="0.25">
      <c r="A599">
        <v>11</v>
      </c>
      <c r="B599">
        <v>0</v>
      </c>
      <c r="C599">
        <v>305</v>
      </c>
    </row>
    <row r="600" spans="1:3" x14ac:dyDescent="0.25">
      <c r="A600">
        <v>14</v>
      </c>
      <c r="B600">
        <v>0</v>
      </c>
      <c r="C600">
        <v>305</v>
      </c>
    </row>
    <row r="601" spans="1:3" x14ac:dyDescent="0.25">
      <c r="A601">
        <v>13</v>
      </c>
      <c r="B601">
        <v>0</v>
      </c>
      <c r="C601">
        <v>305</v>
      </c>
    </row>
    <row r="602" spans="1:3" x14ac:dyDescent="0.25">
      <c r="A602">
        <v>12</v>
      </c>
      <c r="B602">
        <v>0</v>
      </c>
      <c r="C602">
        <v>305</v>
      </c>
    </row>
    <row r="603" spans="1:3" x14ac:dyDescent="0.25">
      <c r="A603">
        <v>15</v>
      </c>
      <c r="B603">
        <v>0</v>
      </c>
      <c r="C603">
        <v>305</v>
      </c>
    </row>
    <row r="604" spans="1:3" x14ac:dyDescent="0.25">
      <c r="A604">
        <v>11</v>
      </c>
      <c r="B604">
        <v>0</v>
      </c>
      <c r="C604">
        <v>305</v>
      </c>
    </row>
    <row r="605" spans="1:3" x14ac:dyDescent="0.25">
      <c r="A605">
        <v>16</v>
      </c>
      <c r="B605">
        <v>0</v>
      </c>
      <c r="C605">
        <v>308</v>
      </c>
    </row>
    <row r="606" spans="1:3" x14ac:dyDescent="0.25">
      <c r="A606">
        <v>14</v>
      </c>
      <c r="B606">
        <v>0</v>
      </c>
      <c r="C606">
        <v>308</v>
      </c>
    </row>
    <row r="607" spans="1:3" x14ac:dyDescent="0.25">
      <c r="A607">
        <v>14</v>
      </c>
      <c r="B607">
        <v>0</v>
      </c>
      <c r="C607">
        <v>308</v>
      </c>
    </row>
    <row r="608" spans="1:3" x14ac:dyDescent="0.25">
      <c r="A608">
        <v>13</v>
      </c>
      <c r="B608">
        <v>0</v>
      </c>
      <c r="C608">
        <v>308</v>
      </c>
    </row>
    <row r="609" spans="1:3" x14ac:dyDescent="0.25">
      <c r="A609">
        <v>11</v>
      </c>
      <c r="B609">
        <v>0</v>
      </c>
      <c r="C609">
        <v>308</v>
      </c>
    </row>
    <row r="610" spans="1:3" x14ac:dyDescent="0.25">
      <c r="A610">
        <v>15</v>
      </c>
      <c r="B610">
        <v>0</v>
      </c>
      <c r="C610">
        <v>308</v>
      </c>
    </row>
    <row r="611" spans="1:3" x14ac:dyDescent="0.25">
      <c r="A611">
        <v>14</v>
      </c>
      <c r="B611">
        <v>0</v>
      </c>
      <c r="C611">
        <v>308</v>
      </c>
    </row>
    <row r="612" spans="1:3" x14ac:dyDescent="0.25">
      <c r="A612">
        <v>13</v>
      </c>
      <c r="B612">
        <v>0</v>
      </c>
      <c r="C612">
        <v>308</v>
      </c>
    </row>
    <row r="613" spans="1:3" x14ac:dyDescent="0.25">
      <c r="A613">
        <v>13</v>
      </c>
      <c r="B613">
        <v>0</v>
      </c>
      <c r="C613">
        <v>387</v>
      </c>
    </row>
    <row r="614" spans="1:3" x14ac:dyDescent="0.25">
      <c r="A614">
        <v>12</v>
      </c>
      <c r="B614">
        <v>0</v>
      </c>
      <c r="C614">
        <v>387</v>
      </c>
    </row>
    <row r="615" spans="1:3" x14ac:dyDescent="0.25">
      <c r="A615">
        <v>14</v>
      </c>
      <c r="B615">
        <v>0</v>
      </c>
      <c r="C615">
        <v>387</v>
      </c>
    </row>
    <row r="616" spans="1:3" x14ac:dyDescent="0.25">
      <c r="A616">
        <v>12</v>
      </c>
      <c r="B616">
        <v>0</v>
      </c>
      <c r="C616">
        <v>387</v>
      </c>
    </row>
    <row r="617" spans="1:3" x14ac:dyDescent="0.25">
      <c r="A617">
        <v>12</v>
      </c>
      <c r="B617">
        <v>0</v>
      </c>
      <c r="C617">
        <v>387</v>
      </c>
    </row>
    <row r="618" spans="1:3" x14ac:dyDescent="0.25">
      <c r="A618">
        <v>12</v>
      </c>
      <c r="B618">
        <v>0</v>
      </c>
      <c r="C618">
        <v>387</v>
      </c>
    </row>
    <row r="619" spans="1:3" x14ac:dyDescent="0.25">
      <c r="A619">
        <v>13</v>
      </c>
      <c r="B619">
        <v>0</v>
      </c>
      <c r="C619">
        <v>387</v>
      </c>
    </row>
    <row r="620" spans="1:3" x14ac:dyDescent="0.25">
      <c r="A620">
        <v>12</v>
      </c>
      <c r="B620">
        <v>0</v>
      </c>
      <c r="C620">
        <v>387</v>
      </c>
    </row>
    <row r="621" spans="1:3" x14ac:dyDescent="0.25">
      <c r="A621">
        <v>13</v>
      </c>
      <c r="B621">
        <v>0</v>
      </c>
      <c r="C621">
        <v>347</v>
      </c>
    </row>
    <row r="622" spans="1:3" x14ac:dyDescent="0.25">
      <c r="A622">
        <v>12</v>
      </c>
      <c r="B622">
        <v>0</v>
      </c>
      <c r="C622">
        <v>347</v>
      </c>
    </row>
    <row r="623" spans="1:3" x14ac:dyDescent="0.25">
      <c r="A623">
        <v>18</v>
      </c>
      <c r="B623">
        <v>0</v>
      </c>
      <c r="C623">
        <v>347</v>
      </c>
    </row>
    <row r="624" spans="1:3" x14ac:dyDescent="0.25">
      <c r="A624">
        <v>14</v>
      </c>
      <c r="B624">
        <v>0</v>
      </c>
      <c r="C624">
        <v>347</v>
      </c>
    </row>
    <row r="625" spans="1:3" x14ac:dyDescent="0.25">
      <c r="A625">
        <v>12</v>
      </c>
      <c r="B625">
        <v>0</v>
      </c>
      <c r="C625">
        <v>347</v>
      </c>
    </row>
    <row r="626" spans="1:3" x14ac:dyDescent="0.25">
      <c r="A626">
        <v>11</v>
      </c>
      <c r="B626">
        <v>0</v>
      </c>
      <c r="C626">
        <v>347</v>
      </c>
    </row>
    <row r="627" spans="1:3" x14ac:dyDescent="0.25">
      <c r="A627">
        <v>15</v>
      </c>
      <c r="B627">
        <v>0</v>
      </c>
      <c r="C627">
        <v>347</v>
      </c>
    </row>
    <row r="628" spans="1:3" x14ac:dyDescent="0.25">
      <c r="A628">
        <v>16</v>
      </c>
      <c r="B628">
        <v>0</v>
      </c>
      <c r="C628">
        <v>347</v>
      </c>
    </row>
    <row r="629" spans="1:3" x14ac:dyDescent="0.25">
      <c r="A629">
        <v>12</v>
      </c>
      <c r="B629">
        <v>0</v>
      </c>
      <c r="C629">
        <v>359</v>
      </c>
    </row>
    <row r="630" spans="1:3" x14ac:dyDescent="0.25">
      <c r="A630">
        <v>12</v>
      </c>
      <c r="B630">
        <v>0</v>
      </c>
      <c r="C630">
        <v>359</v>
      </c>
    </row>
    <row r="631" spans="1:3" x14ac:dyDescent="0.25">
      <c r="A631">
        <v>12</v>
      </c>
      <c r="B631">
        <v>0</v>
      </c>
      <c r="C631">
        <v>359</v>
      </c>
    </row>
    <row r="632" spans="1:3" x14ac:dyDescent="0.25">
      <c r="A632">
        <v>12</v>
      </c>
      <c r="B632">
        <v>0</v>
      </c>
      <c r="C632">
        <v>359</v>
      </c>
    </row>
    <row r="633" spans="1:3" x14ac:dyDescent="0.25">
      <c r="A633">
        <v>14</v>
      </c>
      <c r="B633">
        <v>0</v>
      </c>
      <c r="C633">
        <v>359</v>
      </c>
    </row>
    <row r="634" spans="1:3" x14ac:dyDescent="0.25">
      <c r="A634">
        <v>13</v>
      </c>
      <c r="B634">
        <v>0</v>
      </c>
      <c r="C634">
        <v>359</v>
      </c>
    </row>
    <row r="635" spans="1:3" x14ac:dyDescent="0.25">
      <c r="A635">
        <v>12</v>
      </c>
      <c r="B635">
        <v>0</v>
      </c>
      <c r="C635">
        <v>359</v>
      </c>
    </row>
    <row r="636" spans="1:3" x14ac:dyDescent="0.25">
      <c r="A636">
        <v>12</v>
      </c>
      <c r="B636">
        <v>0</v>
      </c>
      <c r="C636">
        <v>359</v>
      </c>
    </row>
    <row r="637" spans="1:3" x14ac:dyDescent="0.25">
      <c r="A637">
        <v>12</v>
      </c>
      <c r="B637">
        <v>0</v>
      </c>
      <c r="C637">
        <v>377</v>
      </c>
    </row>
    <row r="638" spans="1:3" x14ac:dyDescent="0.25">
      <c r="A638">
        <v>11</v>
      </c>
      <c r="B638">
        <v>0</v>
      </c>
      <c r="C638">
        <v>377</v>
      </c>
    </row>
    <row r="639" spans="1:3" x14ac:dyDescent="0.25">
      <c r="A639">
        <v>14</v>
      </c>
      <c r="B639">
        <v>0</v>
      </c>
      <c r="C639">
        <v>377</v>
      </c>
    </row>
    <row r="640" spans="1:3" x14ac:dyDescent="0.25">
      <c r="A640">
        <v>12</v>
      </c>
      <c r="B640">
        <v>0</v>
      </c>
      <c r="C640">
        <v>377</v>
      </c>
    </row>
    <row r="641" spans="1:3" x14ac:dyDescent="0.25">
      <c r="A641">
        <v>11</v>
      </c>
      <c r="B641">
        <v>0</v>
      </c>
      <c r="C641">
        <v>377</v>
      </c>
    </row>
    <row r="642" spans="1:3" x14ac:dyDescent="0.25">
      <c r="A642">
        <v>12</v>
      </c>
      <c r="B642">
        <v>0</v>
      </c>
      <c r="C642">
        <v>377</v>
      </c>
    </row>
    <row r="643" spans="1:3" x14ac:dyDescent="0.25">
      <c r="A643">
        <v>14</v>
      </c>
      <c r="B643">
        <v>0</v>
      </c>
      <c r="C643">
        <v>377</v>
      </c>
    </row>
    <row r="644" spans="1:3" x14ac:dyDescent="0.25">
      <c r="A644">
        <v>12</v>
      </c>
      <c r="B644">
        <v>0</v>
      </c>
      <c r="C644">
        <v>377</v>
      </c>
    </row>
    <row r="645" spans="1:3" x14ac:dyDescent="0.25">
      <c r="A645">
        <v>13</v>
      </c>
      <c r="B645">
        <v>0</v>
      </c>
      <c r="C645">
        <v>358</v>
      </c>
    </row>
    <row r="646" spans="1:3" x14ac:dyDescent="0.25">
      <c r="A646">
        <v>12</v>
      </c>
      <c r="B646">
        <v>0</v>
      </c>
      <c r="C646">
        <v>358</v>
      </c>
    </row>
    <row r="647" spans="1:3" x14ac:dyDescent="0.25">
      <c r="A647">
        <v>13</v>
      </c>
      <c r="B647">
        <v>0</v>
      </c>
      <c r="C647">
        <v>358</v>
      </c>
    </row>
    <row r="648" spans="1:3" x14ac:dyDescent="0.25">
      <c r="A648">
        <v>12</v>
      </c>
      <c r="B648">
        <v>0</v>
      </c>
      <c r="C648">
        <v>358</v>
      </c>
    </row>
    <row r="649" spans="1:3" x14ac:dyDescent="0.25">
      <c r="A649">
        <v>13</v>
      </c>
      <c r="B649">
        <v>0</v>
      </c>
      <c r="C649">
        <v>358</v>
      </c>
    </row>
    <row r="650" spans="1:3" x14ac:dyDescent="0.25">
      <c r="A650">
        <v>15</v>
      </c>
      <c r="B650">
        <v>0</v>
      </c>
      <c r="C650">
        <v>358</v>
      </c>
    </row>
    <row r="651" spans="1:3" x14ac:dyDescent="0.25">
      <c r="A651">
        <v>14</v>
      </c>
      <c r="B651">
        <v>0</v>
      </c>
      <c r="C651">
        <v>358</v>
      </c>
    </row>
    <row r="652" spans="1:3" x14ac:dyDescent="0.25">
      <c r="A652">
        <v>12</v>
      </c>
      <c r="B652">
        <v>0</v>
      </c>
      <c r="C652">
        <v>358</v>
      </c>
    </row>
    <row r="653" spans="1:3" x14ac:dyDescent="0.25">
      <c r="A653">
        <v>12</v>
      </c>
      <c r="B653">
        <v>0</v>
      </c>
      <c r="C653">
        <v>362</v>
      </c>
    </row>
    <row r="654" spans="1:3" x14ac:dyDescent="0.25">
      <c r="A654">
        <v>12</v>
      </c>
      <c r="B654">
        <v>0</v>
      </c>
      <c r="C654">
        <v>362</v>
      </c>
    </row>
    <row r="655" spans="1:3" x14ac:dyDescent="0.25">
      <c r="A655">
        <v>12</v>
      </c>
      <c r="B655">
        <v>0</v>
      </c>
      <c r="C655">
        <v>362</v>
      </c>
    </row>
    <row r="656" spans="1:3" x14ac:dyDescent="0.25">
      <c r="A656">
        <v>12</v>
      </c>
      <c r="B656">
        <v>0</v>
      </c>
      <c r="C656">
        <v>362</v>
      </c>
    </row>
    <row r="657" spans="1:3" x14ac:dyDescent="0.25">
      <c r="A657">
        <v>12</v>
      </c>
      <c r="B657">
        <v>0</v>
      </c>
      <c r="C657">
        <v>362</v>
      </c>
    </row>
    <row r="658" spans="1:3" x14ac:dyDescent="0.25">
      <c r="A658">
        <v>13</v>
      </c>
      <c r="B658">
        <v>0</v>
      </c>
      <c r="C658">
        <v>362</v>
      </c>
    </row>
    <row r="659" spans="1:3" x14ac:dyDescent="0.25">
      <c r="A659">
        <v>11</v>
      </c>
      <c r="B659">
        <v>0</v>
      </c>
      <c r="C659">
        <v>362</v>
      </c>
    </row>
    <row r="660" spans="1:3" x14ac:dyDescent="0.25">
      <c r="A660">
        <v>12</v>
      </c>
      <c r="B660">
        <v>0</v>
      </c>
      <c r="C660">
        <v>362</v>
      </c>
    </row>
    <row r="661" spans="1:3" x14ac:dyDescent="0.25">
      <c r="A661">
        <v>12</v>
      </c>
      <c r="B661">
        <v>0</v>
      </c>
      <c r="C661">
        <v>329</v>
      </c>
    </row>
    <row r="662" spans="1:3" x14ac:dyDescent="0.25">
      <c r="A662">
        <v>12</v>
      </c>
      <c r="B662">
        <v>0</v>
      </c>
      <c r="C662">
        <v>329</v>
      </c>
    </row>
    <row r="663" spans="1:3" x14ac:dyDescent="0.25">
      <c r="A663">
        <v>12</v>
      </c>
      <c r="B663">
        <v>0</v>
      </c>
      <c r="C663">
        <v>329</v>
      </c>
    </row>
    <row r="664" spans="1:3" x14ac:dyDescent="0.25">
      <c r="A664">
        <v>12</v>
      </c>
      <c r="B664">
        <v>0</v>
      </c>
      <c r="C664">
        <v>329</v>
      </c>
    </row>
    <row r="665" spans="1:3" x14ac:dyDescent="0.25">
      <c r="A665">
        <v>14</v>
      </c>
      <c r="B665">
        <v>0</v>
      </c>
      <c r="C665">
        <v>329</v>
      </c>
    </row>
    <row r="666" spans="1:3" x14ac:dyDescent="0.25">
      <c r="A666">
        <v>13</v>
      </c>
      <c r="B666">
        <v>0</v>
      </c>
      <c r="C666">
        <v>329</v>
      </c>
    </row>
    <row r="667" spans="1:3" x14ac:dyDescent="0.25">
      <c r="A667">
        <v>13</v>
      </c>
      <c r="B667">
        <v>0</v>
      </c>
      <c r="C667">
        <v>329</v>
      </c>
    </row>
    <row r="668" spans="1:3" x14ac:dyDescent="0.25">
      <c r="A668">
        <v>12</v>
      </c>
      <c r="B668">
        <v>0</v>
      </c>
      <c r="C668">
        <v>329</v>
      </c>
    </row>
    <row r="669" spans="1:3" x14ac:dyDescent="0.25">
      <c r="A669">
        <v>12</v>
      </c>
      <c r="B669">
        <v>0</v>
      </c>
      <c r="C669">
        <v>340</v>
      </c>
    </row>
    <row r="670" spans="1:3" x14ac:dyDescent="0.25">
      <c r="A670">
        <v>12</v>
      </c>
      <c r="B670">
        <v>0</v>
      </c>
      <c r="C670">
        <v>340</v>
      </c>
    </row>
    <row r="671" spans="1:3" x14ac:dyDescent="0.25">
      <c r="A671">
        <v>12</v>
      </c>
      <c r="B671">
        <v>0</v>
      </c>
      <c r="C671">
        <v>340</v>
      </c>
    </row>
    <row r="672" spans="1:3" x14ac:dyDescent="0.25">
      <c r="A672">
        <v>14</v>
      </c>
      <c r="B672">
        <v>0</v>
      </c>
      <c r="C672">
        <v>340</v>
      </c>
    </row>
    <row r="673" spans="1:3" x14ac:dyDescent="0.25">
      <c r="A673">
        <v>14</v>
      </c>
      <c r="B673">
        <v>0</v>
      </c>
      <c r="C673">
        <v>340</v>
      </c>
    </row>
    <row r="674" spans="1:3" x14ac:dyDescent="0.25">
      <c r="A674">
        <v>12</v>
      </c>
      <c r="B674">
        <v>0</v>
      </c>
      <c r="C674">
        <v>340</v>
      </c>
    </row>
    <row r="675" spans="1:3" x14ac:dyDescent="0.25">
      <c r="A675">
        <v>12</v>
      </c>
      <c r="B675">
        <v>0</v>
      </c>
      <c r="C675">
        <v>340</v>
      </c>
    </row>
    <row r="676" spans="1:3" x14ac:dyDescent="0.25">
      <c r="A676">
        <v>12</v>
      </c>
      <c r="B676">
        <v>0</v>
      </c>
      <c r="C676">
        <v>340</v>
      </c>
    </row>
    <row r="677" spans="1:3" x14ac:dyDescent="0.25">
      <c r="A677">
        <v>13</v>
      </c>
      <c r="B677">
        <v>0</v>
      </c>
      <c r="C677">
        <v>336</v>
      </c>
    </row>
    <row r="678" spans="1:3" x14ac:dyDescent="0.25">
      <c r="A678">
        <v>12</v>
      </c>
      <c r="B678">
        <v>0</v>
      </c>
      <c r="C678">
        <v>336</v>
      </c>
    </row>
    <row r="679" spans="1:3" x14ac:dyDescent="0.25">
      <c r="A679">
        <v>13</v>
      </c>
      <c r="B679">
        <v>0</v>
      </c>
      <c r="C679">
        <v>336</v>
      </c>
    </row>
    <row r="680" spans="1:3" x14ac:dyDescent="0.25">
      <c r="A680">
        <v>12</v>
      </c>
      <c r="B680">
        <v>0</v>
      </c>
      <c r="C680">
        <v>336</v>
      </c>
    </row>
    <row r="681" spans="1:3" x14ac:dyDescent="0.25">
      <c r="A681">
        <v>12</v>
      </c>
      <c r="B681">
        <v>0</v>
      </c>
      <c r="C681">
        <v>336</v>
      </c>
    </row>
    <row r="682" spans="1:3" x14ac:dyDescent="0.25">
      <c r="A682">
        <v>14</v>
      </c>
      <c r="B682">
        <v>0</v>
      </c>
      <c r="C682">
        <v>336</v>
      </c>
    </row>
    <row r="683" spans="1:3" x14ac:dyDescent="0.25">
      <c r="A683">
        <v>11</v>
      </c>
      <c r="B683">
        <v>0</v>
      </c>
      <c r="C683">
        <v>336</v>
      </c>
    </row>
    <row r="684" spans="1:3" x14ac:dyDescent="0.25">
      <c r="A684">
        <v>12</v>
      </c>
      <c r="B684">
        <v>0</v>
      </c>
      <c r="C684">
        <v>336</v>
      </c>
    </row>
    <row r="685" spans="1:3" x14ac:dyDescent="0.25">
      <c r="A685">
        <v>12</v>
      </c>
      <c r="B685">
        <v>0</v>
      </c>
      <c r="C685">
        <v>299</v>
      </c>
    </row>
    <row r="686" spans="1:3" x14ac:dyDescent="0.25">
      <c r="A686">
        <v>18</v>
      </c>
      <c r="B686">
        <v>0</v>
      </c>
      <c r="C686">
        <v>299</v>
      </c>
    </row>
    <row r="687" spans="1:3" x14ac:dyDescent="0.25">
      <c r="A687">
        <v>13</v>
      </c>
      <c r="B687">
        <v>0</v>
      </c>
      <c r="C687">
        <v>299</v>
      </c>
    </row>
    <row r="688" spans="1:3" x14ac:dyDescent="0.25">
      <c r="A688">
        <v>12</v>
      </c>
      <c r="B688">
        <v>0</v>
      </c>
      <c r="C688">
        <v>299</v>
      </c>
    </row>
    <row r="689" spans="1:3" x14ac:dyDescent="0.25">
      <c r="A689">
        <v>12</v>
      </c>
      <c r="B689">
        <v>0</v>
      </c>
      <c r="C689">
        <v>299</v>
      </c>
    </row>
    <row r="690" spans="1:3" x14ac:dyDescent="0.25">
      <c r="A690">
        <v>13</v>
      </c>
      <c r="B690">
        <v>0</v>
      </c>
      <c r="C690">
        <v>299</v>
      </c>
    </row>
    <row r="691" spans="1:3" x14ac:dyDescent="0.25">
      <c r="A691">
        <v>14</v>
      </c>
      <c r="B691">
        <v>0</v>
      </c>
      <c r="C691">
        <v>299</v>
      </c>
    </row>
    <row r="692" spans="1:3" x14ac:dyDescent="0.25">
      <c r="A692">
        <v>12</v>
      </c>
      <c r="B692">
        <v>0</v>
      </c>
      <c r="C692">
        <v>299</v>
      </c>
    </row>
    <row r="693" spans="1:3" x14ac:dyDescent="0.25">
      <c r="A693">
        <v>13</v>
      </c>
      <c r="B693">
        <v>0</v>
      </c>
      <c r="C693">
        <v>355</v>
      </c>
    </row>
    <row r="694" spans="1:3" x14ac:dyDescent="0.25">
      <c r="A694">
        <v>17</v>
      </c>
      <c r="B694">
        <v>0</v>
      </c>
      <c r="C694">
        <v>355</v>
      </c>
    </row>
    <row r="695" spans="1:3" x14ac:dyDescent="0.25">
      <c r="A695">
        <v>16</v>
      </c>
      <c r="B695">
        <v>0</v>
      </c>
      <c r="C695">
        <v>355</v>
      </c>
    </row>
    <row r="696" spans="1:3" x14ac:dyDescent="0.25">
      <c r="A696">
        <v>15</v>
      </c>
      <c r="B696">
        <v>0</v>
      </c>
      <c r="C696">
        <v>355</v>
      </c>
    </row>
    <row r="697" spans="1:3" x14ac:dyDescent="0.25">
      <c r="A697">
        <v>12</v>
      </c>
      <c r="B697">
        <v>0</v>
      </c>
      <c r="C697">
        <v>355</v>
      </c>
    </row>
    <row r="698" spans="1:3" x14ac:dyDescent="0.25">
      <c r="A698">
        <v>13</v>
      </c>
      <c r="B698">
        <v>0</v>
      </c>
      <c r="C698">
        <v>355</v>
      </c>
    </row>
    <row r="699" spans="1:3" x14ac:dyDescent="0.25">
      <c r="A699">
        <v>12</v>
      </c>
      <c r="B699">
        <v>0</v>
      </c>
      <c r="C699">
        <v>355</v>
      </c>
    </row>
    <row r="700" spans="1:3" x14ac:dyDescent="0.25">
      <c r="A700">
        <v>12</v>
      </c>
      <c r="B700">
        <v>0</v>
      </c>
      <c r="C700">
        <v>355</v>
      </c>
    </row>
    <row r="701" spans="1:3" x14ac:dyDescent="0.25">
      <c r="A701">
        <v>14</v>
      </c>
      <c r="B701">
        <v>0</v>
      </c>
      <c r="C701">
        <v>345</v>
      </c>
    </row>
    <row r="702" spans="1:3" x14ac:dyDescent="0.25">
      <c r="A702">
        <v>11</v>
      </c>
      <c r="B702">
        <v>0</v>
      </c>
      <c r="C702">
        <v>345</v>
      </c>
    </row>
    <row r="703" spans="1:3" x14ac:dyDescent="0.25">
      <c r="A703">
        <v>12</v>
      </c>
      <c r="B703">
        <v>0</v>
      </c>
      <c r="C703">
        <v>345</v>
      </c>
    </row>
    <row r="704" spans="1:3" x14ac:dyDescent="0.25">
      <c r="A704">
        <v>12</v>
      </c>
      <c r="B704">
        <v>0</v>
      </c>
      <c r="C704">
        <v>345</v>
      </c>
    </row>
    <row r="705" spans="1:3" x14ac:dyDescent="0.25">
      <c r="A705">
        <v>11</v>
      </c>
      <c r="B705">
        <v>0</v>
      </c>
      <c r="C705">
        <v>345</v>
      </c>
    </row>
    <row r="706" spans="1:3" x14ac:dyDescent="0.25">
      <c r="A706">
        <v>14</v>
      </c>
      <c r="B706">
        <v>0</v>
      </c>
      <c r="C706">
        <v>345</v>
      </c>
    </row>
    <row r="707" spans="1:3" x14ac:dyDescent="0.25">
      <c r="A707">
        <v>12</v>
      </c>
      <c r="B707">
        <v>0</v>
      </c>
      <c r="C707">
        <v>345</v>
      </c>
    </row>
    <row r="708" spans="1:3" x14ac:dyDescent="0.25">
      <c r="A708">
        <v>12</v>
      </c>
      <c r="B708">
        <v>0</v>
      </c>
      <c r="C708">
        <v>345</v>
      </c>
    </row>
    <row r="709" spans="1:3" x14ac:dyDescent="0.25">
      <c r="A709">
        <v>12</v>
      </c>
      <c r="B709">
        <v>0</v>
      </c>
      <c r="C709">
        <v>347</v>
      </c>
    </row>
    <row r="710" spans="1:3" x14ac:dyDescent="0.25">
      <c r="A710">
        <v>13</v>
      </c>
      <c r="B710">
        <v>0</v>
      </c>
      <c r="C710">
        <v>347</v>
      </c>
    </row>
    <row r="711" spans="1:3" x14ac:dyDescent="0.25">
      <c r="A711">
        <v>13</v>
      </c>
      <c r="B711">
        <v>0</v>
      </c>
      <c r="C711">
        <v>347</v>
      </c>
    </row>
    <row r="712" spans="1:3" x14ac:dyDescent="0.25">
      <c r="A712">
        <v>12</v>
      </c>
      <c r="B712">
        <v>0</v>
      </c>
      <c r="C712">
        <v>347</v>
      </c>
    </row>
    <row r="713" spans="1:3" x14ac:dyDescent="0.25">
      <c r="A713">
        <v>12</v>
      </c>
      <c r="B713">
        <v>0</v>
      </c>
      <c r="C713">
        <v>347</v>
      </c>
    </row>
    <row r="714" spans="1:3" x14ac:dyDescent="0.25">
      <c r="A714">
        <v>12</v>
      </c>
      <c r="B714">
        <v>0</v>
      </c>
      <c r="C714">
        <v>347</v>
      </c>
    </row>
    <row r="715" spans="1:3" x14ac:dyDescent="0.25">
      <c r="A715">
        <v>12</v>
      </c>
      <c r="B715">
        <v>0</v>
      </c>
      <c r="C715">
        <v>347</v>
      </c>
    </row>
    <row r="716" spans="1:3" x14ac:dyDescent="0.25">
      <c r="A716">
        <v>12</v>
      </c>
      <c r="B716">
        <v>0</v>
      </c>
      <c r="C716">
        <v>347</v>
      </c>
    </row>
    <row r="717" spans="1:3" x14ac:dyDescent="0.25">
      <c r="A717">
        <v>13</v>
      </c>
      <c r="B717">
        <v>0</v>
      </c>
      <c r="C717">
        <v>315</v>
      </c>
    </row>
    <row r="718" spans="1:3" x14ac:dyDescent="0.25">
      <c r="A718">
        <v>12</v>
      </c>
      <c r="B718">
        <v>0</v>
      </c>
      <c r="C718">
        <v>315</v>
      </c>
    </row>
    <row r="719" spans="1:3" x14ac:dyDescent="0.25">
      <c r="A719">
        <v>11</v>
      </c>
      <c r="B719">
        <v>0</v>
      </c>
      <c r="C719">
        <v>315</v>
      </c>
    </row>
    <row r="720" spans="1:3" x14ac:dyDescent="0.25">
      <c r="A720">
        <v>11</v>
      </c>
      <c r="B720">
        <v>0</v>
      </c>
      <c r="C720">
        <v>315</v>
      </c>
    </row>
    <row r="721" spans="1:3" x14ac:dyDescent="0.25">
      <c r="A721">
        <v>13</v>
      </c>
      <c r="B721">
        <v>0</v>
      </c>
      <c r="C721">
        <v>315</v>
      </c>
    </row>
    <row r="722" spans="1:3" x14ac:dyDescent="0.25">
      <c r="A722">
        <v>12</v>
      </c>
      <c r="B722">
        <v>0</v>
      </c>
      <c r="C722">
        <v>315</v>
      </c>
    </row>
    <row r="723" spans="1:3" x14ac:dyDescent="0.25">
      <c r="A723">
        <v>12</v>
      </c>
      <c r="B723">
        <v>0</v>
      </c>
      <c r="C723">
        <v>315</v>
      </c>
    </row>
    <row r="724" spans="1:3" x14ac:dyDescent="0.25">
      <c r="A724">
        <v>11</v>
      </c>
      <c r="B724">
        <v>0</v>
      </c>
      <c r="C724">
        <v>315</v>
      </c>
    </row>
    <row r="725" spans="1:3" x14ac:dyDescent="0.25">
      <c r="A725">
        <v>11</v>
      </c>
      <c r="B725">
        <v>0</v>
      </c>
      <c r="C725">
        <v>366</v>
      </c>
    </row>
    <row r="726" spans="1:3" x14ac:dyDescent="0.25">
      <c r="A726">
        <v>12</v>
      </c>
      <c r="B726">
        <v>0</v>
      </c>
      <c r="C726">
        <v>366</v>
      </c>
    </row>
    <row r="727" spans="1:3" x14ac:dyDescent="0.25">
      <c r="A727">
        <v>12</v>
      </c>
      <c r="B727">
        <v>0</v>
      </c>
      <c r="C727">
        <v>366</v>
      </c>
    </row>
    <row r="728" spans="1:3" x14ac:dyDescent="0.25">
      <c r="A728">
        <v>11</v>
      </c>
      <c r="B728">
        <v>0</v>
      </c>
      <c r="C728">
        <v>366</v>
      </c>
    </row>
    <row r="729" spans="1:3" x14ac:dyDescent="0.25">
      <c r="A729">
        <v>12</v>
      </c>
      <c r="B729">
        <v>0</v>
      </c>
      <c r="C729">
        <v>366</v>
      </c>
    </row>
    <row r="730" spans="1:3" x14ac:dyDescent="0.25">
      <c r="A730">
        <v>12</v>
      </c>
      <c r="B730">
        <v>0</v>
      </c>
      <c r="C730">
        <v>366</v>
      </c>
    </row>
    <row r="731" spans="1:3" x14ac:dyDescent="0.25">
      <c r="A731">
        <v>13</v>
      </c>
      <c r="B731">
        <v>0</v>
      </c>
      <c r="C731">
        <v>366</v>
      </c>
    </row>
    <row r="732" spans="1:3" x14ac:dyDescent="0.25">
      <c r="A732">
        <v>16</v>
      </c>
      <c r="B732">
        <v>0</v>
      </c>
      <c r="C732">
        <v>366</v>
      </c>
    </row>
    <row r="733" spans="1:3" x14ac:dyDescent="0.25">
      <c r="A733">
        <v>13</v>
      </c>
      <c r="B733">
        <v>0</v>
      </c>
      <c r="C733">
        <v>330</v>
      </c>
    </row>
    <row r="734" spans="1:3" x14ac:dyDescent="0.25">
      <c r="A734">
        <v>12</v>
      </c>
      <c r="B734">
        <v>0</v>
      </c>
      <c r="C734">
        <v>330</v>
      </c>
    </row>
    <row r="735" spans="1:3" x14ac:dyDescent="0.25">
      <c r="A735">
        <v>12</v>
      </c>
      <c r="B735">
        <v>0</v>
      </c>
      <c r="C735">
        <v>330</v>
      </c>
    </row>
    <row r="736" spans="1:3" x14ac:dyDescent="0.25">
      <c r="A736">
        <v>12</v>
      </c>
      <c r="B736">
        <v>0</v>
      </c>
      <c r="C736">
        <v>330</v>
      </c>
    </row>
    <row r="737" spans="1:3" x14ac:dyDescent="0.25">
      <c r="A737">
        <v>12</v>
      </c>
      <c r="B737">
        <v>0</v>
      </c>
      <c r="C737">
        <v>330</v>
      </c>
    </row>
    <row r="738" spans="1:3" x14ac:dyDescent="0.25">
      <c r="A738">
        <v>16</v>
      </c>
      <c r="B738">
        <v>0</v>
      </c>
      <c r="C738">
        <v>330</v>
      </c>
    </row>
    <row r="739" spans="1:3" x14ac:dyDescent="0.25">
      <c r="A739">
        <v>13</v>
      </c>
      <c r="B739">
        <v>0</v>
      </c>
      <c r="C739">
        <v>330</v>
      </c>
    </row>
    <row r="740" spans="1:3" x14ac:dyDescent="0.25">
      <c r="A740">
        <v>12</v>
      </c>
      <c r="B740">
        <v>0</v>
      </c>
      <c r="C740">
        <v>317</v>
      </c>
    </row>
    <row r="741" spans="1:3" x14ac:dyDescent="0.25">
      <c r="A741">
        <v>12</v>
      </c>
      <c r="B741">
        <v>0</v>
      </c>
      <c r="C741">
        <v>317</v>
      </c>
    </row>
    <row r="742" spans="1:3" x14ac:dyDescent="0.25">
      <c r="A742">
        <v>12</v>
      </c>
      <c r="B742">
        <v>0</v>
      </c>
      <c r="C742">
        <v>317</v>
      </c>
    </row>
    <row r="743" spans="1:3" x14ac:dyDescent="0.25">
      <c r="A743">
        <v>12</v>
      </c>
      <c r="B743">
        <v>0</v>
      </c>
      <c r="C743">
        <v>317</v>
      </c>
    </row>
    <row r="744" spans="1:3" x14ac:dyDescent="0.25">
      <c r="A744">
        <v>12</v>
      </c>
      <c r="B744">
        <v>0</v>
      </c>
      <c r="C744">
        <v>317</v>
      </c>
    </row>
    <row r="745" spans="1:3" x14ac:dyDescent="0.25">
      <c r="A745">
        <v>13</v>
      </c>
      <c r="B745">
        <v>0</v>
      </c>
      <c r="C745">
        <v>317</v>
      </c>
    </row>
    <row r="746" spans="1:3" x14ac:dyDescent="0.25">
      <c r="A746">
        <v>13</v>
      </c>
      <c r="B746">
        <v>0</v>
      </c>
      <c r="C746">
        <v>317</v>
      </c>
    </row>
    <row r="747" spans="1:3" x14ac:dyDescent="0.25">
      <c r="A747">
        <v>13</v>
      </c>
      <c r="B747">
        <v>0</v>
      </c>
      <c r="C747">
        <v>317</v>
      </c>
    </row>
    <row r="748" spans="1:3" x14ac:dyDescent="0.25">
      <c r="A748">
        <v>12</v>
      </c>
      <c r="B748">
        <v>0</v>
      </c>
      <c r="C748">
        <v>361</v>
      </c>
    </row>
    <row r="749" spans="1:3" x14ac:dyDescent="0.25">
      <c r="A749">
        <v>11</v>
      </c>
      <c r="B749">
        <v>0</v>
      </c>
      <c r="C749">
        <v>361</v>
      </c>
    </row>
    <row r="750" spans="1:3" x14ac:dyDescent="0.25">
      <c r="A750">
        <v>12</v>
      </c>
      <c r="B750">
        <v>0</v>
      </c>
      <c r="C750">
        <v>361</v>
      </c>
    </row>
    <row r="751" spans="1:3" x14ac:dyDescent="0.25">
      <c r="A751">
        <v>12</v>
      </c>
      <c r="B751">
        <v>0</v>
      </c>
      <c r="C751">
        <v>361</v>
      </c>
    </row>
    <row r="752" spans="1:3" x14ac:dyDescent="0.25">
      <c r="A752">
        <v>13</v>
      </c>
      <c r="B752">
        <v>0</v>
      </c>
      <c r="C752">
        <v>361</v>
      </c>
    </row>
    <row r="753" spans="1:3" x14ac:dyDescent="0.25">
      <c r="A753">
        <v>12</v>
      </c>
      <c r="B753">
        <v>0</v>
      </c>
      <c r="C753">
        <v>361</v>
      </c>
    </row>
    <row r="754" spans="1:3" x14ac:dyDescent="0.25">
      <c r="A754">
        <v>12</v>
      </c>
      <c r="B754">
        <v>0</v>
      </c>
      <c r="C754">
        <v>361</v>
      </c>
    </row>
    <row r="755" spans="1:3" x14ac:dyDescent="0.25">
      <c r="A755">
        <v>13</v>
      </c>
      <c r="B755">
        <v>0</v>
      </c>
      <c r="C755">
        <v>361</v>
      </c>
    </row>
    <row r="756" spans="1:3" x14ac:dyDescent="0.25">
      <c r="A756">
        <v>11</v>
      </c>
      <c r="B756">
        <v>0</v>
      </c>
      <c r="C756">
        <v>331</v>
      </c>
    </row>
    <row r="757" spans="1:3" x14ac:dyDescent="0.25">
      <c r="A757">
        <v>12</v>
      </c>
      <c r="B757">
        <v>0</v>
      </c>
      <c r="C757">
        <v>331</v>
      </c>
    </row>
    <row r="758" spans="1:3" x14ac:dyDescent="0.25">
      <c r="A758">
        <v>12</v>
      </c>
      <c r="B758">
        <v>0</v>
      </c>
      <c r="C758">
        <v>331</v>
      </c>
    </row>
    <row r="759" spans="1:3" x14ac:dyDescent="0.25">
      <c r="A759">
        <v>12</v>
      </c>
      <c r="B759">
        <v>0</v>
      </c>
      <c r="C759">
        <v>331</v>
      </c>
    </row>
    <row r="760" spans="1:3" x14ac:dyDescent="0.25">
      <c r="A760">
        <v>12</v>
      </c>
      <c r="B760">
        <v>0</v>
      </c>
      <c r="C760">
        <v>331</v>
      </c>
    </row>
    <row r="761" spans="1:3" x14ac:dyDescent="0.25">
      <c r="A761">
        <v>12</v>
      </c>
      <c r="B761">
        <v>0</v>
      </c>
      <c r="C761">
        <v>331</v>
      </c>
    </row>
    <row r="762" spans="1:3" x14ac:dyDescent="0.25">
      <c r="A762">
        <v>12</v>
      </c>
      <c r="B762">
        <v>0</v>
      </c>
      <c r="C762">
        <v>331</v>
      </c>
    </row>
    <row r="763" spans="1:3" x14ac:dyDescent="0.25">
      <c r="A763">
        <v>12</v>
      </c>
      <c r="B763">
        <v>0</v>
      </c>
      <c r="C763">
        <v>331</v>
      </c>
    </row>
    <row r="764" spans="1:3" x14ac:dyDescent="0.25">
      <c r="A764">
        <v>11</v>
      </c>
      <c r="B764">
        <v>0</v>
      </c>
      <c r="C764">
        <v>249</v>
      </c>
    </row>
    <row r="765" spans="1:3" x14ac:dyDescent="0.25">
      <c r="A765">
        <v>12</v>
      </c>
      <c r="B765">
        <v>0</v>
      </c>
      <c r="C765">
        <v>249</v>
      </c>
    </row>
    <row r="766" spans="1:3" x14ac:dyDescent="0.25">
      <c r="A766">
        <v>12</v>
      </c>
      <c r="B766">
        <v>0</v>
      </c>
      <c r="C766">
        <v>249</v>
      </c>
    </row>
    <row r="767" spans="1:3" x14ac:dyDescent="0.25">
      <c r="A767">
        <v>12</v>
      </c>
      <c r="B767">
        <v>0</v>
      </c>
      <c r="C767">
        <v>249</v>
      </c>
    </row>
    <row r="768" spans="1:3" x14ac:dyDescent="0.25">
      <c r="A768">
        <v>14</v>
      </c>
      <c r="B768">
        <v>0</v>
      </c>
      <c r="C768">
        <v>249</v>
      </c>
    </row>
    <row r="769" spans="1:3" x14ac:dyDescent="0.25">
      <c r="A769">
        <v>16</v>
      </c>
      <c r="B769">
        <v>0</v>
      </c>
      <c r="C769">
        <v>249</v>
      </c>
    </row>
    <row r="770" spans="1:3" x14ac:dyDescent="0.25">
      <c r="A770">
        <v>13</v>
      </c>
      <c r="B770">
        <v>0</v>
      </c>
      <c r="C770">
        <v>249</v>
      </c>
    </row>
    <row r="771" spans="1:3" x14ac:dyDescent="0.25">
      <c r="A771">
        <v>12</v>
      </c>
      <c r="B771">
        <v>0</v>
      </c>
      <c r="C771">
        <v>249</v>
      </c>
    </row>
    <row r="772" spans="1:3" x14ac:dyDescent="0.25">
      <c r="A772">
        <v>12</v>
      </c>
      <c r="B772">
        <v>0</v>
      </c>
      <c r="C772">
        <v>351</v>
      </c>
    </row>
    <row r="773" spans="1:3" x14ac:dyDescent="0.25">
      <c r="A773">
        <v>12</v>
      </c>
      <c r="B773">
        <v>0</v>
      </c>
      <c r="C773">
        <v>351</v>
      </c>
    </row>
    <row r="774" spans="1:3" x14ac:dyDescent="0.25">
      <c r="A774">
        <v>11</v>
      </c>
      <c r="B774">
        <v>0</v>
      </c>
      <c r="C774">
        <v>351</v>
      </c>
    </row>
    <row r="775" spans="1:3" x14ac:dyDescent="0.25">
      <c r="A775">
        <v>12</v>
      </c>
      <c r="B775">
        <v>0</v>
      </c>
      <c r="C775">
        <v>351</v>
      </c>
    </row>
    <row r="776" spans="1:3" x14ac:dyDescent="0.25">
      <c r="A776">
        <v>14</v>
      </c>
      <c r="B776">
        <v>0</v>
      </c>
      <c r="C776">
        <v>351</v>
      </c>
    </row>
    <row r="777" spans="1:3" x14ac:dyDescent="0.25">
      <c r="A777">
        <v>14</v>
      </c>
      <c r="B777">
        <v>0</v>
      </c>
      <c r="C777">
        <v>351</v>
      </c>
    </row>
    <row r="778" spans="1:3" x14ac:dyDescent="0.25">
      <c r="A778">
        <v>12</v>
      </c>
      <c r="B778">
        <v>0</v>
      </c>
      <c r="C778">
        <v>351</v>
      </c>
    </row>
    <row r="779" spans="1:3" x14ac:dyDescent="0.25">
      <c r="A779">
        <v>14</v>
      </c>
      <c r="B779">
        <v>0</v>
      </c>
      <c r="C779">
        <v>351</v>
      </c>
    </row>
    <row r="780" spans="1:3" x14ac:dyDescent="0.25">
      <c r="A780">
        <v>11</v>
      </c>
      <c r="B780">
        <v>0</v>
      </c>
      <c r="C780">
        <v>353</v>
      </c>
    </row>
    <row r="781" spans="1:3" x14ac:dyDescent="0.25">
      <c r="A781">
        <v>14</v>
      </c>
      <c r="B781">
        <v>0</v>
      </c>
      <c r="C781">
        <v>353</v>
      </c>
    </row>
    <row r="782" spans="1:3" x14ac:dyDescent="0.25">
      <c r="A782">
        <v>12</v>
      </c>
      <c r="B782">
        <v>0</v>
      </c>
      <c r="C782">
        <v>353</v>
      </c>
    </row>
    <row r="783" spans="1:3" x14ac:dyDescent="0.25">
      <c r="A783">
        <v>12</v>
      </c>
      <c r="B783">
        <v>0</v>
      </c>
      <c r="C783">
        <v>353</v>
      </c>
    </row>
    <row r="784" spans="1:3" x14ac:dyDescent="0.25">
      <c r="A784">
        <v>11</v>
      </c>
      <c r="B784">
        <v>0</v>
      </c>
      <c r="C784">
        <v>353</v>
      </c>
    </row>
    <row r="785" spans="1:3" x14ac:dyDescent="0.25">
      <c r="A785">
        <v>11</v>
      </c>
      <c r="B785">
        <v>0</v>
      </c>
      <c r="C785">
        <v>353</v>
      </c>
    </row>
    <row r="786" spans="1:3" x14ac:dyDescent="0.25">
      <c r="A786">
        <v>12</v>
      </c>
      <c r="B786">
        <v>0</v>
      </c>
      <c r="C786">
        <v>353</v>
      </c>
    </row>
    <row r="787" spans="1:3" x14ac:dyDescent="0.25">
      <c r="A787">
        <v>12</v>
      </c>
      <c r="B787">
        <v>0</v>
      </c>
      <c r="C787">
        <v>353</v>
      </c>
    </row>
    <row r="788" spans="1:3" x14ac:dyDescent="0.25">
      <c r="A788">
        <v>12</v>
      </c>
      <c r="B788">
        <v>0</v>
      </c>
      <c r="C788">
        <v>342</v>
      </c>
    </row>
    <row r="789" spans="1:3" x14ac:dyDescent="0.25">
      <c r="A789">
        <v>12</v>
      </c>
      <c r="B789">
        <v>0</v>
      </c>
      <c r="C789">
        <v>342</v>
      </c>
    </row>
    <row r="790" spans="1:3" x14ac:dyDescent="0.25">
      <c r="A790">
        <v>11</v>
      </c>
      <c r="B790">
        <v>0</v>
      </c>
      <c r="C790">
        <v>342</v>
      </c>
    </row>
    <row r="791" spans="1:3" x14ac:dyDescent="0.25">
      <c r="A791">
        <v>12</v>
      </c>
      <c r="B791">
        <v>0</v>
      </c>
      <c r="C791">
        <v>342</v>
      </c>
    </row>
    <row r="792" spans="1:3" x14ac:dyDescent="0.25">
      <c r="A792">
        <v>13</v>
      </c>
      <c r="B792">
        <v>0</v>
      </c>
      <c r="C792">
        <v>342</v>
      </c>
    </row>
    <row r="793" spans="1:3" x14ac:dyDescent="0.25">
      <c r="A793">
        <v>11</v>
      </c>
      <c r="B793">
        <v>0</v>
      </c>
      <c r="C793">
        <v>342</v>
      </c>
    </row>
    <row r="794" spans="1:3" x14ac:dyDescent="0.25">
      <c r="A794">
        <v>12</v>
      </c>
      <c r="B794">
        <v>0</v>
      </c>
      <c r="C794">
        <v>342</v>
      </c>
    </row>
    <row r="795" spans="1:3" x14ac:dyDescent="0.25">
      <c r="A795">
        <v>13</v>
      </c>
      <c r="B795">
        <v>0</v>
      </c>
      <c r="C795">
        <v>342</v>
      </c>
    </row>
    <row r="796" spans="1:3" x14ac:dyDescent="0.25">
      <c r="A796">
        <v>11</v>
      </c>
      <c r="B796">
        <v>0</v>
      </c>
      <c r="C796">
        <v>343</v>
      </c>
    </row>
    <row r="797" spans="1:3" x14ac:dyDescent="0.25">
      <c r="A797">
        <v>11</v>
      </c>
      <c r="B797">
        <v>0</v>
      </c>
      <c r="C797">
        <v>343</v>
      </c>
    </row>
    <row r="798" spans="1:3" x14ac:dyDescent="0.25">
      <c r="A798">
        <v>13</v>
      </c>
      <c r="B798">
        <v>0</v>
      </c>
      <c r="C798">
        <v>343</v>
      </c>
    </row>
    <row r="799" spans="1:3" x14ac:dyDescent="0.25">
      <c r="A799">
        <v>12</v>
      </c>
      <c r="B799">
        <v>0</v>
      </c>
      <c r="C799">
        <v>343</v>
      </c>
    </row>
    <row r="800" spans="1:3" x14ac:dyDescent="0.25">
      <c r="A800">
        <v>11</v>
      </c>
      <c r="B800">
        <v>0</v>
      </c>
      <c r="C800">
        <v>343</v>
      </c>
    </row>
    <row r="801" spans="1:3" x14ac:dyDescent="0.25">
      <c r="A801">
        <v>12</v>
      </c>
      <c r="B801">
        <v>0</v>
      </c>
      <c r="C801">
        <v>343</v>
      </c>
    </row>
    <row r="802" spans="1:3" x14ac:dyDescent="0.25">
      <c r="A802">
        <v>42</v>
      </c>
      <c r="B802">
        <v>0</v>
      </c>
      <c r="C802">
        <v>166</v>
      </c>
    </row>
    <row r="803" spans="1:3" x14ac:dyDescent="0.25">
      <c r="A803">
        <v>12</v>
      </c>
      <c r="B803">
        <v>0</v>
      </c>
      <c r="C803">
        <v>166</v>
      </c>
    </row>
    <row r="804" spans="1:3" x14ac:dyDescent="0.25">
      <c r="A804">
        <v>13</v>
      </c>
      <c r="B804">
        <v>0</v>
      </c>
      <c r="C804">
        <v>166</v>
      </c>
    </row>
    <row r="805" spans="1:3" x14ac:dyDescent="0.25">
      <c r="A805">
        <v>14</v>
      </c>
      <c r="B805">
        <v>0</v>
      </c>
      <c r="C805">
        <v>166</v>
      </c>
    </row>
    <row r="806" spans="1:3" x14ac:dyDescent="0.25">
      <c r="A806">
        <v>14</v>
      </c>
      <c r="B806">
        <v>0</v>
      </c>
      <c r="C806">
        <v>166</v>
      </c>
    </row>
    <row r="807" spans="1:3" x14ac:dyDescent="0.25">
      <c r="A807">
        <v>14</v>
      </c>
      <c r="B807">
        <v>0</v>
      </c>
      <c r="C807">
        <v>166</v>
      </c>
    </row>
    <row r="808" spans="1:3" x14ac:dyDescent="0.25">
      <c r="A808">
        <v>12</v>
      </c>
      <c r="B808">
        <v>0</v>
      </c>
      <c r="C808">
        <v>166</v>
      </c>
    </row>
    <row r="809" spans="1:3" x14ac:dyDescent="0.25">
      <c r="A809">
        <v>14</v>
      </c>
      <c r="B809">
        <v>0</v>
      </c>
      <c r="C809">
        <v>166</v>
      </c>
    </row>
    <row r="810" spans="1:3" x14ac:dyDescent="0.25">
      <c r="A810">
        <v>12</v>
      </c>
      <c r="B810">
        <v>0</v>
      </c>
      <c r="C810">
        <v>392</v>
      </c>
    </row>
    <row r="811" spans="1:3" x14ac:dyDescent="0.25">
      <c r="A811">
        <v>15</v>
      </c>
      <c r="B811">
        <v>0</v>
      </c>
      <c r="C811">
        <v>392</v>
      </c>
    </row>
    <row r="812" spans="1:3" x14ac:dyDescent="0.25">
      <c r="A812">
        <v>18</v>
      </c>
      <c r="B812">
        <v>0</v>
      </c>
      <c r="C812">
        <v>392</v>
      </c>
    </row>
    <row r="813" spans="1:3" x14ac:dyDescent="0.25">
      <c r="A813">
        <v>15</v>
      </c>
      <c r="B813">
        <v>0</v>
      </c>
      <c r="C813">
        <v>392</v>
      </c>
    </row>
    <row r="814" spans="1:3" x14ac:dyDescent="0.25">
      <c r="A814">
        <v>12</v>
      </c>
      <c r="B814">
        <v>0</v>
      </c>
      <c r="C814">
        <v>392</v>
      </c>
    </row>
    <row r="815" spans="1:3" x14ac:dyDescent="0.25">
      <c r="A815">
        <v>14</v>
      </c>
      <c r="B815">
        <v>0</v>
      </c>
      <c r="C815">
        <v>392</v>
      </c>
    </row>
    <row r="816" spans="1:3" x14ac:dyDescent="0.25">
      <c r="A816">
        <v>29</v>
      </c>
      <c r="B816">
        <v>0</v>
      </c>
      <c r="C816">
        <v>392</v>
      </c>
    </row>
    <row r="817" spans="1:3" x14ac:dyDescent="0.25">
      <c r="A817">
        <v>16</v>
      </c>
      <c r="B817">
        <v>0</v>
      </c>
      <c r="C817">
        <v>388</v>
      </c>
    </row>
    <row r="818" spans="1:3" x14ac:dyDescent="0.25">
      <c r="A818">
        <v>14</v>
      </c>
      <c r="B818">
        <v>0</v>
      </c>
      <c r="C818">
        <v>388</v>
      </c>
    </row>
    <row r="819" spans="1:3" x14ac:dyDescent="0.25">
      <c r="A819">
        <v>12</v>
      </c>
      <c r="B819">
        <v>0</v>
      </c>
      <c r="C819">
        <v>388</v>
      </c>
    </row>
    <row r="820" spans="1:3" x14ac:dyDescent="0.25">
      <c r="A820">
        <v>11</v>
      </c>
      <c r="B820">
        <v>0</v>
      </c>
      <c r="C820">
        <v>388</v>
      </c>
    </row>
    <row r="821" spans="1:3" x14ac:dyDescent="0.25">
      <c r="A821">
        <v>12</v>
      </c>
      <c r="B821">
        <v>0</v>
      </c>
      <c r="C821">
        <v>388</v>
      </c>
    </row>
    <row r="822" spans="1:3" x14ac:dyDescent="0.25">
      <c r="A822">
        <v>13</v>
      </c>
      <c r="B822">
        <v>0</v>
      </c>
      <c r="C822">
        <v>388</v>
      </c>
    </row>
    <row r="823" spans="1:3" x14ac:dyDescent="0.25">
      <c r="A823">
        <v>12</v>
      </c>
      <c r="B823">
        <v>0</v>
      </c>
      <c r="C823">
        <v>388</v>
      </c>
    </row>
    <row r="824" spans="1:3" x14ac:dyDescent="0.25">
      <c r="A824">
        <v>13</v>
      </c>
      <c r="B824">
        <v>0</v>
      </c>
      <c r="C824">
        <v>366</v>
      </c>
    </row>
    <row r="825" spans="1:3" x14ac:dyDescent="0.25">
      <c r="A825">
        <v>14</v>
      </c>
      <c r="B825">
        <v>0</v>
      </c>
      <c r="C825">
        <v>366</v>
      </c>
    </row>
    <row r="826" spans="1:3" x14ac:dyDescent="0.25">
      <c r="A826">
        <v>13</v>
      </c>
      <c r="B826">
        <v>0</v>
      </c>
      <c r="C826">
        <v>366</v>
      </c>
    </row>
    <row r="827" spans="1:3" x14ac:dyDescent="0.25">
      <c r="A827">
        <v>13</v>
      </c>
      <c r="B827">
        <v>0</v>
      </c>
      <c r="C827">
        <v>366</v>
      </c>
    </row>
    <row r="828" spans="1:3" x14ac:dyDescent="0.25">
      <c r="A828">
        <v>16</v>
      </c>
      <c r="B828">
        <v>0</v>
      </c>
      <c r="C828">
        <v>366</v>
      </c>
    </row>
    <row r="829" spans="1:3" x14ac:dyDescent="0.25">
      <c r="A829">
        <v>14</v>
      </c>
      <c r="B829">
        <v>0</v>
      </c>
      <c r="C829">
        <v>366</v>
      </c>
    </row>
    <row r="830" spans="1:3" x14ac:dyDescent="0.25">
      <c r="A830">
        <v>13</v>
      </c>
      <c r="B830">
        <v>0</v>
      </c>
      <c r="C830">
        <v>366</v>
      </c>
    </row>
    <row r="831" spans="1:3" x14ac:dyDescent="0.25">
      <c r="A831">
        <v>12</v>
      </c>
      <c r="B831">
        <v>0</v>
      </c>
      <c r="C831">
        <v>439</v>
      </c>
    </row>
    <row r="832" spans="1:3" x14ac:dyDescent="0.25">
      <c r="A832">
        <v>13</v>
      </c>
      <c r="B832">
        <v>0</v>
      </c>
      <c r="C832">
        <v>439</v>
      </c>
    </row>
    <row r="833" spans="1:3" x14ac:dyDescent="0.25">
      <c r="A833">
        <v>12</v>
      </c>
      <c r="B833">
        <v>0</v>
      </c>
      <c r="C833">
        <v>439</v>
      </c>
    </row>
    <row r="834" spans="1:3" x14ac:dyDescent="0.25">
      <c r="A834">
        <v>12</v>
      </c>
      <c r="B834">
        <v>0</v>
      </c>
      <c r="C834">
        <v>439</v>
      </c>
    </row>
    <row r="835" spans="1:3" x14ac:dyDescent="0.25">
      <c r="A835">
        <v>14</v>
      </c>
      <c r="B835">
        <v>0</v>
      </c>
      <c r="C835">
        <v>439</v>
      </c>
    </row>
    <row r="836" spans="1:3" x14ac:dyDescent="0.25">
      <c r="A836">
        <v>13</v>
      </c>
      <c r="B836">
        <v>0</v>
      </c>
      <c r="C836">
        <v>439</v>
      </c>
    </row>
    <row r="837" spans="1:3" x14ac:dyDescent="0.25">
      <c r="A837">
        <v>13</v>
      </c>
      <c r="B837">
        <v>0</v>
      </c>
      <c r="C837">
        <v>439</v>
      </c>
    </row>
    <row r="838" spans="1:3" x14ac:dyDescent="0.25">
      <c r="A838">
        <v>18</v>
      </c>
      <c r="B838">
        <v>0</v>
      </c>
      <c r="C838">
        <v>445</v>
      </c>
    </row>
    <row r="839" spans="1:3" x14ac:dyDescent="0.25">
      <c r="A839">
        <v>13</v>
      </c>
      <c r="B839">
        <v>0</v>
      </c>
      <c r="C839">
        <v>445</v>
      </c>
    </row>
    <row r="840" spans="1:3" x14ac:dyDescent="0.25">
      <c r="A840">
        <v>12</v>
      </c>
      <c r="B840">
        <v>0</v>
      </c>
      <c r="C840">
        <v>445</v>
      </c>
    </row>
    <row r="841" spans="1:3" x14ac:dyDescent="0.25">
      <c r="A841">
        <v>14</v>
      </c>
      <c r="B841">
        <v>0</v>
      </c>
      <c r="C841">
        <v>445</v>
      </c>
    </row>
    <row r="842" spans="1:3" x14ac:dyDescent="0.25">
      <c r="A842">
        <v>12</v>
      </c>
      <c r="B842">
        <v>0</v>
      </c>
      <c r="C842">
        <v>445</v>
      </c>
    </row>
    <row r="843" spans="1:3" x14ac:dyDescent="0.25">
      <c r="A843">
        <v>13</v>
      </c>
      <c r="B843">
        <v>0</v>
      </c>
      <c r="C843">
        <v>445</v>
      </c>
    </row>
    <row r="844" spans="1:3" x14ac:dyDescent="0.25">
      <c r="A844">
        <v>12</v>
      </c>
      <c r="B844">
        <v>0</v>
      </c>
      <c r="C844">
        <v>445</v>
      </c>
    </row>
    <row r="845" spans="1:3" x14ac:dyDescent="0.25">
      <c r="A845">
        <v>13</v>
      </c>
      <c r="B845">
        <v>0</v>
      </c>
      <c r="C845">
        <v>445</v>
      </c>
    </row>
    <row r="846" spans="1:3" x14ac:dyDescent="0.25">
      <c r="A846">
        <v>11</v>
      </c>
      <c r="B846">
        <v>0</v>
      </c>
      <c r="C846">
        <v>406</v>
      </c>
    </row>
    <row r="847" spans="1:3" x14ac:dyDescent="0.25">
      <c r="A847">
        <v>12</v>
      </c>
      <c r="B847">
        <v>0</v>
      </c>
      <c r="C847">
        <v>406</v>
      </c>
    </row>
    <row r="848" spans="1:3" x14ac:dyDescent="0.25">
      <c r="A848">
        <v>13</v>
      </c>
      <c r="B848">
        <v>0</v>
      </c>
      <c r="C848">
        <v>406</v>
      </c>
    </row>
    <row r="849" spans="1:3" x14ac:dyDescent="0.25">
      <c r="A849">
        <v>11</v>
      </c>
      <c r="B849">
        <v>0</v>
      </c>
      <c r="C849">
        <v>406</v>
      </c>
    </row>
    <row r="850" spans="1:3" x14ac:dyDescent="0.25">
      <c r="A850">
        <v>13</v>
      </c>
      <c r="B850">
        <v>0</v>
      </c>
      <c r="C850">
        <v>406</v>
      </c>
    </row>
    <row r="851" spans="1:3" x14ac:dyDescent="0.25">
      <c r="A851">
        <v>15</v>
      </c>
      <c r="B851">
        <v>0</v>
      </c>
      <c r="C851">
        <v>406</v>
      </c>
    </row>
    <row r="852" spans="1:3" x14ac:dyDescent="0.25">
      <c r="A852">
        <v>13</v>
      </c>
      <c r="B852">
        <v>0</v>
      </c>
      <c r="C852">
        <v>406</v>
      </c>
    </row>
    <row r="853" spans="1:3" x14ac:dyDescent="0.25">
      <c r="A853">
        <v>12</v>
      </c>
      <c r="B853">
        <v>0</v>
      </c>
      <c r="C853">
        <v>499</v>
      </c>
    </row>
    <row r="854" spans="1:3" x14ac:dyDescent="0.25">
      <c r="A854">
        <v>13</v>
      </c>
      <c r="B854">
        <v>0</v>
      </c>
      <c r="C854">
        <v>499</v>
      </c>
    </row>
    <row r="855" spans="1:3" x14ac:dyDescent="0.25">
      <c r="A855">
        <v>15</v>
      </c>
      <c r="B855">
        <v>0</v>
      </c>
      <c r="C855">
        <v>499</v>
      </c>
    </row>
    <row r="856" spans="1:3" x14ac:dyDescent="0.25">
      <c r="A856">
        <v>12</v>
      </c>
      <c r="B856">
        <v>0</v>
      </c>
      <c r="C856">
        <v>499</v>
      </c>
    </row>
    <row r="857" spans="1:3" x14ac:dyDescent="0.25">
      <c r="A857">
        <v>13</v>
      </c>
      <c r="B857">
        <v>0</v>
      </c>
      <c r="C857">
        <v>499</v>
      </c>
    </row>
    <row r="858" spans="1:3" x14ac:dyDescent="0.25">
      <c r="A858">
        <v>12</v>
      </c>
      <c r="B858">
        <v>0</v>
      </c>
      <c r="C858">
        <v>499</v>
      </c>
    </row>
    <row r="859" spans="1:3" x14ac:dyDescent="0.25">
      <c r="A859">
        <v>10</v>
      </c>
      <c r="B859">
        <v>0</v>
      </c>
      <c r="C859">
        <v>499</v>
      </c>
    </row>
    <row r="860" spans="1:3" x14ac:dyDescent="0.25">
      <c r="A860">
        <v>13</v>
      </c>
      <c r="B860">
        <v>0</v>
      </c>
      <c r="C860">
        <v>499</v>
      </c>
    </row>
    <row r="861" spans="1:3" x14ac:dyDescent="0.25">
      <c r="A861">
        <v>12</v>
      </c>
      <c r="B861">
        <v>0</v>
      </c>
      <c r="C861">
        <v>356</v>
      </c>
    </row>
    <row r="862" spans="1:3" x14ac:dyDescent="0.25">
      <c r="A862">
        <v>13</v>
      </c>
      <c r="B862">
        <v>0</v>
      </c>
      <c r="C862">
        <v>356</v>
      </c>
    </row>
    <row r="863" spans="1:3" x14ac:dyDescent="0.25">
      <c r="A863">
        <v>12</v>
      </c>
      <c r="B863">
        <v>0</v>
      </c>
      <c r="C863">
        <v>356</v>
      </c>
    </row>
    <row r="864" spans="1:3" x14ac:dyDescent="0.25">
      <c r="A864">
        <v>13</v>
      </c>
      <c r="B864">
        <v>0</v>
      </c>
      <c r="C864">
        <v>356</v>
      </c>
    </row>
    <row r="865" spans="1:3" x14ac:dyDescent="0.25">
      <c r="A865">
        <v>13</v>
      </c>
      <c r="B865">
        <v>0</v>
      </c>
      <c r="C865">
        <v>356</v>
      </c>
    </row>
    <row r="866" spans="1:3" x14ac:dyDescent="0.25">
      <c r="A866">
        <v>16</v>
      </c>
      <c r="B866">
        <v>0</v>
      </c>
      <c r="C866">
        <v>356</v>
      </c>
    </row>
    <row r="867" spans="1:3" x14ac:dyDescent="0.25">
      <c r="A867">
        <v>13</v>
      </c>
      <c r="B867">
        <v>0</v>
      </c>
      <c r="C867">
        <v>356</v>
      </c>
    </row>
    <row r="868" spans="1:3" x14ac:dyDescent="0.25">
      <c r="A868">
        <v>12</v>
      </c>
      <c r="B868">
        <v>0</v>
      </c>
      <c r="C868">
        <v>438</v>
      </c>
    </row>
    <row r="869" spans="1:3" x14ac:dyDescent="0.25">
      <c r="A869">
        <v>13</v>
      </c>
      <c r="B869">
        <v>0</v>
      </c>
      <c r="C869">
        <v>438</v>
      </c>
    </row>
    <row r="870" spans="1:3" x14ac:dyDescent="0.25">
      <c r="A870">
        <v>12</v>
      </c>
      <c r="B870">
        <v>0</v>
      </c>
      <c r="C870">
        <v>438</v>
      </c>
    </row>
    <row r="871" spans="1:3" x14ac:dyDescent="0.25">
      <c r="A871">
        <v>16</v>
      </c>
      <c r="B871">
        <v>0</v>
      </c>
      <c r="C871">
        <v>438</v>
      </c>
    </row>
    <row r="872" spans="1:3" x14ac:dyDescent="0.25">
      <c r="A872">
        <v>12</v>
      </c>
      <c r="B872">
        <v>0</v>
      </c>
      <c r="C872">
        <v>438</v>
      </c>
    </row>
    <row r="873" spans="1:3" x14ac:dyDescent="0.25">
      <c r="A873">
        <v>12</v>
      </c>
      <c r="B873">
        <v>0</v>
      </c>
      <c r="C873">
        <v>438</v>
      </c>
    </row>
    <row r="874" spans="1:3" x14ac:dyDescent="0.25">
      <c r="A874">
        <v>12</v>
      </c>
      <c r="B874">
        <v>0</v>
      </c>
      <c r="C874">
        <v>438</v>
      </c>
    </row>
    <row r="875" spans="1:3" x14ac:dyDescent="0.25">
      <c r="A875">
        <v>13</v>
      </c>
      <c r="B875">
        <v>0</v>
      </c>
      <c r="C875">
        <v>438</v>
      </c>
    </row>
    <row r="876" spans="1:3" x14ac:dyDescent="0.25">
      <c r="A876">
        <v>12</v>
      </c>
      <c r="B876">
        <v>0</v>
      </c>
      <c r="C876">
        <v>317</v>
      </c>
    </row>
    <row r="877" spans="1:3" x14ac:dyDescent="0.25">
      <c r="A877">
        <v>11</v>
      </c>
      <c r="B877">
        <v>0</v>
      </c>
      <c r="C877">
        <v>317</v>
      </c>
    </row>
    <row r="878" spans="1:3" x14ac:dyDescent="0.25">
      <c r="A878">
        <v>12</v>
      </c>
      <c r="B878">
        <v>0</v>
      </c>
      <c r="C878">
        <v>317</v>
      </c>
    </row>
    <row r="879" spans="1:3" x14ac:dyDescent="0.25">
      <c r="A879">
        <v>12</v>
      </c>
      <c r="B879">
        <v>0</v>
      </c>
      <c r="C879">
        <v>317</v>
      </c>
    </row>
    <row r="880" spans="1:3" x14ac:dyDescent="0.25">
      <c r="A880">
        <v>13</v>
      </c>
      <c r="B880">
        <v>0</v>
      </c>
      <c r="C880">
        <v>317</v>
      </c>
    </row>
    <row r="881" spans="1:3" x14ac:dyDescent="0.25">
      <c r="A881">
        <v>12</v>
      </c>
      <c r="B881">
        <v>0</v>
      </c>
      <c r="C881">
        <v>317</v>
      </c>
    </row>
    <row r="882" spans="1:3" x14ac:dyDescent="0.25">
      <c r="A882">
        <v>13</v>
      </c>
      <c r="B882">
        <v>0</v>
      </c>
      <c r="C882">
        <v>317</v>
      </c>
    </row>
    <row r="883" spans="1:3" x14ac:dyDescent="0.25">
      <c r="A883">
        <v>12</v>
      </c>
      <c r="B883">
        <v>0</v>
      </c>
      <c r="C883">
        <v>317</v>
      </c>
    </row>
    <row r="884" spans="1:3" x14ac:dyDescent="0.25">
      <c r="A884">
        <v>11</v>
      </c>
      <c r="B884">
        <v>0</v>
      </c>
      <c r="C884">
        <v>360</v>
      </c>
    </row>
    <row r="885" spans="1:3" x14ac:dyDescent="0.25">
      <c r="A885">
        <v>13</v>
      </c>
      <c r="B885">
        <v>0</v>
      </c>
      <c r="C885">
        <v>360</v>
      </c>
    </row>
    <row r="886" spans="1:3" x14ac:dyDescent="0.25">
      <c r="A886">
        <v>12</v>
      </c>
      <c r="B886">
        <v>0</v>
      </c>
      <c r="C886">
        <v>360</v>
      </c>
    </row>
    <row r="887" spans="1:3" x14ac:dyDescent="0.25">
      <c r="A887">
        <v>13</v>
      </c>
      <c r="B887">
        <v>0</v>
      </c>
      <c r="C887">
        <v>360</v>
      </c>
    </row>
    <row r="888" spans="1:3" x14ac:dyDescent="0.25">
      <c r="A888">
        <v>12</v>
      </c>
      <c r="B888">
        <v>0</v>
      </c>
      <c r="C888">
        <v>360</v>
      </c>
    </row>
    <row r="889" spans="1:3" x14ac:dyDescent="0.25">
      <c r="A889">
        <v>13</v>
      </c>
      <c r="B889">
        <v>0</v>
      </c>
      <c r="C889">
        <v>360</v>
      </c>
    </row>
    <row r="890" spans="1:3" x14ac:dyDescent="0.25">
      <c r="A890">
        <v>12</v>
      </c>
      <c r="B890">
        <v>0</v>
      </c>
      <c r="C890">
        <v>360</v>
      </c>
    </row>
    <row r="891" spans="1:3" x14ac:dyDescent="0.25">
      <c r="A891">
        <v>12</v>
      </c>
      <c r="B891">
        <v>0</v>
      </c>
      <c r="C891">
        <v>360</v>
      </c>
    </row>
    <row r="892" spans="1:3" x14ac:dyDescent="0.25">
      <c r="A892">
        <v>14</v>
      </c>
      <c r="B892">
        <v>0</v>
      </c>
      <c r="C892">
        <v>381</v>
      </c>
    </row>
    <row r="893" spans="1:3" x14ac:dyDescent="0.25">
      <c r="A893">
        <v>14</v>
      </c>
      <c r="B893">
        <v>0</v>
      </c>
      <c r="C893">
        <v>381</v>
      </c>
    </row>
    <row r="894" spans="1:3" x14ac:dyDescent="0.25">
      <c r="A894">
        <v>18</v>
      </c>
      <c r="B894">
        <v>0</v>
      </c>
      <c r="C894">
        <v>381</v>
      </c>
    </row>
    <row r="895" spans="1:3" x14ac:dyDescent="0.25">
      <c r="A895">
        <v>13</v>
      </c>
      <c r="B895">
        <v>0</v>
      </c>
      <c r="C895">
        <v>381</v>
      </c>
    </row>
    <row r="896" spans="1:3" x14ac:dyDescent="0.25">
      <c r="A896">
        <v>12</v>
      </c>
      <c r="B896">
        <v>0</v>
      </c>
      <c r="C896">
        <v>381</v>
      </c>
    </row>
    <row r="897" spans="1:3" x14ac:dyDescent="0.25">
      <c r="A897">
        <v>11</v>
      </c>
      <c r="B897">
        <v>0</v>
      </c>
      <c r="C897">
        <v>381</v>
      </c>
    </row>
    <row r="898" spans="1:3" x14ac:dyDescent="0.25">
      <c r="A898">
        <v>13</v>
      </c>
      <c r="B898">
        <v>0</v>
      </c>
      <c r="C898">
        <v>381</v>
      </c>
    </row>
    <row r="899" spans="1:3" x14ac:dyDescent="0.25">
      <c r="A899">
        <v>12</v>
      </c>
      <c r="B899">
        <v>0</v>
      </c>
      <c r="C899">
        <v>389</v>
      </c>
    </row>
    <row r="900" spans="1:3" x14ac:dyDescent="0.25">
      <c r="A900">
        <v>16</v>
      </c>
      <c r="B900">
        <v>0</v>
      </c>
      <c r="C900">
        <v>389</v>
      </c>
    </row>
    <row r="901" spans="1:3" x14ac:dyDescent="0.25">
      <c r="A901">
        <v>14</v>
      </c>
      <c r="B901">
        <v>0</v>
      </c>
      <c r="C901">
        <v>389</v>
      </c>
    </row>
    <row r="902" spans="1:3" x14ac:dyDescent="0.25">
      <c r="A902">
        <v>13</v>
      </c>
      <c r="B902">
        <v>0</v>
      </c>
      <c r="C902">
        <v>389</v>
      </c>
    </row>
    <row r="903" spans="1:3" x14ac:dyDescent="0.25">
      <c r="A903">
        <v>13</v>
      </c>
      <c r="B903">
        <v>0</v>
      </c>
      <c r="C903">
        <v>389</v>
      </c>
    </row>
    <row r="904" spans="1:3" x14ac:dyDescent="0.25">
      <c r="A904">
        <v>11</v>
      </c>
      <c r="B904">
        <v>0</v>
      </c>
      <c r="C904">
        <v>389</v>
      </c>
    </row>
    <row r="905" spans="1:3" x14ac:dyDescent="0.25">
      <c r="A905">
        <v>11</v>
      </c>
      <c r="B905">
        <v>0</v>
      </c>
      <c r="C905">
        <v>389</v>
      </c>
    </row>
    <row r="906" spans="1:3" x14ac:dyDescent="0.25">
      <c r="A906">
        <v>13</v>
      </c>
      <c r="B906">
        <v>0</v>
      </c>
      <c r="C906">
        <v>389</v>
      </c>
    </row>
    <row r="907" spans="1:3" x14ac:dyDescent="0.25">
      <c r="A907">
        <v>11</v>
      </c>
      <c r="B907">
        <v>0</v>
      </c>
      <c r="C907">
        <v>351</v>
      </c>
    </row>
    <row r="908" spans="1:3" x14ac:dyDescent="0.25">
      <c r="A908">
        <v>14</v>
      </c>
      <c r="B908">
        <v>0</v>
      </c>
      <c r="C908">
        <v>351</v>
      </c>
    </row>
    <row r="909" spans="1:3" x14ac:dyDescent="0.25">
      <c r="A909">
        <v>12</v>
      </c>
      <c r="B909">
        <v>0</v>
      </c>
      <c r="C909">
        <v>351</v>
      </c>
    </row>
    <row r="910" spans="1:3" x14ac:dyDescent="0.25">
      <c r="A910">
        <v>13</v>
      </c>
      <c r="B910">
        <v>0</v>
      </c>
      <c r="C910">
        <v>351</v>
      </c>
    </row>
    <row r="911" spans="1:3" x14ac:dyDescent="0.25">
      <c r="A911">
        <v>14</v>
      </c>
      <c r="B911">
        <v>0</v>
      </c>
      <c r="C911">
        <v>351</v>
      </c>
    </row>
    <row r="912" spans="1:3" x14ac:dyDescent="0.25">
      <c r="A912">
        <v>12</v>
      </c>
      <c r="B912">
        <v>0</v>
      </c>
      <c r="C912">
        <v>351</v>
      </c>
    </row>
    <row r="913" spans="1:3" x14ac:dyDescent="0.25">
      <c r="A913">
        <v>14</v>
      </c>
      <c r="B913">
        <v>0</v>
      </c>
      <c r="C913">
        <v>351</v>
      </c>
    </row>
    <row r="914" spans="1:3" x14ac:dyDescent="0.25">
      <c r="A914">
        <v>12</v>
      </c>
      <c r="B914">
        <v>0</v>
      </c>
      <c r="C914">
        <v>411</v>
      </c>
    </row>
    <row r="915" spans="1:3" x14ac:dyDescent="0.25">
      <c r="A915">
        <v>14</v>
      </c>
      <c r="B915">
        <v>0</v>
      </c>
      <c r="C915">
        <v>411</v>
      </c>
    </row>
    <row r="916" spans="1:3" x14ac:dyDescent="0.25">
      <c r="A916">
        <v>13</v>
      </c>
      <c r="B916">
        <v>0</v>
      </c>
      <c r="C916">
        <v>411</v>
      </c>
    </row>
    <row r="917" spans="1:3" x14ac:dyDescent="0.25">
      <c r="A917">
        <v>14</v>
      </c>
      <c r="B917">
        <v>0</v>
      </c>
      <c r="C917">
        <v>411</v>
      </c>
    </row>
    <row r="918" spans="1:3" x14ac:dyDescent="0.25">
      <c r="A918">
        <v>15</v>
      </c>
      <c r="B918">
        <v>0</v>
      </c>
      <c r="C918">
        <v>411</v>
      </c>
    </row>
    <row r="919" spans="1:3" x14ac:dyDescent="0.25">
      <c r="A919">
        <v>15</v>
      </c>
      <c r="B919">
        <v>0</v>
      </c>
      <c r="C919">
        <v>411</v>
      </c>
    </row>
    <row r="920" spans="1:3" x14ac:dyDescent="0.25">
      <c r="A920">
        <v>14</v>
      </c>
      <c r="B920">
        <v>0</v>
      </c>
      <c r="C920">
        <v>411</v>
      </c>
    </row>
    <row r="921" spans="1:3" x14ac:dyDescent="0.25">
      <c r="A921">
        <v>15</v>
      </c>
      <c r="B921">
        <v>0</v>
      </c>
      <c r="C921">
        <v>535</v>
      </c>
    </row>
    <row r="922" spans="1:3" x14ac:dyDescent="0.25">
      <c r="A922">
        <v>14</v>
      </c>
      <c r="B922">
        <v>0</v>
      </c>
      <c r="C922">
        <v>535</v>
      </c>
    </row>
    <row r="923" spans="1:3" x14ac:dyDescent="0.25">
      <c r="A923">
        <v>12</v>
      </c>
      <c r="B923">
        <v>0</v>
      </c>
      <c r="C923">
        <v>535</v>
      </c>
    </row>
    <row r="924" spans="1:3" x14ac:dyDescent="0.25">
      <c r="A924">
        <v>13</v>
      </c>
      <c r="B924">
        <v>0</v>
      </c>
      <c r="C924">
        <v>535</v>
      </c>
    </row>
    <row r="925" spans="1:3" x14ac:dyDescent="0.25">
      <c r="A925">
        <v>14</v>
      </c>
      <c r="B925">
        <v>0</v>
      </c>
      <c r="C925">
        <v>535</v>
      </c>
    </row>
    <row r="926" spans="1:3" x14ac:dyDescent="0.25">
      <c r="A926">
        <v>13</v>
      </c>
      <c r="B926">
        <v>0</v>
      </c>
      <c r="C926">
        <v>535</v>
      </c>
    </row>
    <row r="927" spans="1:3" x14ac:dyDescent="0.25">
      <c r="A927">
        <v>13</v>
      </c>
      <c r="B927">
        <v>0</v>
      </c>
      <c r="C927">
        <v>535</v>
      </c>
    </row>
    <row r="928" spans="1:3" x14ac:dyDescent="0.25">
      <c r="A928">
        <v>14</v>
      </c>
      <c r="B928">
        <v>0</v>
      </c>
      <c r="C928">
        <v>329</v>
      </c>
    </row>
    <row r="929" spans="1:3" x14ac:dyDescent="0.25">
      <c r="A929">
        <v>13</v>
      </c>
      <c r="B929">
        <v>0</v>
      </c>
      <c r="C929">
        <v>329</v>
      </c>
    </row>
    <row r="930" spans="1:3" x14ac:dyDescent="0.25">
      <c r="A930">
        <v>17</v>
      </c>
      <c r="B930">
        <v>0</v>
      </c>
      <c r="C930">
        <v>329</v>
      </c>
    </row>
    <row r="931" spans="1:3" x14ac:dyDescent="0.25">
      <c r="A931">
        <v>12</v>
      </c>
      <c r="B931">
        <v>0</v>
      </c>
      <c r="C931">
        <v>329</v>
      </c>
    </row>
    <row r="932" spans="1:3" x14ac:dyDescent="0.25">
      <c r="A932">
        <v>12</v>
      </c>
      <c r="B932">
        <v>0</v>
      </c>
      <c r="C932">
        <v>329</v>
      </c>
    </row>
    <row r="933" spans="1:3" x14ac:dyDescent="0.25">
      <c r="A933">
        <v>12</v>
      </c>
      <c r="B933">
        <v>0</v>
      </c>
      <c r="C933">
        <v>329</v>
      </c>
    </row>
    <row r="934" spans="1:3" x14ac:dyDescent="0.25">
      <c r="A934">
        <v>13</v>
      </c>
      <c r="B934">
        <v>0</v>
      </c>
      <c r="C934">
        <v>329</v>
      </c>
    </row>
    <row r="935" spans="1:3" x14ac:dyDescent="0.25">
      <c r="A935">
        <v>13</v>
      </c>
      <c r="B935">
        <v>0</v>
      </c>
      <c r="C935">
        <v>383</v>
      </c>
    </row>
    <row r="936" spans="1:3" x14ac:dyDescent="0.25">
      <c r="A936">
        <v>12</v>
      </c>
      <c r="B936">
        <v>0</v>
      </c>
      <c r="C936">
        <v>383</v>
      </c>
    </row>
    <row r="937" spans="1:3" x14ac:dyDescent="0.25">
      <c r="A937">
        <v>12</v>
      </c>
      <c r="B937">
        <v>0</v>
      </c>
      <c r="C937">
        <v>383</v>
      </c>
    </row>
    <row r="938" spans="1:3" x14ac:dyDescent="0.25">
      <c r="A938">
        <v>12</v>
      </c>
      <c r="B938">
        <v>0</v>
      </c>
      <c r="C938">
        <v>383</v>
      </c>
    </row>
    <row r="939" spans="1:3" x14ac:dyDescent="0.25">
      <c r="A939">
        <v>11</v>
      </c>
      <c r="B939">
        <v>0</v>
      </c>
      <c r="C939">
        <v>383</v>
      </c>
    </row>
    <row r="940" spans="1:3" x14ac:dyDescent="0.25">
      <c r="A940">
        <v>13</v>
      </c>
      <c r="B940">
        <v>0</v>
      </c>
      <c r="C940">
        <v>383</v>
      </c>
    </row>
    <row r="941" spans="1:3" x14ac:dyDescent="0.25">
      <c r="A941">
        <v>11</v>
      </c>
      <c r="B941">
        <v>0</v>
      </c>
      <c r="C941">
        <v>383</v>
      </c>
    </row>
    <row r="942" spans="1:3" x14ac:dyDescent="0.25">
      <c r="A942">
        <v>11</v>
      </c>
      <c r="B942">
        <v>0</v>
      </c>
      <c r="C942">
        <v>383</v>
      </c>
    </row>
    <row r="943" spans="1:3" x14ac:dyDescent="0.25">
      <c r="A943">
        <v>13</v>
      </c>
      <c r="B943">
        <v>0</v>
      </c>
      <c r="C943">
        <v>331</v>
      </c>
    </row>
    <row r="944" spans="1:3" x14ac:dyDescent="0.25">
      <c r="A944">
        <v>12</v>
      </c>
      <c r="B944">
        <v>0</v>
      </c>
      <c r="C944">
        <v>331</v>
      </c>
    </row>
    <row r="945" spans="1:3" x14ac:dyDescent="0.25">
      <c r="A945">
        <v>12</v>
      </c>
      <c r="B945">
        <v>0</v>
      </c>
      <c r="C945">
        <v>331</v>
      </c>
    </row>
    <row r="946" spans="1:3" x14ac:dyDescent="0.25">
      <c r="A946">
        <v>11</v>
      </c>
      <c r="B946">
        <v>0</v>
      </c>
      <c r="C946">
        <v>331</v>
      </c>
    </row>
    <row r="947" spans="1:3" x14ac:dyDescent="0.25">
      <c r="A947">
        <v>14</v>
      </c>
      <c r="B947">
        <v>0</v>
      </c>
      <c r="C947">
        <v>331</v>
      </c>
    </row>
    <row r="948" spans="1:3" x14ac:dyDescent="0.25">
      <c r="A948">
        <v>13</v>
      </c>
      <c r="B948">
        <v>0</v>
      </c>
      <c r="C948">
        <v>331</v>
      </c>
    </row>
    <row r="949" spans="1:3" x14ac:dyDescent="0.25">
      <c r="A949">
        <v>14</v>
      </c>
      <c r="B949">
        <v>0</v>
      </c>
      <c r="C949">
        <v>331</v>
      </c>
    </row>
    <row r="950" spans="1:3" x14ac:dyDescent="0.25">
      <c r="A950">
        <v>19</v>
      </c>
      <c r="B950">
        <v>0</v>
      </c>
      <c r="C950">
        <v>331</v>
      </c>
    </row>
    <row r="951" spans="1:3" x14ac:dyDescent="0.25">
      <c r="A951">
        <v>12</v>
      </c>
      <c r="B951">
        <v>0</v>
      </c>
      <c r="C951">
        <v>327</v>
      </c>
    </row>
    <row r="952" spans="1:3" x14ac:dyDescent="0.25">
      <c r="A952">
        <v>12</v>
      </c>
      <c r="B952">
        <v>0</v>
      </c>
      <c r="C952">
        <v>327</v>
      </c>
    </row>
    <row r="953" spans="1:3" x14ac:dyDescent="0.25">
      <c r="A953">
        <v>12</v>
      </c>
      <c r="B953">
        <v>0</v>
      </c>
      <c r="C953">
        <v>327</v>
      </c>
    </row>
    <row r="954" spans="1:3" x14ac:dyDescent="0.25">
      <c r="A954">
        <v>13</v>
      </c>
      <c r="B954">
        <v>0</v>
      </c>
      <c r="C954">
        <v>327</v>
      </c>
    </row>
    <row r="955" spans="1:3" x14ac:dyDescent="0.25">
      <c r="A955">
        <v>12</v>
      </c>
      <c r="B955">
        <v>0</v>
      </c>
      <c r="C955">
        <v>327</v>
      </c>
    </row>
    <row r="956" spans="1:3" x14ac:dyDescent="0.25">
      <c r="A956">
        <v>11</v>
      </c>
      <c r="B956">
        <v>0</v>
      </c>
      <c r="C956">
        <v>327</v>
      </c>
    </row>
    <row r="957" spans="1:3" x14ac:dyDescent="0.25">
      <c r="A957">
        <v>12</v>
      </c>
      <c r="B957">
        <v>0</v>
      </c>
      <c r="C957">
        <v>327</v>
      </c>
    </row>
    <row r="958" spans="1:3" x14ac:dyDescent="0.25">
      <c r="A958">
        <v>12</v>
      </c>
      <c r="B958">
        <v>0</v>
      </c>
      <c r="C958">
        <v>327</v>
      </c>
    </row>
    <row r="959" spans="1:3" x14ac:dyDescent="0.25">
      <c r="A959">
        <v>16</v>
      </c>
      <c r="B959">
        <v>0</v>
      </c>
      <c r="C959">
        <v>347</v>
      </c>
    </row>
    <row r="960" spans="1:3" x14ac:dyDescent="0.25">
      <c r="A960">
        <v>12</v>
      </c>
      <c r="B960">
        <v>0</v>
      </c>
      <c r="C960">
        <v>347</v>
      </c>
    </row>
    <row r="961" spans="1:3" x14ac:dyDescent="0.25">
      <c r="A961">
        <v>12</v>
      </c>
      <c r="B961">
        <v>0</v>
      </c>
      <c r="C961">
        <v>347</v>
      </c>
    </row>
    <row r="962" spans="1:3" x14ac:dyDescent="0.25">
      <c r="A962">
        <v>12</v>
      </c>
      <c r="B962">
        <v>0</v>
      </c>
      <c r="C962">
        <v>347</v>
      </c>
    </row>
    <row r="963" spans="1:3" x14ac:dyDescent="0.25">
      <c r="A963">
        <v>12</v>
      </c>
      <c r="B963">
        <v>0</v>
      </c>
      <c r="C963">
        <v>347</v>
      </c>
    </row>
    <row r="964" spans="1:3" x14ac:dyDescent="0.25">
      <c r="A964">
        <v>13</v>
      </c>
      <c r="B964">
        <v>0</v>
      </c>
      <c r="C964">
        <v>347</v>
      </c>
    </row>
    <row r="965" spans="1:3" x14ac:dyDescent="0.25">
      <c r="A965">
        <v>17</v>
      </c>
      <c r="B965">
        <v>0</v>
      </c>
      <c r="C965">
        <v>347</v>
      </c>
    </row>
    <row r="966" spans="1:3" x14ac:dyDescent="0.25">
      <c r="A966">
        <v>14</v>
      </c>
      <c r="B966">
        <v>0</v>
      </c>
      <c r="C966">
        <v>347</v>
      </c>
    </row>
    <row r="967" spans="1:3" x14ac:dyDescent="0.25">
      <c r="A967">
        <v>15</v>
      </c>
      <c r="B967">
        <v>0</v>
      </c>
      <c r="C967">
        <v>360</v>
      </c>
    </row>
    <row r="968" spans="1:3" x14ac:dyDescent="0.25">
      <c r="A968">
        <v>11</v>
      </c>
      <c r="B968">
        <v>0</v>
      </c>
      <c r="C968">
        <v>360</v>
      </c>
    </row>
    <row r="969" spans="1:3" x14ac:dyDescent="0.25">
      <c r="A969">
        <v>12</v>
      </c>
      <c r="B969">
        <v>0</v>
      </c>
      <c r="C969">
        <v>360</v>
      </c>
    </row>
    <row r="970" spans="1:3" x14ac:dyDescent="0.25">
      <c r="A970">
        <v>12</v>
      </c>
      <c r="B970">
        <v>0</v>
      </c>
      <c r="C970">
        <v>360</v>
      </c>
    </row>
    <row r="971" spans="1:3" x14ac:dyDescent="0.25">
      <c r="A971">
        <v>11</v>
      </c>
      <c r="B971">
        <v>0</v>
      </c>
      <c r="C971">
        <v>360</v>
      </c>
    </row>
    <row r="972" spans="1:3" x14ac:dyDescent="0.25">
      <c r="A972">
        <v>12</v>
      </c>
      <c r="B972">
        <v>0</v>
      </c>
      <c r="C972">
        <v>360</v>
      </c>
    </row>
    <row r="973" spans="1:3" x14ac:dyDescent="0.25">
      <c r="A973">
        <v>13</v>
      </c>
      <c r="B973">
        <v>0</v>
      </c>
      <c r="C973">
        <v>360</v>
      </c>
    </row>
    <row r="974" spans="1:3" x14ac:dyDescent="0.25">
      <c r="A974">
        <v>13</v>
      </c>
      <c r="B974">
        <v>0</v>
      </c>
      <c r="C974">
        <v>360</v>
      </c>
    </row>
    <row r="975" spans="1:3" x14ac:dyDescent="0.25">
      <c r="A975">
        <v>12</v>
      </c>
      <c r="B975">
        <v>0</v>
      </c>
      <c r="C975">
        <v>333</v>
      </c>
    </row>
    <row r="976" spans="1:3" x14ac:dyDescent="0.25">
      <c r="A976">
        <v>12</v>
      </c>
      <c r="B976">
        <v>0</v>
      </c>
      <c r="C976">
        <v>333</v>
      </c>
    </row>
    <row r="977" spans="1:3" x14ac:dyDescent="0.25">
      <c r="A977">
        <v>13</v>
      </c>
      <c r="B977">
        <v>0</v>
      </c>
      <c r="C977">
        <v>333</v>
      </c>
    </row>
    <row r="978" spans="1:3" x14ac:dyDescent="0.25">
      <c r="A978">
        <v>12</v>
      </c>
      <c r="B978">
        <v>0</v>
      </c>
      <c r="C978">
        <v>333</v>
      </c>
    </row>
    <row r="979" spans="1:3" x14ac:dyDescent="0.25">
      <c r="A979">
        <v>14</v>
      </c>
      <c r="B979">
        <v>0</v>
      </c>
      <c r="C979">
        <v>333</v>
      </c>
    </row>
    <row r="980" spans="1:3" x14ac:dyDescent="0.25">
      <c r="A980">
        <v>13</v>
      </c>
      <c r="B980">
        <v>0</v>
      </c>
      <c r="C980">
        <v>333</v>
      </c>
    </row>
    <row r="981" spans="1:3" x14ac:dyDescent="0.25">
      <c r="A981">
        <v>12</v>
      </c>
      <c r="B981">
        <v>0</v>
      </c>
      <c r="C981">
        <v>333</v>
      </c>
    </row>
    <row r="982" spans="1:3" x14ac:dyDescent="0.25">
      <c r="A982">
        <v>13</v>
      </c>
      <c r="B982">
        <v>0</v>
      </c>
      <c r="C982">
        <v>333</v>
      </c>
    </row>
    <row r="983" spans="1:3" x14ac:dyDescent="0.25">
      <c r="A983">
        <v>12</v>
      </c>
      <c r="B983">
        <v>0</v>
      </c>
      <c r="C983">
        <v>353</v>
      </c>
    </row>
    <row r="984" spans="1:3" x14ac:dyDescent="0.25">
      <c r="A984">
        <v>13</v>
      </c>
      <c r="B984">
        <v>0</v>
      </c>
      <c r="C984">
        <v>353</v>
      </c>
    </row>
    <row r="985" spans="1:3" x14ac:dyDescent="0.25">
      <c r="A985">
        <v>21</v>
      </c>
      <c r="B985">
        <v>0</v>
      </c>
      <c r="C985">
        <v>353</v>
      </c>
    </row>
    <row r="986" spans="1:3" x14ac:dyDescent="0.25">
      <c r="A986">
        <v>14</v>
      </c>
      <c r="B986">
        <v>0</v>
      </c>
      <c r="C986">
        <v>353</v>
      </c>
    </row>
    <row r="987" spans="1:3" x14ac:dyDescent="0.25">
      <c r="A987">
        <v>12</v>
      </c>
      <c r="B987">
        <v>0</v>
      </c>
      <c r="C987">
        <v>353</v>
      </c>
    </row>
    <row r="988" spans="1:3" x14ac:dyDescent="0.25">
      <c r="A988">
        <v>12</v>
      </c>
      <c r="B988">
        <v>0</v>
      </c>
      <c r="C988">
        <v>353</v>
      </c>
    </row>
    <row r="989" spans="1:3" x14ac:dyDescent="0.25">
      <c r="A989">
        <v>14</v>
      </c>
      <c r="B989">
        <v>0</v>
      </c>
      <c r="C989">
        <v>353</v>
      </c>
    </row>
    <row r="990" spans="1:3" x14ac:dyDescent="0.25">
      <c r="A990">
        <v>12</v>
      </c>
      <c r="B990">
        <v>0</v>
      </c>
      <c r="C990">
        <v>491</v>
      </c>
    </row>
    <row r="991" spans="1:3" x14ac:dyDescent="0.25">
      <c r="A991">
        <v>12</v>
      </c>
      <c r="B991">
        <v>0</v>
      </c>
      <c r="C991">
        <v>491</v>
      </c>
    </row>
    <row r="992" spans="1:3" x14ac:dyDescent="0.25">
      <c r="A992">
        <v>12</v>
      </c>
      <c r="B992">
        <v>0</v>
      </c>
      <c r="C992">
        <v>491</v>
      </c>
    </row>
    <row r="993" spans="1:3" x14ac:dyDescent="0.25">
      <c r="A993">
        <v>13</v>
      </c>
      <c r="B993">
        <v>0</v>
      </c>
      <c r="C993">
        <v>491</v>
      </c>
    </row>
    <row r="994" spans="1:3" x14ac:dyDescent="0.25">
      <c r="A994">
        <v>15</v>
      </c>
      <c r="B994">
        <v>0</v>
      </c>
      <c r="C994">
        <v>491</v>
      </c>
    </row>
    <row r="995" spans="1:3" x14ac:dyDescent="0.25">
      <c r="A995">
        <v>13</v>
      </c>
      <c r="B995">
        <v>0</v>
      </c>
      <c r="C995">
        <v>491</v>
      </c>
    </row>
    <row r="996" spans="1:3" x14ac:dyDescent="0.25">
      <c r="A996">
        <v>13</v>
      </c>
      <c r="B996">
        <v>0</v>
      </c>
      <c r="C996">
        <v>491</v>
      </c>
    </row>
    <row r="997" spans="1:3" x14ac:dyDescent="0.25">
      <c r="A997">
        <v>11</v>
      </c>
      <c r="B997">
        <v>0</v>
      </c>
      <c r="C997">
        <v>491</v>
      </c>
    </row>
    <row r="998" spans="1:3" x14ac:dyDescent="0.25">
      <c r="A998">
        <v>12</v>
      </c>
      <c r="B998">
        <v>0</v>
      </c>
      <c r="C998">
        <v>318</v>
      </c>
    </row>
    <row r="999" spans="1:3" x14ac:dyDescent="0.25">
      <c r="A999">
        <v>12</v>
      </c>
      <c r="B999">
        <v>0</v>
      </c>
      <c r="C999">
        <v>318</v>
      </c>
    </row>
    <row r="1000" spans="1:3" x14ac:dyDescent="0.25">
      <c r="A1000">
        <v>13</v>
      </c>
      <c r="B1000">
        <v>0</v>
      </c>
      <c r="C1000">
        <v>318</v>
      </c>
    </row>
    <row r="1001" spans="1:3" x14ac:dyDescent="0.25">
      <c r="A1001">
        <v>12</v>
      </c>
      <c r="B1001">
        <v>0</v>
      </c>
      <c r="C1001">
        <v>318</v>
      </c>
    </row>
    <row r="1002" spans="1:3" x14ac:dyDescent="0.25">
      <c r="A1002">
        <v>12</v>
      </c>
      <c r="B1002">
        <v>0</v>
      </c>
      <c r="C1002">
        <v>318</v>
      </c>
    </row>
    <row r="1003" spans="1:3" x14ac:dyDescent="0.25">
      <c r="A1003">
        <v>11</v>
      </c>
      <c r="B1003">
        <v>0</v>
      </c>
      <c r="C1003">
        <v>318</v>
      </c>
    </row>
    <row r="1004" spans="1:3" x14ac:dyDescent="0.25">
      <c r="A1004">
        <v>12</v>
      </c>
      <c r="B1004">
        <v>0</v>
      </c>
      <c r="C1004">
        <v>318</v>
      </c>
    </row>
    <row r="1005" spans="1:3" x14ac:dyDescent="0.25">
      <c r="A1005">
        <v>13</v>
      </c>
      <c r="B1005">
        <v>0</v>
      </c>
      <c r="C1005">
        <v>277</v>
      </c>
    </row>
    <row r="1006" spans="1:3" x14ac:dyDescent="0.25">
      <c r="A1006">
        <v>11</v>
      </c>
      <c r="B1006">
        <v>0</v>
      </c>
      <c r="C1006">
        <v>277</v>
      </c>
    </row>
    <row r="1007" spans="1:3" x14ac:dyDescent="0.25">
      <c r="A1007">
        <v>20</v>
      </c>
      <c r="B1007">
        <v>0</v>
      </c>
      <c r="C1007">
        <v>277</v>
      </c>
    </row>
    <row r="1008" spans="1:3" x14ac:dyDescent="0.25">
      <c r="A1008">
        <v>12</v>
      </c>
      <c r="B1008">
        <v>0</v>
      </c>
      <c r="C1008">
        <v>277</v>
      </c>
    </row>
    <row r="1009" spans="1:3" x14ac:dyDescent="0.25">
      <c r="A1009">
        <v>13</v>
      </c>
      <c r="B1009">
        <v>0</v>
      </c>
      <c r="C1009">
        <v>277</v>
      </c>
    </row>
    <row r="1010" spans="1:3" x14ac:dyDescent="0.25">
      <c r="A1010">
        <v>12</v>
      </c>
      <c r="B1010">
        <v>0</v>
      </c>
      <c r="C1010">
        <v>277</v>
      </c>
    </row>
    <row r="1011" spans="1:3" x14ac:dyDescent="0.25">
      <c r="A1011">
        <v>13</v>
      </c>
      <c r="B1011">
        <v>0</v>
      </c>
      <c r="C1011">
        <v>277</v>
      </c>
    </row>
    <row r="1012" spans="1:3" x14ac:dyDescent="0.25">
      <c r="A1012">
        <v>12</v>
      </c>
      <c r="B1012">
        <v>0</v>
      </c>
      <c r="C1012">
        <v>387</v>
      </c>
    </row>
    <row r="1013" spans="1:3" x14ac:dyDescent="0.25">
      <c r="A1013">
        <v>13</v>
      </c>
      <c r="B1013">
        <v>0</v>
      </c>
      <c r="C1013">
        <v>387</v>
      </c>
    </row>
    <row r="1014" spans="1:3" x14ac:dyDescent="0.25">
      <c r="A1014">
        <v>12</v>
      </c>
      <c r="B1014">
        <v>0</v>
      </c>
      <c r="C1014">
        <v>387</v>
      </c>
    </row>
    <row r="1015" spans="1:3" x14ac:dyDescent="0.25">
      <c r="A1015">
        <v>13</v>
      </c>
      <c r="B1015">
        <v>0</v>
      </c>
      <c r="C1015">
        <v>387</v>
      </c>
    </row>
    <row r="1016" spans="1:3" x14ac:dyDescent="0.25">
      <c r="A1016">
        <v>11</v>
      </c>
      <c r="B1016">
        <v>0</v>
      </c>
      <c r="C1016">
        <v>387</v>
      </c>
    </row>
    <row r="1017" spans="1:3" x14ac:dyDescent="0.25">
      <c r="A1017">
        <v>12</v>
      </c>
      <c r="B1017">
        <v>0</v>
      </c>
      <c r="C1017">
        <v>387</v>
      </c>
    </row>
    <row r="1018" spans="1:3" x14ac:dyDescent="0.25">
      <c r="A1018">
        <v>12</v>
      </c>
      <c r="B1018">
        <v>0</v>
      </c>
      <c r="C1018">
        <v>387</v>
      </c>
    </row>
    <row r="1019" spans="1:3" x14ac:dyDescent="0.25">
      <c r="A1019">
        <v>12</v>
      </c>
      <c r="B1019">
        <v>0</v>
      </c>
      <c r="C1019">
        <v>387</v>
      </c>
    </row>
    <row r="1020" spans="1:3" x14ac:dyDescent="0.25">
      <c r="A1020">
        <v>16</v>
      </c>
      <c r="B1020">
        <v>0</v>
      </c>
      <c r="C1020">
        <v>329</v>
      </c>
    </row>
    <row r="1021" spans="1:3" x14ac:dyDescent="0.25">
      <c r="A1021">
        <v>12</v>
      </c>
      <c r="B1021">
        <v>0</v>
      </c>
      <c r="C1021">
        <v>329</v>
      </c>
    </row>
    <row r="1022" spans="1:3" x14ac:dyDescent="0.25">
      <c r="A1022">
        <v>12</v>
      </c>
      <c r="B1022">
        <v>0</v>
      </c>
      <c r="C1022">
        <v>329</v>
      </c>
    </row>
    <row r="1023" spans="1:3" x14ac:dyDescent="0.25">
      <c r="A1023">
        <v>12</v>
      </c>
      <c r="B1023">
        <v>0</v>
      </c>
      <c r="C1023">
        <v>329</v>
      </c>
    </row>
    <row r="1024" spans="1:3" x14ac:dyDescent="0.25">
      <c r="A1024">
        <v>12</v>
      </c>
      <c r="B1024">
        <v>0</v>
      </c>
      <c r="C1024">
        <v>329</v>
      </c>
    </row>
    <row r="1025" spans="1:3" x14ac:dyDescent="0.25">
      <c r="A1025">
        <v>12</v>
      </c>
      <c r="B1025">
        <v>0</v>
      </c>
      <c r="C1025">
        <v>329</v>
      </c>
    </row>
    <row r="1026" spans="1:3" x14ac:dyDescent="0.25">
      <c r="A1026">
        <v>13</v>
      </c>
      <c r="B1026">
        <v>0</v>
      </c>
      <c r="C1026">
        <v>329</v>
      </c>
    </row>
    <row r="1027" spans="1:3" x14ac:dyDescent="0.25">
      <c r="A1027">
        <v>11</v>
      </c>
      <c r="B1027">
        <v>0</v>
      </c>
      <c r="C1027">
        <v>329</v>
      </c>
    </row>
    <row r="1028" spans="1:3" x14ac:dyDescent="0.25">
      <c r="A1028">
        <v>12</v>
      </c>
      <c r="B1028">
        <v>0</v>
      </c>
      <c r="C1028">
        <v>339</v>
      </c>
    </row>
    <row r="1029" spans="1:3" x14ac:dyDescent="0.25">
      <c r="A1029">
        <v>12</v>
      </c>
      <c r="B1029">
        <v>0</v>
      </c>
      <c r="C1029">
        <v>339</v>
      </c>
    </row>
    <row r="1030" spans="1:3" x14ac:dyDescent="0.25">
      <c r="A1030">
        <v>12</v>
      </c>
      <c r="B1030">
        <v>0</v>
      </c>
      <c r="C1030">
        <v>339</v>
      </c>
    </row>
    <row r="1031" spans="1:3" x14ac:dyDescent="0.25">
      <c r="A1031">
        <v>13</v>
      </c>
      <c r="B1031">
        <v>0</v>
      </c>
      <c r="C1031">
        <v>339</v>
      </c>
    </row>
    <row r="1032" spans="1:3" x14ac:dyDescent="0.25">
      <c r="A1032">
        <v>12</v>
      </c>
      <c r="B1032">
        <v>0</v>
      </c>
      <c r="C1032">
        <v>339</v>
      </c>
    </row>
    <row r="1033" spans="1:3" x14ac:dyDescent="0.25">
      <c r="A1033">
        <v>12</v>
      </c>
      <c r="B1033">
        <v>0</v>
      </c>
      <c r="C1033">
        <v>339</v>
      </c>
    </row>
    <row r="1034" spans="1:3" x14ac:dyDescent="0.25">
      <c r="A1034">
        <v>13</v>
      </c>
      <c r="B1034">
        <v>0</v>
      </c>
      <c r="C1034">
        <v>339</v>
      </c>
    </row>
    <row r="1035" spans="1:3" x14ac:dyDescent="0.25">
      <c r="A1035">
        <v>16</v>
      </c>
      <c r="B1035">
        <v>0</v>
      </c>
      <c r="C1035">
        <v>339</v>
      </c>
    </row>
    <row r="1036" spans="1:3" x14ac:dyDescent="0.25">
      <c r="A1036">
        <v>14</v>
      </c>
      <c r="B1036">
        <v>0</v>
      </c>
      <c r="C1036">
        <v>337</v>
      </c>
    </row>
    <row r="1037" spans="1:3" x14ac:dyDescent="0.25">
      <c r="A1037">
        <v>14</v>
      </c>
      <c r="B1037">
        <v>0</v>
      </c>
      <c r="C1037">
        <v>337</v>
      </c>
    </row>
    <row r="1038" spans="1:3" x14ac:dyDescent="0.25">
      <c r="A1038">
        <v>12</v>
      </c>
      <c r="B1038">
        <v>0</v>
      </c>
      <c r="C1038">
        <v>337</v>
      </c>
    </row>
    <row r="1039" spans="1:3" x14ac:dyDescent="0.25">
      <c r="A1039">
        <v>13</v>
      </c>
      <c r="B1039">
        <v>0</v>
      </c>
      <c r="C1039">
        <v>337</v>
      </c>
    </row>
    <row r="1040" spans="1:3" x14ac:dyDescent="0.25">
      <c r="A1040">
        <v>11</v>
      </c>
      <c r="B1040">
        <v>0</v>
      </c>
      <c r="C1040">
        <v>337</v>
      </c>
    </row>
    <row r="1041" spans="1:3" x14ac:dyDescent="0.25">
      <c r="A1041">
        <v>12</v>
      </c>
      <c r="B1041">
        <v>0</v>
      </c>
      <c r="C1041">
        <v>337</v>
      </c>
    </row>
    <row r="1042" spans="1:3" x14ac:dyDescent="0.25">
      <c r="A1042">
        <v>12</v>
      </c>
      <c r="B1042">
        <v>0</v>
      </c>
      <c r="C1042">
        <v>337</v>
      </c>
    </row>
    <row r="1043" spans="1:3" x14ac:dyDescent="0.25">
      <c r="A1043">
        <v>12</v>
      </c>
      <c r="B1043">
        <v>0</v>
      </c>
      <c r="C1043">
        <v>337</v>
      </c>
    </row>
    <row r="1044" spans="1:3" x14ac:dyDescent="0.25">
      <c r="A1044">
        <v>13</v>
      </c>
      <c r="B1044">
        <v>0</v>
      </c>
      <c r="C1044">
        <v>346</v>
      </c>
    </row>
    <row r="1045" spans="1:3" x14ac:dyDescent="0.25">
      <c r="A1045">
        <v>13</v>
      </c>
      <c r="B1045">
        <v>0</v>
      </c>
      <c r="C1045">
        <v>346</v>
      </c>
    </row>
    <row r="1046" spans="1:3" x14ac:dyDescent="0.25">
      <c r="A1046">
        <v>12</v>
      </c>
      <c r="B1046">
        <v>0</v>
      </c>
      <c r="C1046">
        <v>346</v>
      </c>
    </row>
    <row r="1047" spans="1:3" x14ac:dyDescent="0.25">
      <c r="A1047">
        <v>11</v>
      </c>
      <c r="B1047">
        <v>0</v>
      </c>
      <c r="C1047">
        <v>346</v>
      </c>
    </row>
    <row r="1048" spans="1:3" x14ac:dyDescent="0.25">
      <c r="A1048">
        <v>12</v>
      </c>
      <c r="B1048">
        <v>0</v>
      </c>
      <c r="C1048">
        <v>346</v>
      </c>
    </row>
    <row r="1049" spans="1:3" x14ac:dyDescent="0.25">
      <c r="A1049">
        <v>13</v>
      </c>
      <c r="B1049">
        <v>0</v>
      </c>
      <c r="C1049">
        <v>346</v>
      </c>
    </row>
    <row r="1050" spans="1:3" x14ac:dyDescent="0.25">
      <c r="A1050">
        <v>12</v>
      </c>
      <c r="B1050">
        <v>0</v>
      </c>
      <c r="C1050">
        <v>346</v>
      </c>
    </row>
    <row r="1051" spans="1:3" x14ac:dyDescent="0.25">
      <c r="A1051">
        <v>15</v>
      </c>
      <c r="B1051">
        <v>0</v>
      </c>
      <c r="C1051">
        <v>346</v>
      </c>
    </row>
    <row r="1052" spans="1:3" x14ac:dyDescent="0.25">
      <c r="A1052">
        <v>14</v>
      </c>
      <c r="B1052">
        <v>0</v>
      </c>
      <c r="C1052">
        <v>371</v>
      </c>
    </row>
    <row r="1053" spans="1:3" x14ac:dyDescent="0.25">
      <c r="A1053">
        <v>12</v>
      </c>
      <c r="B1053">
        <v>0</v>
      </c>
      <c r="C1053">
        <v>371</v>
      </c>
    </row>
    <row r="1054" spans="1:3" x14ac:dyDescent="0.25">
      <c r="A1054">
        <v>14</v>
      </c>
      <c r="B1054">
        <v>0</v>
      </c>
      <c r="C1054">
        <v>371</v>
      </c>
    </row>
    <row r="1055" spans="1:3" x14ac:dyDescent="0.25">
      <c r="A1055">
        <v>12</v>
      </c>
      <c r="B1055">
        <v>0</v>
      </c>
      <c r="C1055">
        <v>371</v>
      </c>
    </row>
    <row r="1056" spans="1:3" x14ac:dyDescent="0.25">
      <c r="A1056">
        <v>11</v>
      </c>
      <c r="B1056">
        <v>0</v>
      </c>
      <c r="C1056">
        <v>371</v>
      </c>
    </row>
    <row r="1057" spans="1:3" x14ac:dyDescent="0.25">
      <c r="A1057">
        <v>12</v>
      </c>
      <c r="B1057">
        <v>0</v>
      </c>
      <c r="C1057">
        <v>371</v>
      </c>
    </row>
    <row r="1058" spans="1:3" x14ac:dyDescent="0.25">
      <c r="A1058">
        <v>11</v>
      </c>
      <c r="B1058">
        <v>0</v>
      </c>
      <c r="C1058">
        <v>371</v>
      </c>
    </row>
    <row r="1059" spans="1:3" x14ac:dyDescent="0.25">
      <c r="A1059">
        <v>12</v>
      </c>
      <c r="B1059">
        <v>0</v>
      </c>
      <c r="C1059">
        <v>371</v>
      </c>
    </row>
    <row r="1060" spans="1:3" x14ac:dyDescent="0.25">
      <c r="A1060">
        <v>12</v>
      </c>
      <c r="B1060">
        <v>0</v>
      </c>
      <c r="C1060">
        <v>321</v>
      </c>
    </row>
    <row r="1061" spans="1:3" x14ac:dyDescent="0.25">
      <c r="A1061">
        <v>12</v>
      </c>
      <c r="B1061">
        <v>0</v>
      </c>
      <c r="C1061">
        <v>321</v>
      </c>
    </row>
    <row r="1062" spans="1:3" x14ac:dyDescent="0.25">
      <c r="A1062">
        <v>11</v>
      </c>
      <c r="B1062">
        <v>0</v>
      </c>
      <c r="C1062">
        <v>321</v>
      </c>
    </row>
    <row r="1063" spans="1:3" x14ac:dyDescent="0.25">
      <c r="A1063">
        <v>12</v>
      </c>
      <c r="B1063">
        <v>0</v>
      </c>
      <c r="C1063">
        <v>321</v>
      </c>
    </row>
    <row r="1064" spans="1:3" x14ac:dyDescent="0.25">
      <c r="A1064">
        <v>12</v>
      </c>
      <c r="B1064">
        <v>0</v>
      </c>
      <c r="C1064">
        <v>321</v>
      </c>
    </row>
    <row r="1065" spans="1:3" x14ac:dyDescent="0.25">
      <c r="A1065">
        <v>12</v>
      </c>
      <c r="B1065">
        <v>0</v>
      </c>
      <c r="C1065">
        <v>321</v>
      </c>
    </row>
    <row r="1066" spans="1:3" x14ac:dyDescent="0.25">
      <c r="A1066">
        <v>11</v>
      </c>
      <c r="B1066">
        <v>0</v>
      </c>
      <c r="C1066">
        <v>321</v>
      </c>
    </row>
    <row r="1067" spans="1:3" x14ac:dyDescent="0.25">
      <c r="A1067">
        <v>14</v>
      </c>
      <c r="B1067">
        <v>0</v>
      </c>
      <c r="C1067">
        <v>321</v>
      </c>
    </row>
    <row r="1068" spans="1:3" x14ac:dyDescent="0.25">
      <c r="A1068">
        <v>12</v>
      </c>
      <c r="B1068">
        <v>0</v>
      </c>
      <c r="C1068">
        <v>328</v>
      </c>
    </row>
    <row r="1069" spans="1:3" x14ac:dyDescent="0.25">
      <c r="A1069">
        <v>16</v>
      </c>
      <c r="B1069">
        <v>0</v>
      </c>
      <c r="C1069">
        <v>328</v>
      </c>
    </row>
    <row r="1070" spans="1:3" x14ac:dyDescent="0.25">
      <c r="A1070">
        <v>11</v>
      </c>
      <c r="B1070">
        <v>0</v>
      </c>
      <c r="C1070">
        <v>328</v>
      </c>
    </row>
    <row r="1071" spans="1:3" x14ac:dyDescent="0.25">
      <c r="A1071">
        <v>12</v>
      </c>
      <c r="B1071">
        <v>0</v>
      </c>
      <c r="C1071">
        <v>328</v>
      </c>
    </row>
    <row r="1072" spans="1:3" x14ac:dyDescent="0.25">
      <c r="A1072">
        <v>14</v>
      </c>
      <c r="B1072">
        <v>0</v>
      </c>
      <c r="C1072">
        <v>328</v>
      </c>
    </row>
    <row r="1073" spans="1:3" x14ac:dyDescent="0.25">
      <c r="A1073">
        <v>11</v>
      </c>
      <c r="B1073">
        <v>0</v>
      </c>
      <c r="C1073">
        <v>328</v>
      </c>
    </row>
    <row r="1074" spans="1:3" x14ac:dyDescent="0.25">
      <c r="A1074">
        <v>13</v>
      </c>
      <c r="B1074">
        <v>0</v>
      </c>
      <c r="C1074">
        <v>328</v>
      </c>
    </row>
    <row r="1075" spans="1:3" x14ac:dyDescent="0.25">
      <c r="A1075">
        <v>16</v>
      </c>
      <c r="B1075">
        <v>0</v>
      </c>
      <c r="C1075">
        <v>328</v>
      </c>
    </row>
    <row r="1076" spans="1:3" x14ac:dyDescent="0.25">
      <c r="A1076">
        <v>12</v>
      </c>
      <c r="B1076">
        <v>0</v>
      </c>
      <c r="C1076">
        <v>290</v>
      </c>
    </row>
    <row r="1077" spans="1:3" x14ac:dyDescent="0.25">
      <c r="A1077">
        <v>15</v>
      </c>
      <c r="B1077">
        <v>0</v>
      </c>
      <c r="C1077">
        <v>290</v>
      </c>
    </row>
    <row r="1078" spans="1:3" x14ac:dyDescent="0.25">
      <c r="A1078">
        <v>12</v>
      </c>
      <c r="B1078">
        <v>0</v>
      </c>
      <c r="C1078">
        <v>290</v>
      </c>
    </row>
    <row r="1079" spans="1:3" x14ac:dyDescent="0.25">
      <c r="A1079">
        <v>16</v>
      </c>
      <c r="B1079">
        <v>0</v>
      </c>
      <c r="C1079">
        <v>290</v>
      </c>
    </row>
    <row r="1080" spans="1:3" x14ac:dyDescent="0.25">
      <c r="A1080">
        <v>12</v>
      </c>
      <c r="B1080">
        <v>0</v>
      </c>
      <c r="C1080">
        <v>290</v>
      </c>
    </row>
    <row r="1081" spans="1:3" x14ac:dyDescent="0.25">
      <c r="A1081">
        <v>12</v>
      </c>
      <c r="B1081">
        <v>0</v>
      </c>
      <c r="C1081">
        <v>290</v>
      </c>
    </row>
    <row r="1082" spans="1:3" x14ac:dyDescent="0.25">
      <c r="A1082">
        <v>13</v>
      </c>
      <c r="B1082">
        <v>0</v>
      </c>
      <c r="C1082">
        <v>290</v>
      </c>
    </row>
    <row r="1083" spans="1:3" x14ac:dyDescent="0.25">
      <c r="A1083">
        <v>12</v>
      </c>
      <c r="B1083">
        <v>0</v>
      </c>
      <c r="C1083">
        <v>326</v>
      </c>
    </row>
    <row r="1084" spans="1:3" x14ac:dyDescent="0.25">
      <c r="A1084">
        <v>12</v>
      </c>
      <c r="B1084">
        <v>0</v>
      </c>
      <c r="C1084">
        <v>326</v>
      </c>
    </row>
    <row r="1085" spans="1:3" x14ac:dyDescent="0.25">
      <c r="A1085">
        <v>11</v>
      </c>
      <c r="B1085">
        <v>0</v>
      </c>
      <c r="C1085">
        <v>326</v>
      </c>
    </row>
    <row r="1086" spans="1:3" x14ac:dyDescent="0.25">
      <c r="A1086">
        <v>12</v>
      </c>
      <c r="B1086">
        <v>0</v>
      </c>
      <c r="C1086">
        <v>326</v>
      </c>
    </row>
    <row r="1087" spans="1:3" x14ac:dyDescent="0.25">
      <c r="A1087">
        <v>12</v>
      </c>
      <c r="B1087">
        <v>0</v>
      </c>
      <c r="C1087">
        <v>326</v>
      </c>
    </row>
    <row r="1088" spans="1:3" x14ac:dyDescent="0.25">
      <c r="A1088">
        <v>12</v>
      </c>
      <c r="B1088">
        <v>0</v>
      </c>
      <c r="C1088">
        <v>326</v>
      </c>
    </row>
    <row r="1089" spans="1:3" x14ac:dyDescent="0.25">
      <c r="A1089">
        <v>12</v>
      </c>
      <c r="B1089">
        <v>0</v>
      </c>
      <c r="C1089">
        <v>326</v>
      </c>
    </row>
    <row r="1090" spans="1:3" x14ac:dyDescent="0.25">
      <c r="A1090">
        <v>16</v>
      </c>
      <c r="B1090">
        <v>0</v>
      </c>
      <c r="C1090">
        <v>326</v>
      </c>
    </row>
    <row r="1091" spans="1:3" x14ac:dyDescent="0.25">
      <c r="A1091">
        <v>12</v>
      </c>
      <c r="B1091">
        <v>0</v>
      </c>
      <c r="C1091">
        <v>324</v>
      </c>
    </row>
    <row r="1092" spans="1:3" x14ac:dyDescent="0.25">
      <c r="A1092">
        <v>12</v>
      </c>
      <c r="B1092">
        <v>0</v>
      </c>
      <c r="C1092">
        <v>324</v>
      </c>
    </row>
    <row r="1093" spans="1:3" x14ac:dyDescent="0.25">
      <c r="A1093">
        <v>12</v>
      </c>
      <c r="B1093">
        <v>0</v>
      </c>
      <c r="C1093">
        <v>324</v>
      </c>
    </row>
    <row r="1094" spans="1:3" x14ac:dyDescent="0.25">
      <c r="A1094">
        <v>13</v>
      </c>
      <c r="B1094">
        <v>0</v>
      </c>
      <c r="C1094">
        <v>324</v>
      </c>
    </row>
    <row r="1095" spans="1:3" x14ac:dyDescent="0.25">
      <c r="A1095">
        <v>13</v>
      </c>
      <c r="B1095">
        <v>0</v>
      </c>
      <c r="C1095">
        <v>324</v>
      </c>
    </row>
    <row r="1096" spans="1:3" x14ac:dyDescent="0.25">
      <c r="A1096">
        <v>11</v>
      </c>
      <c r="B1096">
        <v>0</v>
      </c>
      <c r="C1096">
        <v>324</v>
      </c>
    </row>
    <row r="1097" spans="1:3" x14ac:dyDescent="0.25">
      <c r="A1097">
        <v>12</v>
      </c>
      <c r="B1097">
        <v>0</v>
      </c>
      <c r="C1097">
        <v>324</v>
      </c>
    </row>
    <row r="1098" spans="1:3" x14ac:dyDescent="0.25">
      <c r="A1098">
        <v>13</v>
      </c>
      <c r="B1098">
        <v>0</v>
      </c>
      <c r="C1098">
        <v>324</v>
      </c>
    </row>
    <row r="1099" spans="1:3" x14ac:dyDescent="0.25">
      <c r="A1099">
        <v>12</v>
      </c>
      <c r="B1099">
        <v>0</v>
      </c>
      <c r="C1099">
        <v>385</v>
      </c>
    </row>
    <row r="1100" spans="1:3" x14ac:dyDescent="0.25">
      <c r="A1100">
        <v>13</v>
      </c>
      <c r="B1100">
        <v>0</v>
      </c>
      <c r="C1100">
        <v>385</v>
      </c>
    </row>
    <row r="1101" spans="1:3" x14ac:dyDescent="0.25">
      <c r="A1101">
        <v>11</v>
      </c>
      <c r="B1101">
        <v>0</v>
      </c>
      <c r="C1101">
        <v>385</v>
      </c>
    </row>
    <row r="1102" spans="1:3" x14ac:dyDescent="0.25">
      <c r="A1102">
        <v>12</v>
      </c>
      <c r="B1102">
        <v>0</v>
      </c>
      <c r="C1102">
        <v>385</v>
      </c>
    </row>
    <row r="1103" spans="1:3" x14ac:dyDescent="0.25">
      <c r="A1103">
        <v>12</v>
      </c>
      <c r="B1103">
        <v>0</v>
      </c>
      <c r="C1103">
        <v>385</v>
      </c>
    </row>
    <row r="1104" spans="1:3" x14ac:dyDescent="0.25">
      <c r="A1104">
        <v>15</v>
      </c>
      <c r="B1104">
        <v>0</v>
      </c>
      <c r="C1104">
        <v>385</v>
      </c>
    </row>
    <row r="1105" spans="1:3" x14ac:dyDescent="0.25">
      <c r="A1105">
        <v>12</v>
      </c>
      <c r="B1105">
        <v>0</v>
      </c>
      <c r="C1105">
        <v>385</v>
      </c>
    </row>
    <row r="1106" spans="1:3" x14ac:dyDescent="0.25">
      <c r="A1106">
        <v>12</v>
      </c>
      <c r="B1106">
        <v>0</v>
      </c>
      <c r="C1106">
        <v>385</v>
      </c>
    </row>
    <row r="1107" spans="1:3" x14ac:dyDescent="0.25">
      <c r="A1107">
        <v>12</v>
      </c>
      <c r="B1107">
        <v>0</v>
      </c>
      <c r="C1107">
        <v>303</v>
      </c>
    </row>
    <row r="1108" spans="1:3" x14ac:dyDescent="0.25">
      <c r="A1108">
        <v>14</v>
      </c>
      <c r="B1108">
        <v>0</v>
      </c>
      <c r="C1108">
        <v>303</v>
      </c>
    </row>
    <row r="1109" spans="1:3" x14ac:dyDescent="0.25">
      <c r="A1109">
        <v>17</v>
      </c>
      <c r="B1109">
        <v>0</v>
      </c>
      <c r="C1109">
        <v>303</v>
      </c>
    </row>
    <row r="1110" spans="1:3" x14ac:dyDescent="0.25">
      <c r="A1110">
        <v>12</v>
      </c>
      <c r="B1110">
        <v>0</v>
      </c>
      <c r="C1110">
        <v>303</v>
      </c>
    </row>
    <row r="1111" spans="1:3" x14ac:dyDescent="0.25">
      <c r="A1111">
        <v>14</v>
      </c>
      <c r="B1111">
        <v>0</v>
      </c>
      <c r="C1111">
        <v>303</v>
      </c>
    </row>
    <row r="1112" spans="1:3" x14ac:dyDescent="0.25">
      <c r="A1112">
        <v>13</v>
      </c>
      <c r="B1112">
        <v>0</v>
      </c>
      <c r="C1112">
        <v>303</v>
      </c>
    </row>
    <row r="1113" spans="1:3" x14ac:dyDescent="0.25">
      <c r="A1113">
        <v>14</v>
      </c>
      <c r="B1113">
        <v>0</v>
      </c>
      <c r="C1113">
        <v>303</v>
      </c>
    </row>
    <row r="1114" spans="1:3" x14ac:dyDescent="0.25">
      <c r="A1114">
        <v>15</v>
      </c>
      <c r="B1114">
        <v>0</v>
      </c>
      <c r="C1114">
        <v>303</v>
      </c>
    </row>
    <row r="1115" spans="1:3" x14ac:dyDescent="0.25">
      <c r="A1115">
        <v>12</v>
      </c>
      <c r="B1115">
        <v>0</v>
      </c>
      <c r="C1115">
        <v>326</v>
      </c>
    </row>
    <row r="1116" spans="1:3" x14ac:dyDescent="0.25">
      <c r="A1116">
        <v>13</v>
      </c>
      <c r="B1116">
        <v>0</v>
      </c>
      <c r="C1116">
        <v>326</v>
      </c>
    </row>
    <row r="1117" spans="1:3" x14ac:dyDescent="0.25">
      <c r="A1117">
        <v>15</v>
      </c>
      <c r="B1117">
        <v>0</v>
      </c>
      <c r="C1117">
        <v>326</v>
      </c>
    </row>
    <row r="1118" spans="1:3" x14ac:dyDescent="0.25">
      <c r="A1118">
        <v>13</v>
      </c>
      <c r="B1118">
        <v>0</v>
      </c>
      <c r="C1118">
        <v>326</v>
      </c>
    </row>
    <row r="1119" spans="1:3" x14ac:dyDescent="0.25">
      <c r="A1119">
        <v>11</v>
      </c>
      <c r="B1119">
        <v>0</v>
      </c>
      <c r="C1119">
        <v>326</v>
      </c>
    </row>
    <row r="1120" spans="1:3" x14ac:dyDescent="0.25">
      <c r="A1120">
        <v>11</v>
      </c>
      <c r="B1120">
        <v>0</v>
      </c>
      <c r="C1120">
        <v>326</v>
      </c>
    </row>
    <row r="1121" spans="1:3" x14ac:dyDescent="0.25">
      <c r="A1121">
        <v>11</v>
      </c>
      <c r="B1121">
        <v>0</v>
      </c>
      <c r="C1121">
        <v>326</v>
      </c>
    </row>
    <row r="1122" spans="1:3" x14ac:dyDescent="0.25">
      <c r="A1122">
        <v>13</v>
      </c>
      <c r="B1122">
        <v>0</v>
      </c>
      <c r="C1122">
        <v>326</v>
      </c>
    </row>
    <row r="1123" spans="1:3" x14ac:dyDescent="0.25">
      <c r="A1123">
        <v>12</v>
      </c>
      <c r="B1123">
        <v>0</v>
      </c>
      <c r="C1123">
        <v>363</v>
      </c>
    </row>
    <row r="1124" spans="1:3" x14ac:dyDescent="0.25">
      <c r="A1124">
        <v>15</v>
      </c>
      <c r="B1124">
        <v>0</v>
      </c>
      <c r="C1124">
        <v>363</v>
      </c>
    </row>
    <row r="1125" spans="1:3" x14ac:dyDescent="0.25">
      <c r="A1125">
        <v>12</v>
      </c>
      <c r="B1125">
        <v>0</v>
      </c>
      <c r="C1125">
        <v>363</v>
      </c>
    </row>
    <row r="1126" spans="1:3" x14ac:dyDescent="0.25">
      <c r="A1126">
        <v>12</v>
      </c>
      <c r="B1126">
        <v>0</v>
      </c>
      <c r="C1126">
        <v>363</v>
      </c>
    </row>
    <row r="1127" spans="1:3" x14ac:dyDescent="0.25">
      <c r="A1127">
        <v>13</v>
      </c>
      <c r="B1127">
        <v>0</v>
      </c>
      <c r="C1127">
        <v>363</v>
      </c>
    </row>
    <row r="1128" spans="1:3" x14ac:dyDescent="0.25">
      <c r="A1128">
        <v>12</v>
      </c>
      <c r="B1128">
        <v>0</v>
      </c>
      <c r="C1128">
        <v>363</v>
      </c>
    </row>
    <row r="1129" spans="1:3" x14ac:dyDescent="0.25">
      <c r="A1129">
        <v>13</v>
      </c>
      <c r="B1129">
        <v>0</v>
      </c>
      <c r="C1129">
        <v>363</v>
      </c>
    </row>
    <row r="1130" spans="1:3" x14ac:dyDescent="0.25">
      <c r="A1130">
        <v>14</v>
      </c>
      <c r="B1130">
        <v>0</v>
      </c>
      <c r="C1130">
        <v>383</v>
      </c>
    </row>
    <row r="1131" spans="1:3" x14ac:dyDescent="0.25">
      <c r="A1131">
        <v>12</v>
      </c>
      <c r="B1131">
        <v>0</v>
      </c>
      <c r="C1131">
        <v>383</v>
      </c>
    </row>
    <row r="1132" spans="1:3" x14ac:dyDescent="0.25">
      <c r="A1132">
        <v>20</v>
      </c>
      <c r="B1132">
        <v>0</v>
      </c>
      <c r="C1132">
        <v>383</v>
      </c>
    </row>
    <row r="1133" spans="1:3" x14ac:dyDescent="0.25">
      <c r="A1133">
        <v>21</v>
      </c>
      <c r="B1133">
        <v>0</v>
      </c>
      <c r="C1133">
        <v>383</v>
      </c>
    </row>
    <row r="1134" spans="1:3" x14ac:dyDescent="0.25">
      <c r="A1134">
        <v>19</v>
      </c>
      <c r="B1134">
        <v>0</v>
      </c>
      <c r="C1134">
        <v>383</v>
      </c>
    </row>
    <row r="1135" spans="1:3" x14ac:dyDescent="0.25">
      <c r="A1135">
        <v>19</v>
      </c>
      <c r="B1135">
        <v>0</v>
      </c>
      <c r="C1135">
        <v>383</v>
      </c>
    </row>
    <row r="1136" spans="1:3" x14ac:dyDescent="0.25">
      <c r="A1136">
        <v>15</v>
      </c>
      <c r="B1136">
        <v>0</v>
      </c>
      <c r="C1136">
        <v>807</v>
      </c>
    </row>
    <row r="1137" spans="1:3" x14ac:dyDescent="0.25">
      <c r="A1137">
        <v>12</v>
      </c>
      <c r="B1137">
        <v>0</v>
      </c>
      <c r="C1137">
        <v>807</v>
      </c>
    </row>
    <row r="1138" spans="1:3" x14ac:dyDescent="0.25">
      <c r="A1138">
        <v>12</v>
      </c>
      <c r="B1138">
        <v>0</v>
      </c>
      <c r="C1138">
        <v>807</v>
      </c>
    </row>
    <row r="1139" spans="1:3" x14ac:dyDescent="0.25">
      <c r="A1139">
        <v>12</v>
      </c>
      <c r="B1139">
        <v>0</v>
      </c>
      <c r="C1139">
        <v>807</v>
      </c>
    </row>
    <row r="1140" spans="1:3" x14ac:dyDescent="0.25">
      <c r="A1140">
        <v>13</v>
      </c>
      <c r="B1140">
        <v>0</v>
      </c>
      <c r="C1140">
        <v>807</v>
      </c>
    </row>
    <row r="1141" spans="1:3" x14ac:dyDescent="0.25">
      <c r="A1141">
        <v>11</v>
      </c>
      <c r="B1141">
        <v>0</v>
      </c>
      <c r="C1141">
        <v>807</v>
      </c>
    </row>
    <row r="1142" spans="1:3" x14ac:dyDescent="0.25">
      <c r="A1142">
        <v>11</v>
      </c>
      <c r="B1142">
        <v>0</v>
      </c>
      <c r="C1142">
        <v>807</v>
      </c>
    </row>
    <row r="1143" spans="1:3" x14ac:dyDescent="0.25">
      <c r="A1143">
        <v>12</v>
      </c>
      <c r="B1143">
        <v>0</v>
      </c>
      <c r="C1143">
        <v>807</v>
      </c>
    </row>
    <row r="1144" spans="1:3" x14ac:dyDescent="0.25">
      <c r="A1144">
        <v>12</v>
      </c>
      <c r="B1144">
        <v>0</v>
      </c>
      <c r="C1144">
        <v>342</v>
      </c>
    </row>
    <row r="1145" spans="1:3" x14ac:dyDescent="0.25">
      <c r="A1145">
        <v>12</v>
      </c>
      <c r="B1145">
        <v>0</v>
      </c>
      <c r="C1145">
        <v>342</v>
      </c>
    </row>
    <row r="1146" spans="1:3" x14ac:dyDescent="0.25">
      <c r="A1146">
        <v>11</v>
      </c>
      <c r="B1146">
        <v>0</v>
      </c>
      <c r="C1146">
        <v>342</v>
      </c>
    </row>
    <row r="1147" spans="1:3" x14ac:dyDescent="0.25">
      <c r="A1147">
        <v>11</v>
      </c>
      <c r="B1147">
        <v>0</v>
      </c>
      <c r="C1147">
        <v>342</v>
      </c>
    </row>
    <row r="1148" spans="1:3" x14ac:dyDescent="0.25">
      <c r="A1148">
        <v>15</v>
      </c>
      <c r="B1148">
        <v>0</v>
      </c>
      <c r="C1148">
        <v>342</v>
      </c>
    </row>
    <row r="1149" spans="1:3" x14ac:dyDescent="0.25">
      <c r="A1149">
        <v>13</v>
      </c>
      <c r="B1149">
        <v>0</v>
      </c>
      <c r="C1149">
        <v>342</v>
      </c>
    </row>
    <row r="1150" spans="1:3" x14ac:dyDescent="0.25">
      <c r="A1150">
        <v>11</v>
      </c>
      <c r="B1150">
        <v>0</v>
      </c>
      <c r="C1150">
        <v>342</v>
      </c>
    </row>
    <row r="1151" spans="1:3" x14ac:dyDescent="0.25">
      <c r="A1151">
        <v>15</v>
      </c>
      <c r="B1151">
        <v>0</v>
      </c>
      <c r="C1151">
        <v>342</v>
      </c>
    </row>
    <row r="1152" spans="1:3" x14ac:dyDescent="0.25">
      <c r="A1152">
        <v>13</v>
      </c>
      <c r="B1152">
        <v>0</v>
      </c>
      <c r="C1152">
        <v>318</v>
      </c>
    </row>
    <row r="1153" spans="1:3" x14ac:dyDescent="0.25">
      <c r="A1153">
        <v>19</v>
      </c>
      <c r="B1153">
        <v>0</v>
      </c>
      <c r="C1153">
        <v>318</v>
      </c>
    </row>
    <row r="1154" spans="1:3" x14ac:dyDescent="0.25">
      <c r="A1154">
        <v>11</v>
      </c>
      <c r="B1154">
        <v>0</v>
      </c>
      <c r="C1154">
        <v>318</v>
      </c>
    </row>
    <row r="1155" spans="1:3" x14ac:dyDescent="0.25">
      <c r="A1155">
        <v>11</v>
      </c>
      <c r="B1155">
        <v>0</v>
      </c>
      <c r="C1155">
        <v>318</v>
      </c>
    </row>
    <row r="1156" spans="1:3" x14ac:dyDescent="0.25">
      <c r="A1156">
        <v>12</v>
      </c>
      <c r="B1156">
        <v>0</v>
      </c>
      <c r="C1156">
        <v>318</v>
      </c>
    </row>
    <row r="1157" spans="1:3" x14ac:dyDescent="0.25">
      <c r="A1157">
        <v>11</v>
      </c>
      <c r="B1157">
        <v>0</v>
      </c>
      <c r="C1157">
        <v>318</v>
      </c>
    </row>
    <row r="1158" spans="1:3" x14ac:dyDescent="0.25">
      <c r="A1158">
        <v>12</v>
      </c>
      <c r="B1158">
        <v>0</v>
      </c>
      <c r="C1158">
        <v>318</v>
      </c>
    </row>
    <row r="1159" spans="1:3" x14ac:dyDescent="0.25">
      <c r="A1159">
        <v>14</v>
      </c>
      <c r="B1159">
        <v>0</v>
      </c>
      <c r="C1159">
        <v>318</v>
      </c>
    </row>
    <row r="1160" spans="1:3" x14ac:dyDescent="0.25">
      <c r="A1160">
        <v>12</v>
      </c>
      <c r="B1160">
        <v>0</v>
      </c>
      <c r="C1160">
        <v>341</v>
      </c>
    </row>
    <row r="1161" spans="1:3" x14ac:dyDescent="0.25">
      <c r="A1161">
        <v>11</v>
      </c>
      <c r="B1161">
        <v>0</v>
      </c>
      <c r="C1161">
        <v>341</v>
      </c>
    </row>
    <row r="1162" spans="1:3" x14ac:dyDescent="0.25">
      <c r="A1162">
        <v>12</v>
      </c>
      <c r="B1162">
        <v>0</v>
      </c>
      <c r="C1162">
        <v>341</v>
      </c>
    </row>
    <row r="1163" spans="1:3" x14ac:dyDescent="0.25">
      <c r="A1163">
        <v>12</v>
      </c>
      <c r="B1163">
        <v>0</v>
      </c>
      <c r="C1163">
        <v>341</v>
      </c>
    </row>
    <row r="1164" spans="1:3" x14ac:dyDescent="0.25">
      <c r="A1164">
        <v>12</v>
      </c>
      <c r="B1164">
        <v>0</v>
      </c>
      <c r="C1164">
        <v>341</v>
      </c>
    </row>
    <row r="1165" spans="1:3" x14ac:dyDescent="0.25">
      <c r="A1165">
        <v>13</v>
      </c>
      <c r="B1165">
        <v>0</v>
      </c>
      <c r="C1165">
        <v>341</v>
      </c>
    </row>
    <row r="1166" spans="1:3" x14ac:dyDescent="0.25">
      <c r="A1166">
        <v>16</v>
      </c>
      <c r="B1166">
        <v>0</v>
      </c>
      <c r="C1166">
        <v>341</v>
      </c>
    </row>
    <row r="1167" spans="1:3" x14ac:dyDescent="0.25">
      <c r="A1167">
        <v>11</v>
      </c>
      <c r="B1167">
        <v>0</v>
      </c>
      <c r="C1167">
        <v>341</v>
      </c>
    </row>
    <row r="1168" spans="1:3" x14ac:dyDescent="0.25">
      <c r="A1168">
        <v>15</v>
      </c>
      <c r="B1168">
        <v>0</v>
      </c>
      <c r="C1168">
        <v>356</v>
      </c>
    </row>
    <row r="1169" spans="1:3" x14ac:dyDescent="0.25">
      <c r="A1169">
        <v>13</v>
      </c>
      <c r="B1169">
        <v>0</v>
      </c>
      <c r="C1169">
        <v>356</v>
      </c>
    </row>
    <row r="1170" spans="1:3" x14ac:dyDescent="0.25">
      <c r="A1170">
        <v>11</v>
      </c>
      <c r="B1170">
        <v>0</v>
      </c>
      <c r="C1170">
        <v>356</v>
      </c>
    </row>
    <row r="1171" spans="1:3" x14ac:dyDescent="0.25">
      <c r="A1171">
        <v>12</v>
      </c>
      <c r="B1171">
        <v>0</v>
      </c>
      <c r="C1171">
        <v>356</v>
      </c>
    </row>
    <row r="1172" spans="1:3" x14ac:dyDescent="0.25">
      <c r="A1172">
        <v>14</v>
      </c>
      <c r="B1172">
        <v>0</v>
      </c>
      <c r="C1172">
        <v>356</v>
      </c>
    </row>
    <row r="1173" spans="1:3" x14ac:dyDescent="0.25">
      <c r="A1173">
        <v>12</v>
      </c>
      <c r="B1173">
        <v>0</v>
      </c>
      <c r="C1173">
        <v>356</v>
      </c>
    </row>
    <row r="1174" spans="1:3" x14ac:dyDescent="0.25">
      <c r="A1174">
        <v>12</v>
      </c>
      <c r="B1174">
        <v>0</v>
      </c>
      <c r="C1174">
        <v>356</v>
      </c>
    </row>
    <row r="1175" spans="1:3" x14ac:dyDescent="0.25">
      <c r="A1175">
        <v>13</v>
      </c>
      <c r="B1175">
        <v>0</v>
      </c>
      <c r="C1175">
        <v>356</v>
      </c>
    </row>
    <row r="1176" spans="1:3" x14ac:dyDescent="0.25">
      <c r="A1176">
        <v>15</v>
      </c>
      <c r="B1176">
        <v>0</v>
      </c>
      <c r="C1176">
        <v>337</v>
      </c>
    </row>
    <row r="1177" spans="1:3" x14ac:dyDescent="0.25">
      <c r="A1177">
        <v>12</v>
      </c>
      <c r="B1177">
        <v>0</v>
      </c>
      <c r="C1177">
        <v>337</v>
      </c>
    </row>
    <row r="1178" spans="1:3" x14ac:dyDescent="0.25">
      <c r="A1178">
        <v>27</v>
      </c>
      <c r="B1178">
        <v>0</v>
      </c>
      <c r="C1178">
        <v>337</v>
      </c>
    </row>
    <row r="1179" spans="1:3" x14ac:dyDescent="0.25">
      <c r="A1179">
        <v>12</v>
      </c>
      <c r="B1179">
        <v>0</v>
      </c>
      <c r="C1179">
        <v>337</v>
      </c>
    </row>
    <row r="1180" spans="1:3" x14ac:dyDescent="0.25">
      <c r="A1180">
        <v>14</v>
      </c>
      <c r="B1180">
        <v>0</v>
      </c>
      <c r="C1180">
        <v>337</v>
      </c>
    </row>
    <row r="1181" spans="1:3" x14ac:dyDescent="0.25">
      <c r="A1181">
        <v>12</v>
      </c>
      <c r="B1181">
        <v>0</v>
      </c>
      <c r="C1181">
        <v>337</v>
      </c>
    </row>
    <row r="1182" spans="1:3" x14ac:dyDescent="0.25">
      <c r="A1182">
        <v>14</v>
      </c>
      <c r="B1182">
        <v>0</v>
      </c>
      <c r="C1182">
        <v>337</v>
      </c>
    </row>
    <row r="1183" spans="1:3" x14ac:dyDescent="0.25">
      <c r="A1183">
        <v>12</v>
      </c>
      <c r="B1183">
        <v>0</v>
      </c>
      <c r="C1183">
        <v>417</v>
      </c>
    </row>
    <row r="1184" spans="1:3" x14ac:dyDescent="0.25">
      <c r="A1184">
        <v>12</v>
      </c>
      <c r="B1184">
        <v>0</v>
      </c>
      <c r="C1184">
        <v>417</v>
      </c>
    </row>
    <row r="1185" spans="1:3" x14ac:dyDescent="0.25">
      <c r="A1185">
        <v>14</v>
      </c>
      <c r="B1185">
        <v>0</v>
      </c>
      <c r="C1185">
        <v>417</v>
      </c>
    </row>
    <row r="1186" spans="1:3" x14ac:dyDescent="0.25">
      <c r="A1186">
        <v>13</v>
      </c>
      <c r="B1186">
        <v>0</v>
      </c>
      <c r="C1186">
        <v>417</v>
      </c>
    </row>
    <row r="1187" spans="1:3" x14ac:dyDescent="0.25">
      <c r="A1187">
        <v>13</v>
      </c>
      <c r="B1187">
        <v>0</v>
      </c>
      <c r="C1187">
        <v>417</v>
      </c>
    </row>
    <row r="1188" spans="1:3" x14ac:dyDescent="0.25">
      <c r="A1188">
        <v>11</v>
      </c>
      <c r="B1188">
        <v>0</v>
      </c>
      <c r="C1188">
        <v>417</v>
      </c>
    </row>
    <row r="1189" spans="1:3" x14ac:dyDescent="0.25">
      <c r="A1189">
        <v>13</v>
      </c>
      <c r="B1189">
        <v>0</v>
      </c>
      <c r="C1189">
        <v>417</v>
      </c>
    </row>
    <row r="1190" spans="1:3" x14ac:dyDescent="0.25">
      <c r="A1190">
        <v>14</v>
      </c>
      <c r="B1190">
        <v>0</v>
      </c>
      <c r="C1190">
        <v>417</v>
      </c>
    </row>
    <row r="1191" spans="1:3" x14ac:dyDescent="0.25">
      <c r="A1191">
        <v>12</v>
      </c>
      <c r="B1191">
        <v>0</v>
      </c>
      <c r="C1191">
        <v>354</v>
      </c>
    </row>
    <row r="1192" spans="1:3" x14ac:dyDescent="0.25">
      <c r="A1192">
        <v>19</v>
      </c>
      <c r="B1192">
        <v>0</v>
      </c>
      <c r="C1192">
        <v>354</v>
      </c>
    </row>
    <row r="1193" spans="1:3" x14ac:dyDescent="0.25">
      <c r="A1193">
        <v>13</v>
      </c>
      <c r="B1193">
        <v>0</v>
      </c>
      <c r="C1193">
        <v>354</v>
      </c>
    </row>
    <row r="1194" spans="1:3" x14ac:dyDescent="0.25">
      <c r="A1194">
        <v>18</v>
      </c>
      <c r="B1194">
        <v>0</v>
      </c>
      <c r="C1194">
        <v>354</v>
      </c>
    </row>
    <row r="1195" spans="1:3" x14ac:dyDescent="0.25">
      <c r="A1195">
        <v>12</v>
      </c>
      <c r="B1195">
        <v>0</v>
      </c>
      <c r="C1195">
        <v>354</v>
      </c>
    </row>
    <row r="1196" spans="1:3" x14ac:dyDescent="0.25">
      <c r="A1196">
        <v>12</v>
      </c>
      <c r="B1196">
        <v>0</v>
      </c>
      <c r="C1196">
        <v>354</v>
      </c>
    </row>
    <row r="1197" spans="1:3" x14ac:dyDescent="0.25">
      <c r="A1197">
        <v>11</v>
      </c>
      <c r="B1197">
        <v>0</v>
      </c>
      <c r="C1197">
        <v>354</v>
      </c>
    </row>
    <row r="1198" spans="1:3" x14ac:dyDescent="0.25">
      <c r="A1198">
        <v>14</v>
      </c>
      <c r="B1198">
        <v>0</v>
      </c>
      <c r="C1198">
        <v>354</v>
      </c>
    </row>
    <row r="1199" spans="1:3" x14ac:dyDescent="0.25">
      <c r="A1199">
        <v>13</v>
      </c>
      <c r="B1199">
        <v>0</v>
      </c>
      <c r="C1199">
        <v>395</v>
      </c>
    </row>
    <row r="1200" spans="1:3" x14ac:dyDescent="0.25">
      <c r="A1200">
        <v>13</v>
      </c>
      <c r="B1200">
        <v>0</v>
      </c>
      <c r="C1200">
        <v>395</v>
      </c>
    </row>
    <row r="1201" spans="1:3" x14ac:dyDescent="0.25">
      <c r="A1201">
        <v>11</v>
      </c>
      <c r="B1201">
        <v>0</v>
      </c>
      <c r="C1201">
        <v>395</v>
      </c>
    </row>
    <row r="1202" spans="1:3" x14ac:dyDescent="0.25">
      <c r="A1202">
        <v>41</v>
      </c>
      <c r="B1202">
        <v>0</v>
      </c>
      <c r="C1202">
        <v>136</v>
      </c>
    </row>
    <row r="1203" spans="1:3" x14ac:dyDescent="0.25">
      <c r="A1203">
        <v>12</v>
      </c>
      <c r="B1203">
        <v>0</v>
      </c>
      <c r="C1203">
        <v>136</v>
      </c>
    </row>
    <row r="1204" spans="1:3" x14ac:dyDescent="0.25">
      <c r="A1204">
        <v>12</v>
      </c>
      <c r="B1204">
        <v>0</v>
      </c>
      <c r="C1204">
        <v>136</v>
      </c>
    </row>
    <row r="1205" spans="1:3" x14ac:dyDescent="0.25">
      <c r="A1205">
        <v>13</v>
      </c>
      <c r="B1205">
        <v>0</v>
      </c>
      <c r="C1205">
        <v>136</v>
      </c>
    </row>
    <row r="1206" spans="1:3" x14ac:dyDescent="0.25">
      <c r="A1206">
        <v>15</v>
      </c>
      <c r="B1206">
        <v>0</v>
      </c>
      <c r="C1206">
        <v>136</v>
      </c>
    </row>
    <row r="1207" spans="1:3" x14ac:dyDescent="0.25">
      <c r="A1207">
        <v>12</v>
      </c>
      <c r="B1207">
        <v>0</v>
      </c>
      <c r="C1207">
        <v>136</v>
      </c>
    </row>
    <row r="1208" spans="1:3" x14ac:dyDescent="0.25">
      <c r="A1208">
        <v>13</v>
      </c>
      <c r="B1208">
        <v>0</v>
      </c>
      <c r="C1208">
        <v>136</v>
      </c>
    </row>
    <row r="1209" spans="1:3" x14ac:dyDescent="0.25">
      <c r="A1209">
        <v>13</v>
      </c>
      <c r="B1209">
        <v>0</v>
      </c>
      <c r="C1209">
        <v>136</v>
      </c>
    </row>
    <row r="1210" spans="1:3" x14ac:dyDescent="0.25">
      <c r="A1210">
        <v>14</v>
      </c>
      <c r="B1210">
        <v>0</v>
      </c>
      <c r="C1210">
        <v>415</v>
      </c>
    </row>
    <row r="1211" spans="1:3" x14ac:dyDescent="0.25">
      <c r="A1211">
        <v>13</v>
      </c>
      <c r="B1211">
        <v>0</v>
      </c>
      <c r="C1211">
        <v>415</v>
      </c>
    </row>
    <row r="1212" spans="1:3" x14ac:dyDescent="0.25">
      <c r="A1212">
        <v>13</v>
      </c>
      <c r="B1212">
        <v>0</v>
      </c>
      <c r="C1212">
        <v>415</v>
      </c>
    </row>
    <row r="1213" spans="1:3" x14ac:dyDescent="0.25">
      <c r="A1213">
        <v>15</v>
      </c>
      <c r="B1213">
        <v>0</v>
      </c>
      <c r="C1213">
        <v>415</v>
      </c>
    </row>
    <row r="1214" spans="1:3" x14ac:dyDescent="0.25">
      <c r="A1214">
        <v>12</v>
      </c>
      <c r="B1214">
        <v>0</v>
      </c>
      <c r="C1214">
        <v>415</v>
      </c>
    </row>
    <row r="1215" spans="1:3" x14ac:dyDescent="0.25">
      <c r="A1215">
        <v>12</v>
      </c>
      <c r="B1215">
        <v>0</v>
      </c>
      <c r="C1215">
        <v>415</v>
      </c>
    </row>
    <row r="1216" spans="1:3" x14ac:dyDescent="0.25">
      <c r="A1216">
        <v>29</v>
      </c>
      <c r="B1216">
        <v>0</v>
      </c>
      <c r="C1216">
        <v>415</v>
      </c>
    </row>
    <row r="1217" spans="1:3" x14ac:dyDescent="0.25">
      <c r="A1217">
        <v>15</v>
      </c>
      <c r="B1217">
        <v>0</v>
      </c>
      <c r="C1217">
        <v>389</v>
      </c>
    </row>
    <row r="1218" spans="1:3" x14ac:dyDescent="0.25">
      <c r="A1218">
        <v>15</v>
      </c>
      <c r="B1218">
        <v>0</v>
      </c>
      <c r="C1218">
        <v>389</v>
      </c>
    </row>
    <row r="1219" spans="1:3" x14ac:dyDescent="0.25">
      <c r="A1219">
        <v>13</v>
      </c>
      <c r="B1219">
        <v>0</v>
      </c>
      <c r="C1219">
        <v>389</v>
      </c>
    </row>
    <row r="1220" spans="1:3" x14ac:dyDescent="0.25">
      <c r="A1220">
        <v>14</v>
      </c>
      <c r="B1220">
        <v>0</v>
      </c>
      <c r="C1220">
        <v>389</v>
      </c>
    </row>
    <row r="1221" spans="1:3" x14ac:dyDescent="0.25">
      <c r="A1221">
        <v>16</v>
      </c>
      <c r="B1221">
        <v>0</v>
      </c>
      <c r="C1221">
        <v>389</v>
      </c>
    </row>
    <row r="1222" spans="1:3" x14ac:dyDescent="0.25">
      <c r="A1222">
        <v>12</v>
      </c>
      <c r="B1222">
        <v>0</v>
      </c>
      <c r="C1222">
        <v>389</v>
      </c>
    </row>
    <row r="1223" spans="1:3" x14ac:dyDescent="0.25">
      <c r="A1223">
        <v>13</v>
      </c>
      <c r="B1223">
        <v>0</v>
      </c>
      <c r="C1223">
        <v>389</v>
      </c>
    </row>
    <row r="1224" spans="1:3" x14ac:dyDescent="0.25">
      <c r="A1224">
        <v>12</v>
      </c>
      <c r="B1224">
        <v>0</v>
      </c>
      <c r="C1224">
        <v>389</v>
      </c>
    </row>
    <row r="1225" spans="1:3" x14ac:dyDescent="0.25">
      <c r="A1225">
        <v>13</v>
      </c>
      <c r="B1225">
        <v>0</v>
      </c>
      <c r="C1225">
        <v>383</v>
      </c>
    </row>
    <row r="1226" spans="1:3" x14ac:dyDescent="0.25">
      <c r="A1226">
        <v>14</v>
      </c>
      <c r="B1226">
        <v>0</v>
      </c>
      <c r="C1226">
        <v>383</v>
      </c>
    </row>
    <row r="1227" spans="1:3" x14ac:dyDescent="0.25">
      <c r="A1227">
        <v>12</v>
      </c>
      <c r="B1227">
        <v>0</v>
      </c>
      <c r="C1227">
        <v>383</v>
      </c>
    </row>
    <row r="1228" spans="1:3" x14ac:dyDescent="0.25">
      <c r="A1228">
        <v>12</v>
      </c>
      <c r="B1228">
        <v>0</v>
      </c>
      <c r="C1228">
        <v>383</v>
      </c>
    </row>
    <row r="1229" spans="1:3" x14ac:dyDescent="0.25">
      <c r="A1229">
        <v>14</v>
      </c>
      <c r="B1229">
        <v>0</v>
      </c>
      <c r="C1229">
        <v>383</v>
      </c>
    </row>
    <row r="1230" spans="1:3" x14ac:dyDescent="0.25">
      <c r="A1230">
        <v>12</v>
      </c>
      <c r="B1230">
        <v>0</v>
      </c>
      <c r="C1230">
        <v>383</v>
      </c>
    </row>
    <row r="1231" spans="1:3" x14ac:dyDescent="0.25">
      <c r="A1231">
        <v>12</v>
      </c>
      <c r="B1231">
        <v>0</v>
      </c>
      <c r="C1231">
        <v>383</v>
      </c>
    </row>
    <row r="1232" spans="1:3" x14ac:dyDescent="0.25">
      <c r="A1232">
        <v>13</v>
      </c>
      <c r="B1232">
        <v>0</v>
      </c>
      <c r="C1232">
        <v>383</v>
      </c>
    </row>
    <row r="1233" spans="1:3" x14ac:dyDescent="0.25">
      <c r="A1233">
        <v>12</v>
      </c>
      <c r="B1233">
        <v>0</v>
      </c>
      <c r="C1233">
        <v>306</v>
      </c>
    </row>
    <row r="1234" spans="1:3" x14ac:dyDescent="0.25">
      <c r="A1234">
        <v>11</v>
      </c>
      <c r="B1234">
        <v>0</v>
      </c>
      <c r="C1234">
        <v>306</v>
      </c>
    </row>
    <row r="1235" spans="1:3" x14ac:dyDescent="0.25">
      <c r="A1235">
        <v>12</v>
      </c>
      <c r="B1235">
        <v>0</v>
      </c>
      <c r="C1235">
        <v>306</v>
      </c>
    </row>
    <row r="1236" spans="1:3" x14ac:dyDescent="0.25">
      <c r="A1236">
        <v>17</v>
      </c>
      <c r="B1236">
        <v>0</v>
      </c>
      <c r="C1236">
        <v>306</v>
      </c>
    </row>
    <row r="1237" spans="1:3" x14ac:dyDescent="0.25">
      <c r="A1237">
        <v>13</v>
      </c>
      <c r="B1237">
        <v>0</v>
      </c>
      <c r="C1237">
        <v>306</v>
      </c>
    </row>
    <row r="1238" spans="1:3" x14ac:dyDescent="0.25">
      <c r="A1238">
        <v>13</v>
      </c>
      <c r="B1238">
        <v>0</v>
      </c>
      <c r="C1238">
        <v>306</v>
      </c>
    </row>
    <row r="1239" spans="1:3" x14ac:dyDescent="0.25">
      <c r="A1239">
        <v>13</v>
      </c>
      <c r="B1239">
        <v>0</v>
      </c>
      <c r="C1239">
        <v>306</v>
      </c>
    </row>
    <row r="1240" spans="1:3" x14ac:dyDescent="0.25">
      <c r="A1240">
        <v>13</v>
      </c>
      <c r="B1240">
        <v>0</v>
      </c>
      <c r="C1240">
        <v>306</v>
      </c>
    </row>
    <row r="1241" spans="1:3" x14ac:dyDescent="0.25">
      <c r="A1241">
        <v>14</v>
      </c>
      <c r="B1241">
        <v>0</v>
      </c>
      <c r="C1241">
        <v>354</v>
      </c>
    </row>
    <row r="1242" spans="1:3" x14ac:dyDescent="0.25">
      <c r="A1242">
        <v>12</v>
      </c>
      <c r="B1242">
        <v>0</v>
      </c>
      <c r="C1242">
        <v>354</v>
      </c>
    </row>
    <row r="1243" spans="1:3" x14ac:dyDescent="0.25">
      <c r="A1243">
        <v>17</v>
      </c>
      <c r="B1243">
        <v>0</v>
      </c>
      <c r="C1243">
        <v>354</v>
      </c>
    </row>
    <row r="1244" spans="1:3" x14ac:dyDescent="0.25">
      <c r="A1244">
        <v>12</v>
      </c>
      <c r="B1244">
        <v>0</v>
      </c>
      <c r="C1244">
        <v>354</v>
      </c>
    </row>
    <row r="1245" spans="1:3" x14ac:dyDescent="0.25">
      <c r="A1245">
        <v>12</v>
      </c>
      <c r="B1245">
        <v>0</v>
      </c>
      <c r="C1245">
        <v>354</v>
      </c>
    </row>
    <row r="1246" spans="1:3" x14ac:dyDescent="0.25">
      <c r="A1246">
        <v>13</v>
      </c>
      <c r="B1246">
        <v>0</v>
      </c>
      <c r="C1246">
        <v>354</v>
      </c>
    </row>
    <row r="1247" spans="1:3" x14ac:dyDescent="0.25">
      <c r="A1247">
        <v>13</v>
      </c>
      <c r="B1247">
        <v>0</v>
      </c>
      <c r="C1247">
        <v>354</v>
      </c>
    </row>
    <row r="1248" spans="1:3" x14ac:dyDescent="0.25">
      <c r="A1248">
        <v>11</v>
      </c>
      <c r="B1248">
        <v>0</v>
      </c>
      <c r="C1248">
        <v>354</v>
      </c>
    </row>
    <row r="1249" spans="1:3" x14ac:dyDescent="0.25">
      <c r="A1249">
        <v>12</v>
      </c>
      <c r="B1249">
        <v>0</v>
      </c>
      <c r="C1249">
        <v>390</v>
      </c>
    </row>
    <row r="1250" spans="1:3" x14ac:dyDescent="0.25">
      <c r="A1250">
        <v>13</v>
      </c>
      <c r="B1250">
        <v>0</v>
      </c>
      <c r="C1250">
        <v>390</v>
      </c>
    </row>
    <row r="1251" spans="1:3" x14ac:dyDescent="0.25">
      <c r="A1251">
        <v>14</v>
      </c>
      <c r="B1251">
        <v>0</v>
      </c>
      <c r="C1251">
        <v>390</v>
      </c>
    </row>
    <row r="1252" spans="1:3" x14ac:dyDescent="0.25">
      <c r="A1252">
        <v>12</v>
      </c>
      <c r="B1252">
        <v>0</v>
      </c>
      <c r="C1252">
        <v>390</v>
      </c>
    </row>
    <row r="1253" spans="1:3" x14ac:dyDescent="0.25">
      <c r="A1253">
        <v>12</v>
      </c>
      <c r="B1253">
        <v>0</v>
      </c>
      <c r="C1253">
        <v>390</v>
      </c>
    </row>
    <row r="1254" spans="1:3" x14ac:dyDescent="0.25">
      <c r="A1254">
        <v>13</v>
      </c>
      <c r="B1254">
        <v>0</v>
      </c>
      <c r="C1254">
        <v>390</v>
      </c>
    </row>
    <row r="1255" spans="1:3" x14ac:dyDescent="0.25">
      <c r="A1255">
        <v>11</v>
      </c>
      <c r="B1255">
        <v>0</v>
      </c>
      <c r="C1255">
        <v>390</v>
      </c>
    </row>
    <row r="1256" spans="1:3" x14ac:dyDescent="0.25">
      <c r="A1256">
        <v>12</v>
      </c>
      <c r="B1256">
        <v>0</v>
      </c>
      <c r="C1256">
        <v>390</v>
      </c>
    </row>
    <row r="1257" spans="1:3" x14ac:dyDescent="0.25">
      <c r="A1257">
        <v>12</v>
      </c>
      <c r="B1257">
        <v>0</v>
      </c>
      <c r="C1257">
        <v>312</v>
      </c>
    </row>
    <row r="1258" spans="1:3" x14ac:dyDescent="0.25">
      <c r="A1258">
        <v>13</v>
      </c>
      <c r="B1258">
        <v>0</v>
      </c>
      <c r="C1258">
        <v>312</v>
      </c>
    </row>
    <row r="1259" spans="1:3" x14ac:dyDescent="0.25">
      <c r="A1259">
        <v>12</v>
      </c>
      <c r="B1259">
        <v>0</v>
      </c>
      <c r="C1259">
        <v>312</v>
      </c>
    </row>
    <row r="1260" spans="1:3" x14ac:dyDescent="0.25">
      <c r="A1260">
        <v>12</v>
      </c>
      <c r="B1260">
        <v>0</v>
      </c>
      <c r="C1260">
        <v>312</v>
      </c>
    </row>
    <row r="1261" spans="1:3" x14ac:dyDescent="0.25">
      <c r="A1261">
        <v>14</v>
      </c>
      <c r="B1261">
        <v>0</v>
      </c>
      <c r="C1261">
        <v>312</v>
      </c>
    </row>
    <row r="1262" spans="1:3" x14ac:dyDescent="0.25">
      <c r="A1262">
        <v>12</v>
      </c>
      <c r="B1262">
        <v>0</v>
      </c>
      <c r="C1262">
        <v>312</v>
      </c>
    </row>
    <row r="1263" spans="1:3" x14ac:dyDescent="0.25">
      <c r="A1263">
        <v>13</v>
      </c>
      <c r="B1263">
        <v>0</v>
      </c>
      <c r="C1263">
        <v>312</v>
      </c>
    </row>
    <row r="1264" spans="1:3" x14ac:dyDescent="0.25">
      <c r="A1264">
        <v>13</v>
      </c>
      <c r="B1264">
        <v>0</v>
      </c>
      <c r="C1264">
        <v>312</v>
      </c>
    </row>
    <row r="1265" spans="1:3" x14ac:dyDescent="0.25">
      <c r="A1265">
        <v>14</v>
      </c>
      <c r="B1265">
        <v>0</v>
      </c>
      <c r="C1265">
        <v>420</v>
      </c>
    </row>
    <row r="1266" spans="1:3" x14ac:dyDescent="0.25">
      <c r="A1266">
        <v>12</v>
      </c>
      <c r="B1266">
        <v>0</v>
      </c>
      <c r="C1266">
        <v>420</v>
      </c>
    </row>
    <row r="1267" spans="1:3" x14ac:dyDescent="0.25">
      <c r="A1267">
        <v>13</v>
      </c>
      <c r="B1267">
        <v>0</v>
      </c>
      <c r="C1267">
        <v>420</v>
      </c>
    </row>
    <row r="1268" spans="1:3" x14ac:dyDescent="0.25">
      <c r="A1268">
        <v>13</v>
      </c>
      <c r="B1268">
        <v>0</v>
      </c>
      <c r="C1268">
        <v>420</v>
      </c>
    </row>
    <row r="1269" spans="1:3" x14ac:dyDescent="0.25">
      <c r="A1269">
        <v>15</v>
      </c>
      <c r="B1269">
        <v>0</v>
      </c>
      <c r="C1269">
        <v>420</v>
      </c>
    </row>
    <row r="1270" spans="1:3" x14ac:dyDescent="0.25">
      <c r="A1270">
        <v>14</v>
      </c>
      <c r="B1270">
        <v>0</v>
      </c>
      <c r="C1270">
        <v>420</v>
      </c>
    </row>
    <row r="1271" spans="1:3" x14ac:dyDescent="0.25">
      <c r="A1271">
        <v>12</v>
      </c>
      <c r="B1271">
        <v>0</v>
      </c>
      <c r="C1271">
        <v>420</v>
      </c>
    </row>
    <row r="1272" spans="1:3" x14ac:dyDescent="0.25">
      <c r="A1272">
        <v>12</v>
      </c>
      <c r="B1272">
        <v>0</v>
      </c>
      <c r="C1272">
        <v>324</v>
      </c>
    </row>
    <row r="1273" spans="1:3" x14ac:dyDescent="0.25">
      <c r="A1273">
        <v>13</v>
      </c>
      <c r="B1273">
        <v>0</v>
      </c>
      <c r="C1273">
        <v>324</v>
      </c>
    </row>
    <row r="1274" spans="1:3" x14ac:dyDescent="0.25">
      <c r="A1274">
        <v>13</v>
      </c>
      <c r="B1274">
        <v>0</v>
      </c>
      <c r="C1274">
        <v>324</v>
      </c>
    </row>
    <row r="1275" spans="1:3" x14ac:dyDescent="0.25">
      <c r="A1275">
        <v>12</v>
      </c>
      <c r="B1275">
        <v>0</v>
      </c>
      <c r="C1275">
        <v>324</v>
      </c>
    </row>
    <row r="1276" spans="1:3" x14ac:dyDescent="0.25">
      <c r="A1276">
        <v>14</v>
      </c>
      <c r="B1276">
        <v>0</v>
      </c>
      <c r="C1276">
        <v>324</v>
      </c>
    </row>
    <row r="1277" spans="1:3" x14ac:dyDescent="0.25">
      <c r="A1277">
        <v>16</v>
      </c>
      <c r="B1277">
        <v>0</v>
      </c>
      <c r="C1277">
        <v>324</v>
      </c>
    </row>
    <row r="1278" spans="1:3" x14ac:dyDescent="0.25">
      <c r="A1278">
        <v>15</v>
      </c>
      <c r="B1278">
        <v>0</v>
      </c>
      <c r="C1278">
        <v>324</v>
      </c>
    </row>
    <row r="1279" spans="1:3" x14ac:dyDescent="0.25">
      <c r="A1279">
        <v>16</v>
      </c>
      <c r="B1279">
        <v>0</v>
      </c>
      <c r="C1279">
        <v>324</v>
      </c>
    </row>
    <row r="1280" spans="1:3" x14ac:dyDescent="0.25">
      <c r="A1280">
        <v>13</v>
      </c>
      <c r="B1280">
        <v>0</v>
      </c>
      <c r="C1280">
        <v>350</v>
      </c>
    </row>
    <row r="1281" spans="1:3" x14ac:dyDescent="0.25">
      <c r="A1281">
        <v>12</v>
      </c>
      <c r="B1281">
        <v>0</v>
      </c>
      <c r="C1281">
        <v>350</v>
      </c>
    </row>
    <row r="1282" spans="1:3" x14ac:dyDescent="0.25">
      <c r="A1282">
        <v>13</v>
      </c>
      <c r="B1282">
        <v>0</v>
      </c>
      <c r="C1282">
        <v>350</v>
      </c>
    </row>
    <row r="1283" spans="1:3" x14ac:dyDescent="0.25">
      <c r="A1283">
        <v>12</v>
      </c>
      <c r="B1283">
        <v>0</v>
      </c>
      <c r="C1283">
        <v>350</v>
      </c>
    </row>
    <row r="1284" spans="1:3" x14ac:dyDescent="0.25">
      <c r="A1284">
        <v>14</v>
      </c>
      <c r="B1284">
        <v>0</v>
      </c>
      <c r="C1284">
        <v>350</v>
      </c>
    </row>
    <row r="1285" spans="1:3" x14ac:dyDescent="0.25">
      <c r="A1285">
        <v>13</v>
      </c>
      <c r="B1285">
        <v>0</v>
      </c>
      <c r="C1285">
        <v>350</v>
      </c>
    </row>
    <row r="1286" spans="1:3" x14ac:dyDescent="0.25">
      <c r="A1286">
        <v>12</v>
      </c>
      <c r="B1286">
        <v>0</v>
      </c>
      <c r="C1286">
        <v>350</v>
      </c>
    </row>
    <row r="1287" spans="1:3" x14ac:dyDescent="0.25">
      <c r="A1287">
        <v>14</v>
      </c>
      <c r="B1287">
        <v>0</v>
      </c>
      <c r="C1287">
        <v>353</v>
      </c>
    </row>
    <row r="1288" spans="1:3" x14ac:dyDescent="0.25">
      <c r="A1288">
        <v>11</v>
      </c>
      <c r="B1288">
        <v>0</v>
      </c>
      <c r="C1288">
        <v>353</v>
      </c>
    </row>
    <row r="1289" spans="1:3" x14ac:dyDescent="0.25">
      <c r="A1289">
        <v>12</v>
      </c>
      <c r="B1289">
        <v>0</v>
      </c>
      <c r="C1289">
        <v>353</v>
      </c>
    </row>
    <row r="1290" spans="1:3" x14ac:dyDescent="0.25">
      <c r="A1290">
        <v>13</v>
      </c>
      <c r="B1290">
        <v>0</v>
      </c>
      <c r="C1290">
        <v>353</v>
      </c>
    </row>
    <row r="1291" spans="1:3" x14ac:dyDescent="0.25">
      <c r="A1291">
        <v>18</v>
      </c>
      <c r="B1291">
        <v>0</v>
      </c>
      <c r="C1291">
        <v>353</v>
      </c>
    </row>
    <row r="1292" spans="1:3" x14ac:dyDescent="0.25">
      <c r="A1292">
        <v>16</v>
      </c>
      <c r="B1292">
        <v>0</v>
      </c>
      <c r="C1292">
        <v>353</v>
      </c>
    </row>
    <row r="1293" spans="1:3" x14ac:dyDescent="0.25">
      <c r="A1293">
        <v>13</v>
      </c>
      <c r="B1293">
        <v>0</v>
      </c>
      <c r="C1293">
        <v>353</v>
      </c>
    </row>
    <row r="1294" spans="1:3" x14ac:dyDescent="0.25">
      <c r="A1294">
        <v>12</v>
      </c>
      <c r="B1294">
        <v>0</v>
      </c>
      <c r="C1294">
        <v>353</v>
      </c>
    </row>
    <row r="1295" spans="1:3" x14ac:dyDescent="0.25">
      <c r="A1295">
        <v>12</v>
      </c>
      <c r="B1295">
        <v>0</v>
      </c>
      <c r="C1295">
        <v>419</v>
      </c>
    </row>
    <row r="1296" spans="1:3" x14ac:dyDescent="0.25">
      <c r="A1296">
        <v>11</v>
      </c>
      <c r="B1296">
        <v>0</v>
      </c>
      <c r="C1296">
        <v>419</v>
      </c>
    </row>
    <row r="1297" spans="1:3" x14ac:dyDescent="0.25">
      <c r="A1297">
        <v>12</v>
      </c>
      <c r="B1297">
        <v>0</v>
      </c>
      <c r="C1297">
        <v>419</v>
      </c>
    </row>
    <row r="1298" spans="1:3" x14ac:dyDescent="0.25">
      <c r="A1298">
        <v>13</v>
      </c>
      <c r="B1298">
        <v>0</v>
      </c>
      <c r="C1298">
        <v>419</v>
      </c>
    </row>
    <row r="1299" spans="1:3" x14ac:dyDescent="0.25">
      <c r="A1299">
        <v>14</v>
      </c>
      <c r="B1299">
        <v>0</v>
      </c>
      <c r="C1299">
        <v>419</v>
      </c>
    </row>
    <row r="1300" spans="1:3" x14ac:dyDescent="0.25">
      <c r="A1300">
        <v>13</v>
      </c>
      <c r="B1300">
        <v>0</v>
      </c>
      <c r="C1300">
        <v>419</v>
      </c>
    </row>
    <row r="1301" spans="1:3" x14ac:dyDescent="0.25">
      <c r="A1301">
        <v>12</v>
      </c>
      <c r="B1301">
        <v>0</v>
      </c>
      <c r="C1301">
        <v>419</v>
      </c>
    </row>
    <row r="1302" spans="1:3" x14ac:dyDescent="0.25">
      <c r="A1302">
        <v>12</v>
      </c>
      <c r="B1302">
        <v>0</v>
      </c>
      <c r="C1302">
        <v>419</v>
      </c>
    </row>
    <row r="1303" spans="1:3" x14ac:dyDescent="0.25">
      <c r="A1303">
        <v>13</v>
      </c>
      <c r="B1303">
        <v>0</v>
      </c>
      <c r="C1303">
        <v>368</v>
      </c>
    </row>
    <row r="1304" spans="1:3" x14ac:dyDescent="0.25">
      <c r="A1304">
        <v>12</v>
      </c>
      <c r="B1304">
        <v>0</v>
      </c>
      <c r="C1304">
        <v>368</v>
      </c>
    </row>
    <row r="1305" spans="1:3" x14ac:dyDescent="0.25">
      <c r="A1305">
        <v>13</v>
      </c>
      <c r="B1305">
        <v>0</v>
      </c>
      <c r="C1305">
        <v>368</v>
      </c>
    </row>
    <row r="1306" spans="1:3" x14ac:dyDescent="0.25">
      <c r="A1306">
        <v>12</v>
      </c>
      <c r="B1306">
        <v>0</v>
      </c>
      <c r="C1306">
        <v>368</v>
      </c>
    </row>
    <row r="1307" spans="1:3" x14ac:dyDescent="0.25">
      <c r="A1307">
        <v>12</v>
      </c>
      <c r="B1307">
        <v>0</v>
      </c>
      <c r="C1307">
        <v>368</v>
      </c>
    </row>
    <row r="1308" spans="1:3" x14ac:dyDescent="0.25">
      <c r="A1308">
        <v>13</v>
      </c>
      <c r="B1308">
        <v>0</v>
      </c>
      <c r="C1308">
        <v>368</v>
      </c>
    </row>
    <row r="1309" spans="1:3" x14ac:dyDescent="0.25">
      <c r="A1309">
        <v>13</v>
      </c>
      <c r="B1309">
        <v>0</v>
      </c>
      <c r="C1309">
        <v>368</v>
      </c>
    </row>
    <row r="1310" spans="1:3" x14ac:dyDescent="0.25">
      <c r="A1310">
        <v>17</v>
      </c>
      <c r="B1310">
        <v>0</v>
      </c>
      <c r="C1310">
        <v>368</v>
      </c>
    </row>
    <row r="1311" spans="1:3" x14ac:dyDescent="0.25">
      <c r="A1311">
        <v>13</v>
      </c>
      <c r="B1311">
        <v>0</v>
      </c>
      <c r="C1311">
        <v>349</v>
      </c>
    </row>
    <row r="1312" spans="1:3" x14ac:dyDescent="0.25">
      <c r="A1312">
        <v>12</v>
      </c>
      <c r="B1312">
        <v>0</v>
      </c>
      <c r="C1312">
        <v>349</v>
      </c>
    </row>
    <row r="1313" spans="1:3" x14ac:dyDescent="0.25">
      <c r="A1313">
        <v>13</v>
      </c>
      <c r="B1313">
        <v>0</v>
      </c>
      <c r="C1313">
        <v>349</v>
      </c>
    </row>
    <row r="1314" spans="1:3" x14ac:dyDescent="0.25">
      <c r="A1314">
        <v>13</v>
      </c>
      <c r="B1314">
        <v>0</v>
      </c>
      <c r="C1314">
        <v>349</v>
      </c>
    </row>
    <row r="1315" spans="1:3" x14ac:dyDescent="0.25">
      <c r="A1315">
        <v>12</v>
      </c>
      <c r="B1315">
        <v>0</v>
      </c>
      <c r="C1315">
        <v>349</v>
      </c>
    </row>
    <row r="1316" spans="1:3" x14ac:dyDescent="0.25">
      <c r="A1316">
        <v>12</v>
      </c>
      <c r="B1316">
        <v>0</v>
      </c>
      <c r="C1316">
        <v>349</v>
      </c>
    </row>
    <row r="1317" spans="1:3" x14ac:dyDescent="0.25">
      <c r="A1317">
        <v>14</v>
      </c>
      <c r="B1317">
        <v>0</v>
      </c>
      <c r="C1317">
        <v>349</v>
      </c>
    </row>
    <row r="1318" spans="1:3" x14ac:dyDescent="0.25">
      <c r="A1318">
        <v>13</v>
      </c>
      <c r="B1318">
        <v>0</v>
      </c>
      <c r="C1318">
        <v>349</v>
      </c>
    </row>
    <row r="1319" spans="1:3" x14ac:dyDescent="0.25">
      <c r="A1319">
        <v>12</v>
      </c>
      <c r="B1319">
        <v>0</v>
      </c>
      <c r="C1319">
        <v>352</v>
      </c>
    </row>
    <row r="1320" spans="1:3" x14ac:dyDescent="0.25">
      <c r="A1320">
        <v>12</v>
      </c>
      <c r="B1320">
        <v>0</v>
      </c>
      <c r="C1320">
        <v>352</v>
      </c>
    </row>
    <row r="1321" spans="1:3" x14ac:dyDescent="0.25">
      <c r="A1321">
        <v>13</v>
      </c>
      <c r="B1321">
        <v>0</v>
      </c>
      <c r="C1321">
        <v>352</v>
      </c>
    </row>
    <row r="1322" spans="1:3" x14ac:dyDescent="0.25">
      <c r="A1322">
        <v>14</v>
      </c>
      <c r="B1322">
        <v>0</v>
      </c>
      <c r="C1322">
        <v>352</v>
      </c>
    </row>
    <row r="1323" spans="1:3" x14ac:dyDescent="0.25">
      <c r="A1323">
        <v>13</v>
      </c>
      <c r="B1323">
        <v>0</v>
      </c>
      <c r="C1323">
        <v>352</v>
      </c>
    </row>
    <row r="1324" spans="1:3" x14ac:dyDescent="0.25">
      <c r="A1324">
        <v>13</v>
      </c>
      <c r="B1324">
        <v>0</v>
      </c>
      <c r="C1324">
        <v>352</v>
      </c>
    </row>
    <row r="1325" spans="1:3" x14ac:dyDescent="0.25">
      <c r="A1325">
        <v>14</v>
      </c>
      <c r="B1325">
        <v>0</v>
      </c>
      <c r="C1325">
        <v>352</v>
      </c>
    </row>
    <row r="1326" spans="1:3" x14ac:dyDescent="0.25">
      <c r="A1326">
        <v>11</v>
      </c>
      <c r="B1326">
        <v>0</v>
      </c>
      <c r="C1326">
        <v>352</v>
      </c>
    </row>
    <row r="1327" spans="1:3" x14ac:dyDescent="0.25">
      <c r="A1327">
        <v>12</v>
      </c>
      <c r="B1327">
        <v>0</v>
      </c>
      <c r="C1327">
        <v>363</v>
      </c>
    </row>
    <row r="1328" spans="1:3" x14ac:dyDescent="0.25">
      <c r="A1328">
        <v>12</v>
      </c>
      <c r="B1328">
        <v>0</v>
      </c>
      <c r="C1328">
        <v>363</v>
      </c>
    </row>
    <row r="1329" spans="1:3" x14ac:dyDescent="0.25">
      <c r="A1329">
        <v>13</v>
      </c>
      <c r="B1329">
        <v>0</v>
      </c>
      <c r="C1329">
        <v>363</v>
      </c>
    </row>
    <row r="1330" spans="1:3" x14ac:dyDescent="0.25">
      <c r="A1330">
        <v>12</v>
      </c>
      <c r="B1330">
        <v>0</v>
      </c>
      <c r="C1330">
        <v>363</v>
      </c>
    </row>
    <row r="1331" spans="1:3" x14ac:dyDescent="0.25">
      <c r="A1331">
        <v>12</v>
      </c>
      <c r="B1331">
        <v>0</v>
      </c>
      <c r="C1331">
        <v>363</v>
      </c>
    </row>
    <row r="1332" spans="1:3" x14ac:dyDescent="0.25">
      <c r="A1332">
        <v>12</v>
      </c>
      <c r="B1332">
        <v>0</v>
      </c>
      <c r="C1332">
        <v>363</v>
      </c>
    </row>
    <row r="1333" spans="1:3" x14ac:dyDescent="0.25">
      <c r="A1333">
        <v>12</v>
      </c>
      <c r="B1333">
        <v>0</v>
      </c>
      <c r="C1333">
        <v>363</v>
      </c>
    </row>
    <row r="1334" spans="1:3" x14ac:dyDescent="0.25">
      <c r="A1334">
        <v>12</v>
      </c>
      <c r="B1334">
        <v>0</v>
      </c>
      <c r="C1334">
        <v>363</v>
      </c>
    </row>
    <row r="1335" spans="1:3" x14ac:dyDescent="0.25">
      <c r="A1335">
        <v>15</v>
      </c>
      <c r="B1335">
        <v>0</v>
      </c>
      <c r="C1335">
        <v>322</v>
      </c>
    </row>
    <row r="1336" spans="1:3" x14ac:dyDescent="0.25">
      <c r="A1336">
        <v>12</v>
      </c>
      <c r="B1336">
        <v>0</v>
      </c>
      <c r="C1336">
        <v>322</v>
      </c>
    </row>
    <row r="1337" spans="1:3" x14ac:dyDescent="0.25">
      <c r="A1337">
        <v>12</v>
      </c>
      <c r="B1337">
        <v>0</v>
      </c>
      <c r="C1337">
        <v>322</v>
      </c>
    </row>
    <row r="1338" spans="1:3" x14ac:dyDescent="0.25">
      <c r="A1338">
        <v>14</v>
      </c>
      <c r="B1338">
        <v>0</v>
      </c>
      <c r="C1338">
        <v>322</v>
      </c>
    </row>
    <row r="1339" spans="1:3" x14ac:dyDescent="0.25">
      <c r="A1339">
        <v>13</v>
      </c>
      <c r="B1339">
        <v>0</v>
      </c>
      <c r="C1339">
        <v>322</v>
      </c>
    </row>
    <row r="1340" spans="1:3" x14ac:dyDescent="0.25">
      <c r="A1340">
        <v>12</v>
      </c>
      <c r="B1340">
        <v>0</v>
      </c>
      <c r="C1340">
        <v>322</v>
      </c>
    </row>
    <row r="1341" spans="1:3" x14ac:dyDescent="0.25">
      <c r="A1341">
        <v>11</v>
      </c>
      <c r="B1341">
        <v>0</v>
      </c>
      <c r="C1341">
        <v>322</v>
      </c>
    </row>
    <row r="1342" spans="1:3" x14ac:dyDescent="0.25">
      <c r="A1342">
        <v>12</v>
      </c>
      <c r="B1342">
        <v>0</v>
      </c>
      <c r="C1342">
        <v>322</v>
      </c>
    </row>
    <row r="1343" spans="1:3" x14ac:dyDescent="0.25">
      <c r="A1343">
        <v>12</v>
      </c>
      <c r="B1343">
        <v>0</v>
      </c>
      <c r="C1343">
        <v>301</v>
      </c>
    </row>
    <row r="1344" spans="1:3" x14ac:dyDescent="0.25">
      <c r="A1344">
        <v>12</v>
      </c>
      <c r="B1344">
        <v>0</v>
      </c>
      <c r="C1344">
        <v>301</v>
      </c>
    </row>
    <row r="1345" spans="1:3" x14ac:dyDescent="0.25">
      <c r="A1345">
        <v>14</v>
      </c>
      <c r="B1345">
        <v>0</v>
      </c>
      <c r="C1345">
        <v>301</v>
      </c>
    </row>
    <row r="1346" spans="1:3" x14ac:dyDescent="0.25">
      <c r="A1346">
        <v>13</v>
      </c>
      <c r="B1346">
        <v>0</v>
      </c>
      <c r="C1346">
        <v>301</v>
      </c>
    </row>
    <row r="1347" spans="1:3" x14ac:dyDescent="0.25">
      <c r="A1347">
        <v>13</v>
      </c>
      <c r="B1347">
        <v>0</v>
      </c>
      <c r="C1347">
        <v>301</v>
      </c>
    </row>
    <row r="1348" spans="1:3" x14ac:dyDescent="0.25">
      <c r="A1348">
        <v>14</v>
      </c>
      <c r="B1348">
        <v>0</v>
      </c>
      <c r="C1348">
        <v>301</v>
      </c>
    </row>
    <row r="1349" spans="1:3" x14ac:dyDescent="0.25">
      <c r="A1349">
        <v>13</v>
      </c>
      <c r="B1349">
        <v>0</v>
      </c>
      <c r="C1349">
        <v>301</v>
      </c>
    </row>
    <row r="1350" spans="1:3" x14ac:dyDescent="0.25">
      <c r="A1350">
        <v>11</v>
      </c>
      <c r="B1350">
        <v>0</v>
      </c>
      <c r="C1350">
        <v>301</v>
      </c>
    </row>
    <row r="1351" spans="1:3" x14ac:dyDescent="0.25">
      <c r="A1351">
        <v>12</v>
      </c>
      <c r="B1351">
        <v>0</v>
      </c>
      <c r="C1351">
        <v>298</v>
      </c>
    </row>
    <row r="1352" spans="1:3" x14ac:dyDescent="0.25">
      <c r="A1352">
        <v>14</v>
      </c>
      <c r="B1352">
        <v>0</v>
      </c>
      <c r="C1352">
        <v>298</v>
      </c>
    </row>
    <row r="1353" spans="1:3" x14ac:dyDescent="0.25">
      <c r="A1353">
        <v>12</v>
      </c>
      <c r="B1353">
        <v>0</v>
      </c>
      <c r="C1353">
        <v>298</v>
      </c>
    </row>
    <row r="1354" spans="1:3" x14ac:dyDescent="0.25">
      <c r="A1354">
        <v>13</v>
      </c>
      <c r="B1354">
        <v>0</v>
      </c>
      <c r="C1354">
        <v>298</v>
      </c>
    </row>
    <row r="1355" spans="1:3" x14ac:dyDescent="0.25">
      <c r="A1355">
        <v>12</v>
      </c>
      <c r="B1355">
        <v>0</v>
      </c>
      <c r="C1355">
        <v>298</v>
      </c>
    </row>
    <row r="1356" spans="1:3" x14ac:dyDescent="0.25">
      <c r="A1356">
        <v>13</v>
      </c>
      <c r="B1356">
        <v>0</v>
      </c>
      <c r="C1356">
        <v>298</v>
      </c>
    </row>
    <row r="1357" spans="1:3" x14ac:dyDescent="0.25">
      <c r="A1357">
        <v>12</v>
      </c>
      <c r="B1357">
        <v>0</v>
      </c>
      <c r="C1357">
        <v>298</v>
      </c>
    </row>
    <row r="1358" spans="1:3" x14ac:dyDescent="0.25">
      <c r="A1358">
        <v>20</v>
      </c>
      <c r="B1358">
        <v>0</v>
      </c>
      <c r="C1358">
        <v>298</v>
      </c>
    </row>
    <row r="1359" spans="1:3" x14ac:dyDescent="0.25">
      <c r="A1359">
        <v>13</v>
      </c>
      <c r="B1359">
        <v>0</v>
      </c>
      <c r="C1359">
        <v>386</v>
      </c>
    </row>
    <row r="1360" spans="1:3" x14ac:dyDescent="0.25">
      <c r="A1360">
        <v>11</v>
      </c>
      <c r="B1360">
        <v>0</v>
      </c>
      <c r="C1360">
        <v>386</v>
      </c>
    </row>
    <row r="1361" spans="1:3" x14ac:dyDescent="0.25">
      <c r="A1361">
        <v>13</v>
      </c>
      <c r="B1361">
        <v>0</v>
      </c>
      <c r="C1361">
        <v>386</v>
      </c>
    </row>
    <row r="1362" spans="1:3" x14ac:dyDescent="0.25">
      <c r="A1362">
        <v>12</v>
      </c>
      <c r="B1362">
        <v>0</v>
      </c>
      <c r="C1362">
        <v>386</v>
      </c>
    </row>
    <row r="1363" spans="1:3" x14ac:dyDescent="0.25">
      <c r="A1363">
        <v>11</v>
      </c>
      <c r="B1363">
        <v>0</v>
      </c>
      <c r="C1363">
        <v>386</v>
      </c>
    </row>
    <row r="1364" spans="1:3" x14ac:dyDescent="0.25">
      <c r="A1364">
        <v>11</v>
      </c>
      <c r="B1364">
        <v>0</v>
      </c>
      <c r="C1364">
        <v>386</v>
      </c>
    </row>
    <row r="1365" spans="1:3" x14ac:dyDescent="0.25">
      <c r="A1365">
        <v>12</v>
      </c>
      <c r="B1365">
        <v>0</v>
      </c>
      <c r="C1365">
        <v>386</v>
      </c>
    </row>
    <row r="1366" spans="1:3" x14ac:dyDescent="0.25">
      <c r="A1366">
        <v>12</v>
      </c>
      <c r="B1366">
        <v>0</v>
      </c>
      <c r="C1366">
        <v>386</v>
      </c>
    </row>
    <row r="1367" spans="1:3" x14ac:dyDescent="0.25">
      <c r="A1367">
        <v>17</v>
      </c>
      <c r="B1367">
        <v>0</v>
      </c>
      <c r="C1367">
        <v>331</v>
      </c>
    </row>
    <row r="1368" spans="1:3" x14ac:dyDescent="0.25">
      <c r="A1368">
        <v>13</v>
      </c>
      <c r="B1368">
        <v>0</v>
      </c>
      <c r="C1368">
        <v>331</v>
      </c>
    </row>
    <row r="1369" spans="1:3" x14ac:dyDescent="0.25">
      <c r="A1369">
        <v>13</v>
      </c>
      <c r="B1369">
        <v>0</v>
      </c>
      <c r="C1369">
        <v>331</v>
      </c>
    </row>
    <row r="1370" spans="1:3" x14ac:dyDescent="0.25">
      <c r="A1370">
        <v>12</v>
      </c>
      <c r="B1370">
        <v>0</v>
      </c>
      <c r="C1370">
        <v>331</v>
      </c>
    </row>
    <row r="1371" spans="1:3" x14ac:dyDescent="0.25">
      <c r="A1371">
        <v>13</v>
      </c>
      <c r="B1371">
        <v>0</v>
      </c>
      <c r="C1371">
        <v>331</v>
      </c>
    </row>
    <row r="1372" spans="1:3" x14ac:dyDescent="0.25">
      <c r="A1372">
        <v>11</v>
      </c>
      <c r="B1372">
        <v>0</v>
      </c>
      <c r="C1372">
        <v>331</v>
      </c>
    </row>
    <row r="1373" spans="1:3" x14ac:dyDescent="0.25">
      <c r="A1373">
        <v>11</v>
      </c>
      <c r="B1373">
        <v>0</v>
      </c>
      <c r="C1373">
        <v>331</v>
      </c>
    </row>
    <row r="1374" spans="1:3" x14ac:dyDescent="0.25">
      <c r="A1374">
        <v>11</v>
      </c>
      <c r="B1374">
        <v>0</v>
      </c>
      <c r="C1374">
        <v>331</v>
      </c>
    </row>
    <row r="1375" spans="1:3" x14ac:dyDescent="0.25">
      <c r="A1375">
        <v>13</v>
      </c>
      <c r="B1375">
        <v>0</v>
      </c>
      <c r="C1375">
        <v>335</v>
      </c>
    </row>
    <row r="1376" spans="1:3" x14ac:dyDescent="0.25">
      <c r="A1376">
        <v>14</v>
      </c>
      <c r="B1376">
        <v>0</v>
      </c>
      <c r="C1376">
        <v>335</v>
      </c>
    </row>
    <row r="1377" spans="1:3" x14ac:dyDescent="0.25">
      <c r="A1377">
        <v>12</v>
      </c>
      <c r="B1377">
        <v>0</v>
      </c>
      <c r="C1377">
        <v>335</v>
      </c>
    </row>
    <row r="1378" spans="1:3" x14ac:dyDescent="0.25">
      <c r="A1378">
        <v>12</v>
      </c>
      <c r="B1378">
        <v>0</v>
      </c>
      <c r="C1378">
        <v>335</v>
      </c>
    </row>
    <row r="1379" spans="1:3" x14ac:dyDescent="0.25">
      <c r="A1379">
        <v>12</v>
      </c>
      <c r="B1379">
        <v>0</v>
      </c>
      <c r="C1379">
        <v>335</v>
      </c>
    </row>
    <row r="1380" spans="1:3" x14ac:dyDescent="0.25">
      <c r="A1380">
        <v>12</v>
      </c>
      <c r="B1380">
        <v>0</v>
      </c>
      <c r="C1380">
        <v>335</v>
      </c>
    </row>
    <row r="1381" spans="1:3" x14ac:dyDescent="0.25">
      <c r="A1381">
        <v>12</v>
      </c>
      <c r="B1381">
        <v>0</v>
      </c>
      <c r="C1381">
        <v>335</v>
      </c>
    </row>
    <row r="1382" spans="1:3" x14ac:dyDescent="0.25">
      <c r="A1382">
        <v>19</v>
      </c>
      <c r="B1382">
        <v>0</v>
      </c>
      <c r="C1382">
        <v>335</v>
      </c>
    </row>
    <row r="1383" spans="1:3" x14ac:dyDescent="0.25">
      <c r="A1383">
        <v>13</v>
      </c>
      <c r="B1383">
        <v>0</v>
      </c>
      <c r="C1383">
        <v>329</v>
      </c>
    </row>
    <row r="1384" spans="1:3" x14ac:dyDescent="0.25">
      <c r="A1384">
        <v>14</v>
      </c>
      <c r="B1384">
        <v>0</v>
      </c>
      <c r="C1384">
        <v>329</v>
      </c>
    </row>
    <row r="1385" spans="1:3" x14ac:dyDescent="0.25">
      <c r="A1385">
        <v>12</v>
      </c>
      <c r="B1385">
        <v>0</v>
      </c>
      <c r="C1385">
        <v>329</v>
      </c>
    </row>
    <row r="1386" spans="1:3" x14ac:dyDescent="0.25">
      <c r="A1386">
        <v>14</v>
      </c>
      <c r="B1386">
        <v>0</v>
      </c>
      <c r="C1386">
        <v>329</v>
      </c>
    </row>
    <row r="1387" spans="1:3" x14ac:dyDescent="0.25">
      <c r="A1387">
        <v>12</v>
      </c>
      <c r="B1387">
        <v>0</v>
      </c>
      <c r="C1387">
        <v>329</v>
      </c>
    </row>
    <row r="1388" spans="1:3" x14ac:dyDescent="0.25">
      <c r="A1388">
        <v>13</v>
      </c>
      <c r="B1388">
        <v>0</v>
      </c>
      <c r="C1388">
        <v>329</v>
      </c>
    </row>
    <row r="1389" spans="1:3" x14ac:dyDescent="0.25">
      <c r="A1389">
        <v>14</v>
      </c>
      <c r="B1389">
        <v>0</v>
      </c>
      <c r="C1389">
        <v>329</v>
      </c>
    </row>
    <row r="1390" spans="1:3" x14ac:dyDescent="0.25">
      <c r="A1390">
        <v>12</v>
      </c>
      <c r="B1390">
        <v>0</v>
      </c>
      <c r="C1390">
        <v>329</v>
      </c>
    </row>
    <row r="1391" spans="1:3" x14ac:dyDescent="0.25">
      <c r="A1391">
        <v>12</v>
      </c>
      <c r="B1391">
        <v>0</v>
      </c>
      <c r="C1391">
        <v>334</v>
      </c>
    </row>
    <row r="1392" spans="1:3" x14ac:dyDescent="0.25">
      <c r="A1392">
        <v>12</v>
      </c>
      <c r="B1392">
        <v>0</v>
      </c>
      <c r="C1392">
        <v>334</v>
      </c>
    </row>
    <row r="1393" spans="1:3" x14ac:dyDescent="0.25">
      <c r="A1393">
        <v>14</v>
      </c>
      <c r="B1393">
        <v>0</v>
      </c>
      <c r="C1393">
        <v>334</v>
      </c>
    </row>
    <row r="1394" spans="1:3" x14ac:dyDescent="0.25">
      <c r="A1394">
        <v>17</v>
      </c>
      <c r="B1394">
        <v>0</v>
      </c>
      <c r="C1394">
        <v>334</v>
      </c>
    </row>
    <row r="1395" spans="1:3" x14ac:dyDescent="0.25">
      <c r="A1395">
        <v>15</v>
      </c>
      <c r="B1395">
        <v>0</v>
      </c>
      <c r="C1395">
        <v>334</v>
      </c>
    </row>
    <row r="1396" spans="1:3" x14ac:dyDescent="0.25">
      <c r="A1396">
        <v>12</v>
      </c>
      <c r="B1396">
        <v>0</v>
      </c>
      <c r="C1396">
        <v>334</v>
      </c>
    </row>
    <row r="1397" spans="1:3" x14ac:dyDescent="0.25">
      <c r="A1397">
        <v>11</v>
      </c>
      <c r="B1397">
        <v>0</v>
      </c>
      <c r="C1397">
        <v>334</v>
      </c>
    </row>
    <row r="1398" spans="1:3" x14ac:dyDescent="0.25">
      <c r="A1398">
        <v>11</v>
      </c>
      <c r="B1398">
        <v>0</v>
      </c>
      <c r="C1398">
        <v>386</v>
      </c>
    </row>
    <row r="1399" spans="1:3" x14ac:dyDescent="0.25">
      <c r="A1399">
        <v>11</v>
      </c>
      <c r="B1399">
        <v>0</v>
      </c>
      <c r="C1399">
        <v>386</v>
      </c>
    </row>
    <row r="1400" spans="1:3" x14ac:dyDescent="0.25">
      <c r="A1400">
        <v>14</v>
      </c>
      <c r="B1400">
        <v>0</v>
      </c>
      <c r="C1400">
        <v>386</v>
      </c>
    </row>
    <row r="1401" spans="1:3" x14ac:dyDescent="0.25">
      <c r="A1401">
        <v>15</v>
      </c>
      <c r="B1401">
        <v>0</v>
      </c>
      <c r="C1401">
        <v>386</v>
      </c>
    </row>
    <row r="1402" spans="1:3" x14ac:dyDescent="0.25">
      <c r="A1402">
        <v>12</v>
      </c>
      <c r="B1402">
        <v>0</v>
      </c>
      <c r="C1402">
        <v>386</v>
      </c>
    </row>
    <row r="1403" spans="1:3" x14ac:dyDescent="0.25">
      <c r="A1403">
        <v>17</v>
      </c>
      <c r="B1403">
        <v>0</v>
      </c>
      <c r="C1403">
        <v>386</v>
      </c>
    </row>
    <row r="1404" spans="1:3" x14ac:dyDescent="0.25">
      <c r="A1404">
        <v>13</v>
      </c>
      <c r="B1404">
        <v>0</v>
      </c>
      <c r="C1404">
        <v>386</v>
      </c>
    </row>
    <row r="1405" spans="1:3" x14ac:dyDescent="0.25">
      <c r="A1405">
        <v>12</v>
      </c>
      <c r="B1405">
        <v>0</v>
      </c>
      <c r="C1405">
        <v>329</v>
      </c>
    </row>
    <row r="1406" spans="1:3" x14ac:dyDescent="0.25">
      <c r="A1406">
        <v>13</v>
      </c>
      <c r="B1406">
        <v>0</v>
      </c>
      <c r="C1406">
        <v>329</v>
      </c>
    </row>
    <row r="1407" spans="1:3" x14ac:dyDescent="0.25">
      <c r="A1407">
        <v>13</v>
      </c>
      <c r="B1407">
        <v>0</v>
      </c>
      <c r="C1407">
        <v>329</v>
      </c>
    </row>
    <row r="1408" spans="1:3" x14ac:dyDescent="0.25">
      <c r="A1408">
        <v>12</v>
      </c>
      <c r="B1408">
        <v>0</v>
      </c>
      <c r="C1408">
        <v>329</v>
      </c>
    </row>
    <row r="1409" spans="1:3" x14ac:dyDescent="0.25">
      <c r="A1409">
        <v>11</v>
      </c>
      <c r="B1409">
        <v>0</v>
      </c>
      <c r="C1409">
        <v>329</v>
      </c>
    </row>
    <row r="1410" spans="1:3" x14ac:dyDescent="0.25">
      <c r="A1410">
        <v>11</v>
      </c>
      <c r="B1410">
        <v>0</v>
      </c>
      <c r="C1410">
        <v>329</v>
      </c>
    </row>
    <row r="1411" spans="1:3" x14ac:dyDescent="0.25">
      <c r="A1411">
        <v>15</v>
      </c>
      <c r="B1411">
        <v>0</v>
      </c>
      <c r="C1411">
        <v>329</v>
      </c>
    </row>
    <row r="1412" spans="1:3" x14ac:dyDescent="0.25">
      <c r="A1412">
        <v>13</v>
      </c>
      <c r="B1412">
        <v>0</v>
      </c>
      <c r="C1412">
        <v>329</v>
      </c>
    </row>
    <row r="1413" spans="1:3" x14ac:dyDescent="0.25">
      <c r="A1413">
        <v>12</v>
      </c>
      <c r="B1413">
        <v>0</v>
      </c>
      <c r="C1413">
        <v>329</v>
      </c>
    </row>
    <row r="1414" spans="1:3" x14ac:dyDescent="0.25">
      <c r="A1414">
        <v>18</v>
      </c>
      <c r="B1414">
        <v>0</v>
      </c>
      <c r="C1414">
        <v>329</v>
      </c>
    </row>
    <row r="1415" spans="1:3" x14ac:dyDescent="0.25">
      <c r="A1415">
        <v>12</v>
      </c>
      <c r="B1415">
        <v>0</v>
      </c>
      <c r="C1415">
        <v>329</v>
      </c>
    </row>
    <row r="1416" spans="1:3" x14ac:dyDescent="0.25">
      <c r="A1416">
        <v>11</v>
      </c>
      <c r="B1416">
        <v>0</v>
      </c>
      <c r="C1416">
        <v>329</v>
      </c>
    </row>
    <row r="1417" spans="1:3" x14ac:dyDescent="0.25">
      <c r="A1417">
        <v>16</v>
      </c>
      <c r="B1417">
        <v>0</v>
      </c>
      <c r="C1417">
        <v>329</v>
      </c>
    </row>
    <row r="1418" spans="1:3" x14ac:dyDescent="0.25">
      <c r="A1418">
        <v>12</v>
      </c>
      <c r="B1418">
        <v>0</v>
      </c>
      <c r="C1418">
        <v>329</v>
      </c>
    </row>
    <row r="1419" spans="1:3" x14ac:dyDescent="0.25">
      <c r="A1419">
        <v>14</v>
      </c>
      <c r="B1419">
        <v>0</v>
      </c>
      <c r="C1419">
        <v>329</v>
      </c>
    </row>
    <row r="1420" spans="1:3" x14ac:dyDescent="0.25">
      <c r="A1420">
        <v>12</v>
      </c>
      <c r="B1420">
        <v>0</v>
      </c>
      <c r="C1420">
        <v>381</v>
      </c>
    </row>
    <row r="1421" spans="1:3" x14ac:dyDescent="0.25">
      <c r="A1421">
        <v>14</v>
      </c>
      <c r="B1421">
        <v>0</v>
      </c>
      <c r="C1421">
        <v>381</v>
      </c>
    </row>
    <row r="1422" spans="1:3" x14ac:dyDescent="0.25">
      <c r="A1422">
        <v>13</v>
      </c>
      <c r="B1422">
        <v>0</v>
      </c>
      <c r="C1422">
        <v>381</v>
      </c>
    </row>
    <row r="1423" spans="1:3" x14ac:dyDescent="0.25">
      <c r="A1423">
        <v>13</v>
      </c>
      <c r="B1423">
        <v>0</v>
      </c>
      <c r="C1423">
        <v>381</v>
      </c>
    </row>
    <row r="1424" spans="1:3" x14ac:dyDescent="0.25">
      <c r="A1424">
        <v>11</v>
      </c>
      <c r="B1424">
        <v>0</v>
      </c>
      <c r="C1424">
        <v>381</v>
      </c>
    </row>
    <row r="1425" spans="1:3" x14ac:dyDescent="0.25">
      <c r="A1425">
        <v>13</v>
      </c>
      <c r="B1425">
        <v>0</v>
      </c>
      <c r="C1425">
        <v>381</v>
      </c>
    </row>
    <row r="1426" spans="1:3" x14ac:dyDescent="0.25">
      <c r="A1426">
        <v>12</v>
      </c>
      <c r="B1426">
        <v>0</v>
      </c>
      <c r="C1426">
        <v>381</v>
      </c>
    </row>
    <row r="1427" spans="1:3" x14ac:dyDescent="0.25">
      <c r="A1427">
        <v>14</v>
      </c>
      <c r="B1427">
        <v>0</v>
      </c>
      <c r="C1427">
        <v>381</v>
      </c>
    </row>
    <row r="1428" spans="1:3" x14ac:dyDescent="0.25">
      <c r="A1428">
        <v>12</v>
      </c>
      <c r="B1428">
        <v>0</v>
      </c>
      <c r="C1428">
        <v>352</v>
      </c>
    </row>
    <row r="1429" spans="1:3" x14ac:dyDescent="0.25">
      <c r="A1429">
        <v>13</v>
      </c>
      <c r="B1429">
        <v>0</v>
      </c>
      <c r="C1429">
        <v>352</v>
      </c>
    </row>
    <row r="1430" spans="1:3" x14ac:dyDescent="0.25">
      <c r="A1430">
        <v>18</v>
      </c>
      <c r="B1430">
        <v>0</v>
      </c>
      <c r="C1430">
        <v>352</v>
      </c>
    </row>
    <row r="1431" spans="1:3" x14ac:dyDescent="0.25">
      <c r="A1431">
        <v>12</v>
      </c>
      <c r="B1431">
        <v>0</v>
      </c>
      <c r="C1431">
        <v>352</v>
      </c>
    </row>
    <row r="1432" spans="1:3" x14ac:dyDescent="0.25">
      <c r="A1432">
        <v>14</v>
      </c>
      <c r="B1432">
        <v>0</v>
      </c>
      <c r="C1432">
        <v>352</v>
      </c>
    </row>
    <row r="1433" spans="1:3" x14ac:dyDescent="0.25">
      <c r="A1433">
        <v>13</v>
      </c>
      <c r="B1433">
        <v>0</v>
      </c>
      <c r="C1433">
        <v>352</v>
      </c>
    </row>
    <row r="1434" spans="1:3" x14ac:dyDescent="0.25">
      <c r="A1434">
        <v>12</v>
      </c>
      <c r="B1434">
        <v>0</v>
      </c>
      <c r="C1434">
        <v>352</v>
      </c>
    </row>
    <row r="1435" spans="1:3" x14ac:dyDescent="0.25">
      <c r="A1435">
        <v>12</v>
      </c>
      <c r="B1435">
        <v>0</v>
      </c>
      <c r="C1435">
        <v>352</v>
      </c>
    </row>
    <row r="1436" spans="1:3" x14ac:dyDescent="0.25">
      <c r="A1436">
        <v>14</v>
      </c>
      <c r="B1436">
        <v>0</v>
      </c>
      <c r="C1436">
        <v>365</v>
      </c>
    </row>
    <row r="1437" spans="1:3" x14ac:dyDescent="0.25">
      <c r="A1437">
        <v>12</v>
      </c>
      <c r="B1437">
        <v>0</v>
      </c>
      <c r="C1437">
        <v>365</v>
      </c>
    </row>
    <row r="1438" spans="1:3" x14ac:dyDescent="0.25">
      <c r="A1438">
        <v>11</v>
      </c>
      <c r="B1438">
        <v>0</v>
      </c>
      <c r="C1438">
        <v>365</v>
      </c>
    </row>
    <row r="1439" spans="1:3" x14ac:dyDescent="0.25">
      <c r="A1439">
        <v>12</v>
      </c>
      <c r="B1439">
        <v>0</v>
      </c>
      <c r="C1439">
        <v>365</v>
      </c>
    </row>
    <row r="1440" spans="1:3" x14ac:dyDescent="0.25">
      <c r="A1440">
        <v>15</v>
      </c>
      <c r="B1440">
        <v>0</v>
      </c>
      <c r="C1440">
        <v>365</v>
      </c>
    </row>
    <row r="1441" spans="1:3" x14ac:dyDescent="0.25">
      <c r="A1441">
        <v>12</v>
      </c>
      <c r="B1441">
        <v>0</v>
      </c>
      <c r="C1441">
        <v>365</v>
      </c>
    </row>
    <row r="1442" spans="1:3" x14ac:dyDescent="0.25">
      <c r="A1442">
        <v>12</v>
      </c>
      <c r="B1442">
        <v>0</v>
      </c>
      <c r="C1442">
        <v>365</v>
      </c>
    </row>
    <row r="1443" spans="1:3" x14ac:dyDescent="0.25">
      <c r="A1443">
        <v>12</v>
      </c>
      <c r="B1443">
        <v>0</v>
      </c>
      <c r="C1443">
        <v>365</v>
      </c>
    </row>
    <row r="1444" spans="1:3" x14ac:dyDescent="0.25">
      <c r="A1444">
        <v>12</v>
      </c>
      <c r="B1444">
        <v>0</v>
      </c>
      <c r="C1444">
        <v>329</v>
      </c>
    </row>
    <row r="1445" spans="1:3" x14ac:dyDescent="0.25">
      <c r="A1445">
        <v>16</v>
      </c>
      <c r="B1445">
        <v>0</v>
      </c>
      <c r="C1445">
        <v>329</v>
      </c>
    </row>
    <row r="1446" spans="1:3" x14ac:dyDescent="0.25">
      <c r="A1446">
        <v>11</v>
      </c>
      <c r="B1446">
        <v>0</v>
      </c>
      <c r="C1446">
        <v>329</v>
      </c>
    </row>
    <row r="1447" spans="1:3" x14ac:dyDescent="0.25">
      <c r="A1447">
        <v>11</v>
      </c>
      <c r="B1447">
        <v>0</v>
      </c>
      <c r="C1447">
        <v>329</v>
      </c>
    </row>
    <row r="1448" spans="1:3" x14ac:dyDescent="0.25">
      <c r="A1448">
        <v>11</v>
      </c>
      <c r="B1448">
        <v>0</v>
      </c>
      <c r="C1448">
        <v>329</v>
      </c>
    </row>
    <row r="1449" spans="1:3" x14ac:dyDescent="0.25">
      <c r="A1449">
        <v>12</v>
      </c>
      <c r="B1449">
        <v>0</v>
      </c>
      <c r="C1449">
        <v>329</v>
      </c>
    </row>
    <row r="1450" spans="1:3" x14ac:dyDescent="0.25">
      <c r="A1450">
        <v>14</v>
      </c>
      <c r="B1450">
        <v>0</v>
      </c>
      <c r="C1450">
        <v>329</v>
      </c>
    </row>
    <row r="1451" spans="1:3" x14ac:dyDescent="0.25">
      <c r="A1451">
        <v>13</v>
      </c>
      <c r="B1451">
        <v>0</v>
      </c>
      <c r="C1451">
        <v>329</v>
      </c>
    </row>
    <row r="1452" spans="1:3" x14ac:dyDescent="0.25">
      <c r="A1452">
        <v>12</v>
      </c>
      <c r="B1452">
        <v>0</v>
      </c>
      <c r="C1452">
        <v>342</v>
      </c>
    </row>
    <row r="1453" spans="1:3" x14ac:dyDescent="0.25">
      <c r="A1453">
        <v>13</v>
      </c>
      <c r="B1453">
        <v>0</v>
      </c>
      <c r="C1453">
        <v>342</v>
      </c>
    </row>
    <row r="1454" spans="1:3" x14ac:dyDescent="0.25">
      <c r="A1454">
        <v>13</v>
      </c>
      <c r="B1454">
        <v>0</v>
      </c>
      <c r="C1454">
        <v>342</v>
      </c>
    </row>
    <row r="1455" spans="1:3" x14ac:dyDescent="0.25">
      <c r="A1455">
        <v>12</v>
      </c>
      <c r="B1455">
        <v>0</v>
      </c>
      <c r="C1455">
        <v>342</v>
      </c>
    </row>
    <row r="1456" spans="1:3" x14ac:dyDescent="0.25">
      <c r="A1456">
        <v>11</v>
      </c>
      <c r="B1456">
        <v>0</v>
      </c>
      <c r="C1456">
        <v>342</v>
      </c>
    </row>
    <row r="1457" spans="1:3" x14ac:dyDescent="0.25">
      <c r="A1457">
        <v>15</v>
      </c>
      <c r="B1457">
        <v>0</v>
      </c>
      <c r="C1457">
        <v>342</v>
      </c>
    </row>
    <row r="1458" spans="1:3" x14ac:dyDescent="0.25">
      <c r="A1458">
        <v>12</v>
      </c>
      <c r="B1458">
        <v>0</v>
      </c>
      <c r="C1458">
        <v>342</v>
      </c>
    </row>
    <row r="1459" spans="1:3" x14ac:dyDescent="0.25">
      <c r="A1459">
        <v>12</v>
      </c>
      <c r="B1459">
        <v>0</v>
      </c>
      <c r="C1459">
        <v>342</v>
      </c>
    </row>
    <row r="1460" spans="1:3" x14ac:dyDescent="0.25">
      <c r="A1460">
        <v>13</v>
      </c>
      <c r="B1460">
        <v>0</v>
      </c>
      <c r="C1460">
        <v>360</v>
      </c>
    </row>
    <row r="1461" spans="1:3" x14ac:dyDescent="0.25">
      <c r="A1461">
        <v>12</v>
      </c>
      <c r="B1461">
        <v>0</v>
      </c>
      <c r="C1461">
        <v>360</v>
      </c>
    </row>
    <row r="1462" spans="1:3" x14ac:dyDescent="0.25">
      <c r="A1462">
        <v>12</v>
      </c>
      <c r="B1462">
        <v>0</v>
      </c>
      <c r="C1462">
        <v>360</v>
      </c>
    </row>
    <row r="1463" spans="1:3" x14ac:dyDescent="0.25">
      <c r="A1463">
        <v>12</v>
      </c>
      <c r="B1463">
        <v>0</v>
      </c>
      <c r="C1463">
        <v>360</v>
      </c>
    </row>
    <row r="1464" spans="1:3" x14ac:dyDescent="0.25">
      <c r="A1464">
        <v>12</v>
      </c>
      <c r="B1464">
        <v>0</v>
      </c>
      <c r="C1464">
        <v>360</v>
      </c>
    </row>
    <row r="1465" spans="1:3" x14ac:dyDescent="0.25">
      <c r="A1465">
        <v>12</v>
      </c>
      <c r="B1465">
        <v>0</v>
      </c>
      <c r="C1465">
        <v>360</v>
      </c>
    </row>
    <row r="1466" spans="1:3" x14ac:dyDescent="0.25">
      <c r="A1466">
        <v>13</v>
      </c>
      <c r="B1466">
        <v>0</v>
      </c>
      <c r="C1466">
        <v>360</v>
      </c>
    </row>
    <row r="1467" spans="1:3" x14ac:dyDescent="0.25">
      <c r="A1467">
        <v>14</v>
      </c>
      <c r="B1467">
        <v>0</v>
      </c>
      <c r="C1467">
        <v>360</v>
      </c>
    </row>
    <row r="1468" spans="1:3" x14ac:dyDescent="0.25">
      <c r="A1468">
        <v>13</v>
      </c>
      <c r="B1468">
        <v>0</v>
      </c>
      <c r="C1468">
        <v>407</v>
      </c>
    </row>
    <row r="1469" spans="1:3" x14ac:dyDescent="0.25">
      <c r="A1469">
        <v>12</v>
      </c>
      <c r="B1469">
        <v>0</v>
      </c>
      <c r="C1469">
        <v>407</v>
      </c>
    </row>
    <row r="1470" spans="1:3" x14ac:dyDescent="0.25">
      <c r="A1470">
        <v>13</v>
      </c>
      <c r="B1470">
        <v>0</v>
      </c>
      <c r="C1470">
        <v>407</v>
      </c>
    </row>
    <row r="1471" spans="1:3" x14ac:dyDescent="0.25">
      <c r="A1471">
        <v>14</v>
      </c>
      <c r="B1471">
        <v>0</v>
      </c>
      <c r="C1471">
        <v>407</v>
      </c>
    </row>
    <row r="1472" spans="1:3" x14ac:dyDescent="0.25">
      <c r="A1472">
        <v>13</v>
      </c>
      <c r="B1472">
        <v>0</v>
      </c>
      <c r="C1472">
        <v>407</v>
      </c>
    </row>
    <row r="1473" spans="1:3" x14ac:dyDescent="0.25">
      <c r="A1473">
        <v>12</v>
      </c>
      <c r="B1473">
        <v>0</v>
      </c>
      <c r="C1473">
        <v>407</v>
      </c>
    </row>
    <row r="1474" spans="1:3" x14ac:dyDescent="0.25">
      <c r="A1474">
        <v>13</v>
      </c>
      <c r="B1474">
        <v>0</v>
      </c>
      <c r="C1474">
        <v>407</v>
      </c>
    </row>
    <row r="1475" spans="1:3" x14ac:dyDescent="0.25">
      <c r="A1475">
        <v>13</v>
      </c>
      <c r="B1475">
        <v>0</v>
      </c>
      <c r="C1475">
        <v>407</v>
      </c>
    </row>
    <row r="1476" spans="1:3" x14ac:dyDescent="0.25">
      <c r="A1476">
        <v>11</v>
      </c>
      <c r="B1476">
        <v>0</v>
      </c>
      <c r="C1476">
        <v>285</v>
      </c>
    </row>
    <row r="1477" spans="1:3" x14ac:dyDescent="0.25">
      <c r="A1477">
        <v>11</v>
      </c>
      <c r="B1477">
        <v>0</v>
      </c>
      <c r="C1477">
        <v>285</v>
      </c>
    </row>
    <row r="1478" spans="1:3" x14ac:dyDescent="0.25">
      <c r="A1478">
        <v>12</v>
      </c>
      <c r="B1478">
        <v>0</v>
      </c>
      <c r="C1478">
        <v>285</v>
      </c>
    </row>
    <row r="1479" spans="1:3" x14ac:dyDescent="0.25">
      <c r="A1479">
        <v>12</v>
      </c>
      <c r="B1479">
        <v>0</v>
      </c>
      <c r="C1479">
        <v>285</v>
      </c>
    </row>
    <row r="1480" spans="1:3" x14ac:dyDescent="0.25">
      <c r="A1480">
        <v>12</v>
      </c>
      <c r="B1480">
        <v>0</v>
      </c>
      <c r="C1480">
        <v>285</v>
      </c>
    </row>
    <row r="1481" spans="1:3" x14ac:dyDescent="0.25">
      <c r="A1481">
        <v>13</v>
      </c>
      <c r="B1481">
        <v>0</v>
      </c>
      <c r="C1481">
        <v>285</v>
      </c>
    </row>
    <row r="1482" spans="1:3" x14ac:dyDescent="0.25">
      <c r="A1482">
        <v>14</v>
      </c>
      <c r="B1482">
        <v>0</v>
      </c>
      <c r="C1482">
        <v>285</v>
      </c>
    </row>
    <row r="1483" spans="1:3" x14ac:dyDescent="0.25">
      <c r="A1483">
        <v>15</v>
      </c>
      <c r="B1483">
        <v>0</v>
      </c>
      <c r="C1483">
        <v>285</v>
      </c>
    </row>
    <row r="1484" spans="1:3" x14ac:dyDescent="0.25">
      <c r="A1484">
        <v>12</v>
      </c>
      <c r="B1484">
        <v>0</v>
      </c>
      <c r="C1484">
        <v>366</v>
      </c>
    </row>
    <row r="1485" spans="1:3" x14ac:dyDescent="0.25">
      <c r="A1485">
        <v>13</v>
      </c>
      <c r="B1485">
        <v>0</v>
      </c>
      <c r="C1485">
        <v>366</v>
      </c>
    </row>
    <row r="1486" spans="1:3" x14ac:dyDescent="0.25">
      <c r="A1486">
        <v>13</v>
      </c>
      <c r="B1486">
        <v>0</v>
      </c>
      <c r="C1486">
        <v>366</v>
      </c>
    </row>
    <row r="1487" spans="1:3" x14ac:dyDescent="0.25">
      <c r="A1487">
        <v>12</v>
      </c>
      <c r="B1487">
        <v>0</v>
      </c>
      <c r="C1487">
        <v>366</v>
      </c>
    </row>
    <row r="1488" spans="1:3" x14ac:dyDescent="0.25">
      <c r="A1488">
        <v>13</v>
      </c>
      <c r="B1488">
        <v>0</v>
      </c>
      <c r="C1488">
        <v>366</v>
      </c>
    </row>
    <row r="1489" spans="1:3" x14ac:dyDescent="0.25">
      <c r="A1489">
        <v>13</v>
      </c>
      <c r="B1489">
        <v>0</v>
      </c>
      <c r="C1489">
        <v>366</v>
      </c>
    </row>
    <row r="1490" spans="1:3" x14ac:dyDescent="0.25">
      <c r="A1490">
        <v>12</v>
      </c>
      <c r="B1490">
        <v>0</v>
      </c>
      <c r="C1490">
        <v>366</v>
      </c>
    </row>
    <row r="1491" spans="1:3" x14ac:dyDescent="0.25">
      <c r="A1491">
        <v>12</v>
      </c>
      <c r="B1491">
        <v>0</v>
      </c>
      <c r="C1491">
        <v>366</v>
      </c>
    </row>
    <row r="1492" spans="1:3" x14ac:dyDescent="0.25">
      <c r="A1492">
        <v>12</v>
      </c>
      <c r="B1492">
        <v>0</v>
      </c>
      <c r="C1492">
        <v>321</v>
      </c>
    </row>
    <row r="1493" spans="1:3" x14ac:dyDescent="0.25">
      <c r="A1493">
        <v>11</v>
      </c>
      <c r="B1493">
        <v>0</v>
      </c>
      <c r="C1493">
        <v>321</v>
      </c>
    </row>
    <row r="1494" spans="1:3" x14ac:dyDescent="0.25">
      <c r="A1494">
        <v>12</v>
      </c>
      <c r="B1494">
        <v>0</v>
      </c>
      <c r="C1494">
        <v>321</v>
      </c>
    </row>
    <row r="1495" spans="1:3" x14ac:dyDescent="0.25">
      <c r="A1495">
        <v>11</v>
      </c>
      <c r="B1495">
        <v>0</v>
      </c>
      <c r="C1495">
        <v>321</v>
      </c>
    </row>
    <row r="1496" spans="1:3" x14ac:dyDescent="0.25">
      <c r="A1496">
        <v>11</v>
      </c>
      <c r="B1496">
        <v>0</v>
      </c>
      <c r="C1496">
        <v>321</v>
      </c>
    </row>
    <row r="1497" spans="1:3" x14ac:dyDescent="0.25">
      <c r="A1497">
        <v>11</v>
      </c>
      <c r="B1497">
        <v>0</v>
      </c>
      <c r="C1497">
        <v>321</v>
      </c>
    </row>
    <row r="1498" spans="1:3" x14ac:dyDescent="0.25">
      <c r="A1498">
        <v>16</v>
      </c>
      <c r="B1498">
        <v>0</v>
      </c>
      <c r="C1498">
        <v>321</v>
      </c>
    </row>
    <row r="1499" spans="1:3" x14ac:dyDescent="0.25">
      <c r="A1499">
        <v>12</v>
      </c>
      <c r="B1499">
        <v>0</v>
      </c>
      <c r="C1499">
        <v>321</v>
      </c>
    </row>
    <row r="1500" spans="1:3" x14ac:dyDescent="0.25">
      <c r="A1500">
        <v>13</v>
      </c>
      <c r="B1500">
        <v>0</v>
      </c>
      <c r="C1500">
        <v>307</v>
      </c>
    </row>
    <row r="1501" spans="1:3" x14ac:dyDescent="0.25">
      <c r="A1501">
        <v>12</v>
      </c>
      <c r="B1501">
        <v>0</v>
      </c>
      <c r="C1501">
        <v>307</v>
      </c>
    </row>
    <row r="1502" spans="1:3" x14ac:dyDescent="0.25">
      <c r="A1502">
        <v>13</v>
      </c>
      <c r="B1502">
        <v>0</v>
      </c>
      <c r="C1502">
        <v>307</v>
      </c>
    </row>
    <row r="1503" spans="1:3" x14ac:dyDescent="0.25">
      <c r="A1503">
        <v>12</v>
      </c>
      <c r="B1503">
        <v>0</v>
      </c>
      <c r="C1503">
        <v>307</v>
      </c>
    </row>
    <row r="1504" spans="1:3" x14ac:dyDescent="0.25">
      <c r="A1504">
        <v>12</v>
      </c>
      <c r="B1504">
        <v>0</v>
      </c>
      <c r="C1504">
        <v>307</v>
      </c>
    </row>
    <row r="1505" spans="1:3" x14ac:dyDescent="0.25">
      <c r="A1505">
        <v>15</v>
      </c>
      <c r="B1505">
        <v>0</v>
      </c>
      <c r="C1505">
        <v>307</v>
      </c>
    </row>
    <row r="1506" spans="1:3" x14ac:dyDescent="0.25">
      <c r="A1506">
        <v>12</v>
      </c>
      <c r="B1506">
        <v>0</v>
      </c>
      <c r="C1506">
        <v>307</v>
      </c>
    </row>
    <row r="1507" spans="1:3" x14ac:dyDescent="0.25">
      <c r="A1507">
        <v>12</v>
      </c>
      <c r="B1507">
        <v>0</v>
      </c>
      <c r="C1507">
        <v>307</v>
      </c>
    </row>
    <row r="1508" spans="1:3" x14ac:dyDescent="0.25">
      <c r="A1508">
        <v>14</v>
      </c>
      <c r="B1508">
        <v>0</v>
      </c>
      <c r="C1508">
        <v>354</v>
      </c>
    </row>
    <row r="1509" spans="1:3" x14ac:dyDescent="0.25">
      <c r="A1509">
        <v>12</v>
      </c>
      <c r="B1509">
        <v>0</v>
      </c>
      <c r="C1509">
        <v>354</v>
      </c>
    </row>
    <row r="1510" spans="1:3" x14ac:dyDescent="0.25">
      <c r="A1510">
        <v>11</v>
      </c>
      <c r="B1510">
        <v>0</v>
      </c>
      <c r="C1510">
        <v>354</v>
      </c>
    </row>
    <row r="1511" spans="1:3" x14ac:dyDescent="0.25">
      <c r="A1511">
        <v>13</v>
      </c>
      <c r="B1511">
        <v>0</v>
      </c>
      <c r="C1511">
        <v>354</v>
      </c>
    </row>
    <row r="1512" spans="1:3" x14ac:dyDescent="0.25">
      <c r="A1512">
        <v>14</v>
      </c>
      <c r="B1512">
        <v>0</v>
      </c>
      <c r="C1512">
        <v>354</v>
      </c>
    </row>
    <row r="1513" spans="1:3" x14ac:dyDescent="0.25">
      <c r="A1513">
        <v>15</v>
      </c>
      <c r="B1513">
        <v>0</v>
      </c>
      <c r="C1513">
        <v>354</v>
      </c>
    </row>
    <row r="1514" spans="1:3" x14ac:dyDescent="0.25">
      <c r="A1514">
        <v>12</v>
      </c>
      <c r="B1514">
        <v>0</v>
      </c>
      <c r="C1514">
        <v>354</v>
      </c>
    </row>
    <row r="1515" spans="1:3" x14ac:dyDescent="0.25">
      <c r="A1515">
        <v>12</v>
      </c>
      <c r="B1515">
        <v>0</v>
      </c>
      <c r="C1515">
        <v>354</v>
      </c>
    </row>
    <row r="1516" spans="1:3" x14ac:dyDescent="0.25">
      <c r="A1516">
        <v>12</v>
      </c>
      <c r="B1516">
        <v>0</v>
      </c>
      <c r="C1516">
        <v>322</v>
      </c>
    </row>
    <row r="1517" spans="1:3" x14ac:dyDescent="0.25">
      <c r="A1517">
        <v>14</v>
      </c>
      <c r="B1517">
        <v>0</v>
      </c>
      <c r="C1517">
        <v>322</v>
      </c>
    </row>
    <row r="1518" spans="1:3" x14ac:dyDescent="0.25">
      <c r="A1518">
        <v>13</v>
      </c>
      <c r="B1518">
        <v>0</v>
      </c>
      <c r="C1518">
        <v>322</v>
      </c>
    </row>
    <row r="1519" spans="1:3" x14ac:dyDescent="0.25">
      <c r="A1519">
        <v>12</v>
      </c>
      <c r="B1519">
        <v>0</v>
      </c>
      <c r="C1519">
        <v>322</v>
      </c>
    </row>
    <row r="1520" spans="1:3" x14ac:dyDescent="0.25">
      <c r="A1520">
        <v>12</v>
      </c>
      <c r="B1520">
        <v>0</v>
      </c>
      <c r="C1520">
        <v>322</v>
      </c>
    </row>
    <row r="1521" spans="1:3" x14ac:dyDescent="0.25">
      <c r="A1521">
        <v>12</v>
      </c>
      <c r="B1521">
        <v>0</v>
      </c>
      <c r="C1521">
        <v>322</v>
      </c>
    </row>
    <row r="1522" spans="1:3" x14ac:dyDescent="0.25">
      <c r="A1522">
        <v>11</v>
      </c>
      <c r="B1522">
        <v>0</v>
      </c>
      <c r="C1522">
        <v>322</v>
      </c>
    </row>
    <row r="1523" spans="1:3" x14ac:dyDescent="0.25">
      <c r="A1523">
        <v>11</v>
      </c>
      <c r="B1523">
        <v>0</v>
      </c>
      <c r="C1523">
        <v>322</v>
      </c>
    </row>
    <row r="1524" spans="1:3" x14ac:dyDescent="0.25">
      <c r="A1524">
        <v>11</v>
      </c>
      <c r="B1524">
        <v>0</v>
      </c>
      <c r="C1524">
        <v>360</v>
      </c>
    </row>
    <row r="1525" spans="1:3" x14ac:dyDescent="0.25">
      <c r="A1525">
        <v>12</v>
      </c>
      <c r="B1525">
        <v>0</v>
      </c>
      <c r="C1525">
        <v>360</v>
      </c>
    </row>
    <row r="1526" spans="1:3" x14ac:dyDescent="0.25">
      <c r="A1526">
        <v>12</v>
      </c>
      <c r="B1526">
        <v>0</v>
      </c>
      <c r="C1526">
        <v>360</v>
      </c>
    </row>
    <row r="1527" spans="1:3" x14ac:dyDescent="0.25">
      <c r="A1527">
        <v>12</v>
      </c>
      <c r="B1527">
        <v>0</v>
      </c>
      <c r="C1527">
        <v>360</v>
      </c>
    </row>
    <row r="1528" spans="1:3" x14ac:dyDescent="0.25">
      <c r="A1528">
        <v>11</v>
      </c>
      <c r="B1528">
        <v>0</v>
      </c>
      <c r="C1528">
        <v>360</v>
      </c>
    </row>
    <row r="1529" spans="1:3" x14ac:dyDescent="0.25">
      <c r="A1529">
        <v>14</v>
      </c>
      <c r="B1529">
        <v>0</v>
      </c>
      <c r="C1529">
        <v>360</v>
      </c>
    </row>
    <row r="1530" spans="1:3" x14ac:dyDescent="0.25">
      <c r="A1530">
        <v>13</v>
      </c>
      <c r="B1530">
        <v>0</v>
      </c>
      <c r="C1530">
        <v>360</v>
      </c>
    </row>
    <row r="1531" spans="1:3" x14ac:dyDescent="0.25">
      <c r="A1531">
        <v>12</v>
      </c>
      <c r="B1531">
        <v>0</v>
      </c>
      <c r="C1531">
        <v>360</v>
      </c>
    </row>
    <row r="1532" spans="1:3" x14ac:dyDescent="0.25">
      <c r="A1532">
        <v>11</v>
      </c>
      <c r="B1532">
        <v>0</v>
      </c>
      <c r="C1532">
        <v>388</v>
      </c>
    </row>
    <row r="1533" spans="1:3" x14ac:dyDescent="0.25">
      <c r="A1533">
        <v>12</v>
      </c>
      <c r="B1533">
        <v>0</v>
      </c>
      <c r="C1533">
        <v>388</v>
      </c>
    </row>
    <row r="1534" spans="1:3" x14ac:dyDescent="0.25">
      <c r="A1534">
        <v>12</v>
      </c>
      <c r="B1534">
        <v>0</v>
      </c>
      <c r="C1534">
        <v>388</v>
      </c>
    </row>
    <row r="1535" spans="1:3" x14ac:dyDescent="0.25">
      <c r="A1535">
        <v>12</v>
      </c>
      <c r="B1535">
        <v>0</v>
      </c>
      <c r="C1535">
        <v>388</v>
      </c>
    </row>
    <row r="1536" spans="1:3" x14ac:dyDescent="0.25">
      <c r="A1536">
        <v>12</v>
      </c>
      <c r="B1536">
        <v>0</v>
      </c>
      <c r="C1536">
        <v>388</v>
      </c>
    </row>
    <row r="1537" spans="1:3" x14ac:dyDescent="0.25">
      <c r="A1537">
        <v>12</v>
      </c>
      <c r="B1537">
        <v>0</v>
      </c>
      <c r="C1537">
        <v>388</v>
      </c>
    </row>
    <row r="1538" spans="1:3" x14ac:dyDescent="0.25">
      <c r="A1538">
        <v>11</v>
      </c>
      <c r="B1538">
        <v>0</v>
      </c>
      <c r="C1538">
        <v>388</v>
      </c>
    </row>
    <row r="1539" spans="1:3" x14ac:dyDescent="0.25">
      <c r="A1539">
        <v>12</v>
      </c>
      <c r="B1539">
        <v>0</v>
      </c>
      <c r="C1539">
        <v>388</v>
      </c>
    </row>
    <row r="1540" spans="1:3" x14ac:dyDescent="0.25">
      <c r="A1540">
        <v>11</v>
      </c>
      <c r="B1540">
        <v>0</v>
      </c>
      <c r="C1540">
        <v>325</v>
      </c>
    </row>
    <row r="1541" spans="1:3" x14ac:dyDescent="0.25">
      <c r="A1541">
        <v>13</v>
      </c>
      <c r="B1541">
        <v>0</v>
      </c>
      <c r="C1541">
        <v>325</v>
      </c>
    </row>
    <row r="1542" spans="1:3" x14ac:dyDescent="0.25">
      <c r="A1542">
        <v>12</v>
      </c>
      <c r="B1542">
        <v>0</v>
      </c>
      <c r="C1542">
        <v>325</v>
      </c>
    </row>
    <row r="1543" spans="1:3" x14ac:dyDescent="0.25">
      <c r="A1543">
        <v>14</v>
      </c>
      <c r="B1543">
        <v>0</v>
      </c>
      <c r="C1543">
        <v>325</v>
      </c>
    </row>
    <row r="1544" spans="1:3" x14ac:dyDescent="0.25">
      <c r="A1544">
        <v>12</v>
      </c>
      <c r="B1544">
        <v>0</v>
      </c>
      <c r="C1544">
        <v>325</v>
      </c>
    </row>
    <row r="1545" spans="1:3" x14ac:dyDescent="0.25">
      <c r="A1545">
        <v>12</v>
      </c>
      <c r="B1545">
        <v>0</v>
      </c>
      <c r="C1545">
        <v>325</v>
      </c>
    </row>
    <row r="1546" spans="1:3" x14ac:dyDescent="0.25">
      <c r="A1546">
        <v>14</v>
      </c>
      <c r="B1546">
        <v>0</v>
      </c>
      <c r="C1546">
        <v>325</v>
      </c>
    </row>
    <row r="1547" spans="1:3" x14ac:dyDescent="0.25">
      <c r="A1547">
        <v>11</v>
      </c>
      <c r="B1547">
        <v>0</v>
      </c>
      <c r="C1547">
        <v>325</v>
      </c>
    </row>
    <row r="1548" spans="1:3" x14ac:dyDescent="0.25">
      <c r="A1548">
        <v>12</v>
      </c>
      <c r="B1548">
        <v>0</v>
      </c>
      <c r="C1548">
        <v>278</v>
      </c>
    </row>
    <row r="1549" spans="1:3" x14ac:dyDescent="0.25">
      <c r="A1549">
        <v>11</v>
      </c>
      <c r="B1549">
        <v>0</v>
      </c>
      <c r="C1549">
        <v>278</v>
      </c>
    </row>
    <row r="1550" spans="1:3" x14ac:dyDescent="0.25">
      <c r="A1550">
        <v>11</v>
      </c>
      <c r="B1550">
        <v>0</v>
      </c>
      <c r="C1550">
        <v>278</v>
      </c>
    </row>
    <row r="1551" spans="1:3" x14ac:dyDescent="0.25">
      <c r="A1551">
        <v>14</v>
      </c>
      <c r="B1551">
        <v>0</v>
      </c>
      <c r="C1551">
        <v>278</v>
      </c>
    </row>
    <row r="1552" spans="1:3" x14ac:dyDescent="0.25">
      <c r="A1552">
        <v>12</v>
      </c>
      <c r="B1552">
        <v>0</v>
      </c>
      <c r="C1552">
        <v>278</v>
      </c>
    </row>
    <row r="1553" spans="1:3" x14ac:dyDescent="0.25">
      <c r="A1553">
        <v>11</v>
      </c>
      <c r="B1553">
        <v>0</v>
      </c>
      <c r="C1553">
        <v>278</v>
      </c>
    </row>
    <row r="1554" spans="1:3" x14ac:dyDescent="0.25">
      <c r="A1554">
        <v>11</v>
      </c>
      <c r="B1554">
        <v>0</v>
      </c>
      <c r="C1554">
        <v>278</v>
      </c>
    </row>
    <row r="1555" spans="1:3" x14ac:dyDescent="0.25">
      <c r="A1555">
        <v>14</v>
      </c>
      <c r="B1555">
        <v>0</v>
      </c>
      <c r="C1555">
        <v>278</v>
      </c>
    </row>
    <row r="1556" spans="1:3" x14ac:dyDescent="0.25">
      <c r="A1556">
        <v>17</v>
      </c>
      <c r="B1556">
        <v>0</v>
      </c>
      <c r="C1556">
        <v>339</v>
      </c>
    </row>
    <row r="1557" spans="1:3" x14ac:dyDescent="0.25">
      <c r="A1557">
        <v>11</v>
      </c>
      <c r="B1557">
        <v>0</v>
      </c>
      <c r="C1557">
        <v>339</v>
      </c>
    </row>
    <row r="1558" spans="1:3" x14ac:dyDescent="0.25">
      <c r="A1558">
        <v>14</v>
      </c>
      <c r="B1558">
        <v>0</v>
      </c>
      <c r="C1558">
        <v>339</v>
      </c>
    </row>
    <row r="1559" spans="1:3" x14ac:dyDescent="0.25">
      <c r="A1559">
        <v>13</v>
      </c>
      <c r="B1559">
        <v>0</v>
      </c>
      <c r="C1559">
        <v>339</v>
      </c>
    </row>
    <row r="1560" spans="1:3" x14ac:dyDescent="0.25">
      <c r="A1560">
        <v>12</v>
      </c>
      <c r="B1560">
        <v>0</v>
      </c>
      <c r="C1560">
        <v>339</v>
      </c>
    </row>
    <row r="1561" spans="1:3" x14ac:dyDescent="0.25">
      <c r="A1561">
        <v>11</v>
      </c>
      <c r="B1561">
        <v>0</v>
      </c>
      <c r="C1561">
        <v>339</v>
      </c>
    </row>
    <row r="1562" spans="1:3" x14ac:dyDescent="0.25">
      <c r="A1562">
        <v>12</v>
      </c>
      <c r="B1562">
        <v>0</v>
      </c>
      <c r="C1562">
        <v>339</v>
      </c>
    </row>
    <row r="1563" spans="1:3" x14ac:dyDescent="0.25">
      <c r="A1563">
        <v>13</v>
      </c>
      <c r="B1563">
        <v>0</v>
      </c>
      <c r="C1563">
        <v>339</v>
      </c>
    </row>
    <row r="1564" spans="1:3" x14ac:dyDescent="0.25">
      <c r="A1564">
        <v>12</v>
      </c>
      <c r="B1564">
        <v>0</v>
      </c>
      <c r="C1564">
        <v>411</v>
      </c>
    </row>
    <row r="1565" spans="1:3" x14ac:dyDescent="0.25">
      <c r="A1565">
        <v>16</v>
      </c>
      <c r="B1565">
        <v>0</v>
      </c>
      <c r="C1565">
        <v>411</v>
      </c>
    </row>
    <row r="1566" spans="1:3" x14ac:dyDescent="0.25">
      <c r="A1566">
        <v>13</v>
      </c>
      <c r="B1566">
        <v>0</v>
      </c>
      <c r="C1566">
        <v>411</v>
      </c>
    </row>
    <row r="1567" spans="1:3" x14ac:dyDescent="0.25">
      <c r="A1567">
        <v>13</v>
      </c>
      <c r="B1567">
        <v>0</v>
      </c>
      <c r="C1567">
        <v>411</v>
      </c>
    </row>
    <row r="1568" spans="1:3" x14ac:dyDescent="0.25">
      <c r="A1568">
        <v>12</v>
      </c>
      <c r="B1568">
        <v>0</v>
      </c>
      <c r="C1568">
        <v>411</v>
      </c>
    </row>
    <row r="1569" spans="1:3" x14ac:dyDescent="0.25">
      <c r="A1569">
        <v>12</v>
      </c>
      <c r="B1569">
        <v>0</v>
      </c>
      <c r="C1569">
        <v>411</v>
      </c>
    </row>
    <row r="1570" spans="1:3" x14ac:dyDescent="0.25">
      <c r="A1570">
        <v>12</v>
      </c>
      <c r="B1570">
        <v>0</v>
      </c>
      <c r="C1570">
        <v>411</v>
      </c>
    </row>
    <row r="1571" spans="1:3" x14ac:dyDescent="0.25">
      <c r="A1571">
        <v>13</v>
      </c>
      <c r="B1571">
        <v>0</v>
      </c>
      <c r="C1571">
        <v>411</v>
      </c>
    </row>
    <row r="1572" spans="1:3" x14ac:dyDescent="0.25">
      <c r="A1572">
        <v>12</v>
      </c>
      <c r="B1572">
        <v>0</v>
      </c>
      <c r="C1572">
        <v>315</v>
      </c>
    </row>
    <row r="1573" spans="1:3" x14ac:dyDescent="0.25">
      <c r="A1573">
        <v>13</v>
      </c>
      <c r="B1573">
        <v>0</v>
      </c>
      <c r="C1573">
        <v>315</v>
      </c>
    </row>
    <row r="1574" spans="1:3" x14ac:dyDescent="0.25">
      <c r="A1574">
        <v>12</v>
      </c>
      <c r="B1574">
        <v>0</v>
      </c>
      <c r="C1574">
        <v>315</v>
      </c>
    </row>
    <row r="1575" spans="1:3" x14ac:dyDescent="0.25">
      <c r="A1575">
        <v>13</v>
      </c>
      <c r="B1575">
        <v>0</v>
      </c>
      <c r="C1575">
        <v>315</v>
      </c>
    </row>
    <row r="1576" spans="1:3" x14ac:dyDescent="0.25">
      <c r="A1576">
        <v>12</v>
      </c>
      <c r="B1576">
        <v>0</v>
      </c>
      <c r="C1576">
        <v>315</v>
      </c>
    </row>
    <row r="1577" spans="1:3" x14ac:dyDescent="0.25">
      <c r="A1577">
        <v>13</v>
      </c>
      <c r="B1577">
        <v>0</v>
      </c>
      <c r="C1577">
        <v>315</v>
      </c>
    </row>
    <row r="1578" spans="1:3" x14ac:dyDescent="0.25">
      <c r="A1578">
        <v>12</v>
      </c>
      <c r="B1578">
        <v>0</v>
      </c>
      <c r="C1578">
        <v>315</v>
      </c>
    </row>
    <row r="1579" spans="1:3" x14ac:dyDescent="0.25">
      <c r="A1579">
        <v>13</v>
      </c>
      <c r="B1579">
        <v>0</v>
      </c>
      <c r="C1579">
        <v>315</v>
      </c>
    </row>
    <row r="1580" spans="1:3" x14ac:dyDescent="0.25">
      <c r="A1580">
        <v>13</v>
      </c>
      <c r="B1580">
        <v>0</v>
      </c>
      <c r="C1580">
        <v>345</v>
      </c>
    </row>
    <row r="1581" spans="1:3" x14ac:dyDescent="0.25">
      <c r="A1581">
        <v>15</v>
      </c>
      <c r="B1581">
        <v>0</v>
      </c>
      <c r="C1581">
        <v>345</v>
      </c>
    </row>
    <row r="1582" spans="1:3" x14ac:dyDescent="0.25">
      <c r="A1582">
        <v>10</v>
      </c>
      <c r="B1582">
        <v>0</v>
      </c>
      <c r="C1582">
        <v>345</v>
      </c>
    </row>
    <row r="1583" spans="1:3" x14ac:dyDescent="0.25">
      <c r="A1583">
        <v>12</v>
      </c>
      <c r="B1583">
        <v>0</v>
      </c>
      <c r="C1583">
        <v>345</v>
      </c>
    </row>
    <row r="1584" spans="1:3" x14ac:dyDescent="0.25">
      <c r="A1584">
        <v>11</v>
      </c>
      <c r="B1584">
        <v>0</v>
      </c>
      <c r="C1584">
        <v>345</v>
      </c>
    </row>
    <row r="1585" spans="1:3" x14ac:dyDescent="0.25">
      <c r="A1585">
        <v>12</v>
      </c>
      <c r="B1585">
        <v>0</v>
      </c>
      <c r="C1585">
        <v>345</v>
      </c>
    </row>
    <row r="1586" spans="1:3" x14ac:dyDescent="0.25">
      <c r="A1586">
        <v>12</v>
      </c>
      <c r="B1586">
        <v>0</v>
      </c>
      <c r="C1586">
        <v>345</v>
      </c>
    </row>
    <row r="1587" spans="1:3" x14ac:dyDescent="0.25">
      <c r="A1587">
        <v>13</v>
      </c>
      <c r="B1587">
        <v>0</v>
      </c>
      <c r="C1587">
        <v>345</v>
      </c>
    </row>
    <row r="1588" spans="1:3" x14ac:dyDescent="0.25">
      <c r="A1588">
        <v>12</v>
      </c>
      <c r="B1588">
        <v>0</v>
      </c>
      <c r="C1588">
        <v>408</v>
      </c>
    </row>
    <row r="1589" spans="1:3" x14ac:dyDescent="0.25">
      <c r="A1589">
        <v>12</v>
      </c>
      <c r="B1589">
        <v>0</v>
      </c>
      <c r="C1589">
        <v>408</v>
      </c>
    </row>
    <row r="1590" spans="1:3" x14ac:dyDescent="0.25">
      <c r="A1590">
        <v>12</v>
      </c>
      <c r="B1590">
        <v>0</v>
      </c>
      <c r="C1590">
        <v>408</v>
      </c>
    </row>
    <row r="1591" spans="1:3" x14ac:dyDescent="0.25">
      <c r="A1591">
        <v>13</v>
      </c>
      <c r="B1591">
        <v>0</v>
      </c>
      <c r="C1591">
        <v>408</v>
      </c>
    </row>
    <row r="1592" spans="1:3" x14ac:dyDescent="0.25">
      <c r="A1592">
        <v>11</v>
      </c>
      <c r="B1592">
        <v>0</v>
      </c>
      <c r="C1592">
        <v>408</v>
      </c>
    </row>
    <row r="1593" spans="1:3" x14ac:dyDescent="0.25">
      <c r="A1593">
        <v>12</v>
      </c>
      <c r="B1593">
        <v>0</v>
      </c>
      <c r="C1593">
        <v>408</v>
      </c>
    </row>
    <row r="1594" spans="1:3" x14ac:dyDescent="0.25">
      <c r="A1594">
        <v>11</v>
      </c>
      <c r="B1594">
        <v>0</v>
      </c>
      <c r="C1594">
        <v>408</v>
      </c>
    </row>
    <row r="1595" spans="1:3" x14ac:dyDescent="0.25">
      <c r="A1595">
        <v>13</v>
      </c>
      <c r="B1595">
        <v>0</v>
      </c>
      <c r="C1595">
        <v>408</v>
      </c>
    </row>
    <row r="1596" spans="1:3" x14ac:dyDescent="0.25">
      <c r="A1596">
        <v>12</v>
      </c>
      <c r="B1596">
        <v>0</v>
      </c>
      <c r="C1596">
        <v>319</v>
      </c>
    </row>
    <row r="1597" spans="1:3" x14ac:dyDescent="0.25">
      <c r="A1597">
        <v>12</v>
      </c>
      <c r="B1597">
        <v>0</v>
      </c>
      <c r="C1597">
        <v>319</v>
      </c>
    </row>
    <row r="1598" spans="1:3" x14ac:dyDescent="0.25">
      <c r="A1598">
        <v>12</v>
      </c>
      <c r="B1598">
        <v>0</v>
      </c>
      <c r="C1598">
        <v>319</v>
      </c>
    </row>
    <row r="1599" spans="1:3" x14ac:dyDescent="0.25">
      <c r="A1599">
        <v>12</v>
      </c>
      <c r="B1599">
        <v>0</v>
      </c>
      <c r="C1599">
        <v>319</v>
      </c>
    </row>
    <row r="1600" spans="1:3" x14ac:dyDescent="0.25">
      <c r="A1600">
        <v>11</v>
      </c>
      <c r="B1600">
        <v>0</v>
      </c>
      <c r="C1600">
        <v>319</v>
      </c>
    </row>
    <row r="1601" spans="1:3" x14ac:dyDescent="0.25">
      <c r="A1601">
        <v>12</v>
      </c>
      <c r="B1601">
        <v>0</v>
      </c>
      <c r="C1601">
        <v>319</v>
      </c>
    </row>
    <row r="1602" spans="1:3" x14ac:dyDescent="0.25">
      <c r="A1602">
        <v>40</v>
      </c>
      <c r="B1602">
        <v>0</v>
      </c>
      <c r="C1602">
        <v>173</v>
      </c>
    </row>
    <row r="1603" spans="1:3" x14ac:dyDescent="0.25">
      <c r="A1603">
        <v>13</v>
      </c>
      <c r="B1603">
        <v>0</v>
      </c>
      <c r="C1603">
        <v>173</v>
      </c>
    </row>
    <row r="1604" spans="1:3" x14ac:dyDescent="0.25">
      <c r="A1604">
        <v>13</v>
      </c>
      <c r="B1604">
        <v>0</v>
      </c>
      <c r="C1604">
        <v>173</v>
      </c>
    </row>
    <row r="1605" spans="1:3" x14ac:dyDescent="0.25">
      <c r="A1605">
        <v>15</v>
      </c>
      <c r="B1605">
        <v>0</v>
      </c>
      <c r="C1605">
        <v>173</v>
      </c>
    </row>
    <row r="1606" spans="1:3" x14ac:dyDescent="0.25">
      <c r="A1606">
        <v>12</v>
      </c>
      <c r="B1606">
        <v>0</v>
      </c>
      <c r="C1606">
        <v>173</v>
      </c>
    </row>
    <row r="1607" spans="1:3" x14ac:dyDescent="0.25">
      <c r="A1607">
        <v>13</v>
      </c>
      <c r="B1607">
        <v>0</v>
      </c>
      <c r="C1607">
        <v>173</v>
      </c>
    </row>
    <row r="1608" spans="1:3" x14ac:dyDescent="0.25">
      <c r="A1608">
        <v>12</v>
      </c>
      <c r="B1608">
        <v>0</v>
      </c>
      <c r="C1608">
        <v>173</v>
      </c>
    </row>
    <row r="1609" spans="1:3" x14ac:dyDescent="0.25">
      <c r="A1609">
        <v>21</v>
      </c>
      <c r="B1609">
        <v>0</v>
      </c>
      <c r="C1609">
        <v>173</v>
      </c>
    </row>
    <row r="1610" spans="1:3" x14ac:dyDescent="0.25">
      <c r="A1610">
        <v>17</v>
      </c>
      <c r="B1610">
        <v>0</v>
      </c>
      <c r="C1610">
        <v>387</v>
      </c>
    </row>
    <row r="1611" spans="1:3" x14ac:dyDescent="0.25">
      <c r="A1611">
        <v>13</v>
      </c>
      <c r="B1611">
        <v>0</v>
      </c>
      <c r="C1611">
        <v>387</v>
      </c>
    </row>
    <row r="1612" spans="1:3" x14ac:dyDescent="0.25">
      <c r="A1612">
        <v>12</v>
      </c>
      <c r="B1612">
        <v>0</v>
      </c>
      <c r="C1612">
        <v>387</v>
      </c>
    </row>
    <row r="1613" spans="1:3" x14ac:dyDescent="0.25">
      <c r="A1613">
        <v>12</v>
      </c>
      <c r="B1613">
        <v>0</v>
      </c>
      <c r="C1613">
        <v>387</v>
      </c>
    </row>
    <row r="1614" spans="1:3" x14ac:dyDescent="0.25">
      <c r="A1614">
        <v>13</v>
      </c>
      <c r="B1614">
        <v>0</v>
      </c>
      <c r="C1614">
        <v>387</v>
      </c>
    </row>
    <row r="1615" spans="1:3" x14ac:dyDescent="0.25">
      <c r="A1615">
        <v>13</v>
      </c>
      <c r="B1615">
        <v>0</v>
      </c>
      <c r="C1615">
        <v>387</v>
      </c>
    </row>
    <row r="1616" spans="1:3" x14ac:dyDescent="0.25">
      <c r="A1616">
        <v>16</v>
      </c>
      <c r="B1616">
        <v>0</v>
      </c>
      <c r="C1616">
        <v>387</v>
      </c>
    </row>
    <row r="1617" spans="1:3" x14ac:dyDescent="0.25">
      <c r="A1617">
        <v>14</v>
      </c>
      <c r="B1617">
        <v>0</v>
      </c>
      <c r="C1617">
        <v>387</v>
      </c>
    </row>
    <row r="1618" spans="1:3" x14ac:dyDescent="0.25">
      <c r="A1618">
        <v>15</v>
      </c>
      <c r="B1618">
        <v>0</v>
      </c>
      <c r="C1618">
        <v>356</v>
      </c>
    </row>
    <row r="1619" spans="1:3" x14ac:dyDescent="0.25">
      <c r="A1619">
        <v>13</v>
      </c>
      <c r="B1619">
        <v>0</v>
      </c>
      <c r="C1619">
        <v>356</v>
      </c>
    </row>
    <row r="1620" spans="1:3" x14ac:dyDescent="0.25">
      <c r="A1620">
        <v>11</v>
      </c>
      <c r="B1620">
        <v>0</v>
      </c>
      <c r="C1620">
        <v>356</v>
      </c>
    </row>
    <row r="1621" spans="1:3" x14ac:dyDescent="0.25">
      <c r="A1621">
        <v>14</v>
      </c>
      <c r="B1621">
        <v>0</v>
      </c>
      <c r="C1621">
        <v>356</v>
      </c>
    </row>
    <row r="1622" spans="1:3" x14ac:dyDescent="0.25">
      <c r="A1622">
        <v>12</v>
      </c>
      <c r="B1622">
        <v>0</v>
      </c>
      <c r="C1622">
        <v>356</v>
      </c>
    </row>
    <row r="1623" spans="1:3" x14ac:dyDescent="0.25">
      <c r="A1623">
        <v>17</v>
      </c>
      <c r="B1623">
        <v>0</v>
      </c>
      <c r="C1623">
        <v>356</v>
      </c>
    </row>
    <row r="1624" spans="1:3" x14ac:dyDescent="0.25">
      <c r="A1624">
        <v>12</v>
      </c>
      <c r="B1624">
        <v>0</v>
      </c>
      <c r="C1624">
        <v>356</v>
      </c>
    </row>
    <row r="1625" spans="1:3" x14ac:dyDescent="0.25">
      <c r="A1625">
        <v>13</v>
      </c>
      <c r="B1625">
        <v>0</v>
      </c>
      <c r="C1625">
        <v>356</v>
      </c>
    </row>
    <row r="1626" spans="1:3" x14ac:dyDescent="0.25">
      <c r="A1626">
        <v>12</v>
      </c>
      <c r="B1626">
        <v>0</v>
      </c>
      <c r="C1626">
        <v>385</v>
      </c>
    </row>
    <row r="1627" spans="1:3" x14ac:dyDescent="0.25">
      <c r="A1627">
        <v>13</v>
      </c>
      <c r="B1627">
        <v>0</v>
      </c>
      <c r="C1627">
        <v>385</v>
      </c>
    </row>
    <row r="1628" spans="1:3" x14ac:dyDescent="0.25">
      <c r="A1628">
        <v>12</v>
      </c>
      <c r="B1628">
        <v>0</v>
      </c>
      <c r="C1628">
        <v>385</v>
      </c>
    </row>
    <row r="1629" spans="1:3" x14ac:dyDescent="0.25">
      <c r="A1629">
        <v>12</v>
      </c>
      <c r="B1629">
        <v>0</v>
      </c>
      <c r="C1629">
        <v>385</v>
      </c>
    </row>
    <row r="1630" spans="1:3" x14ac:dyDescent="0.25">
      <c r="A1630">
        <v>12</v>
      </c>
      <c r="B1630">
        <v>0</v>
      </c>
      <c r="C1630">
        <v>385</v>
      </c>
    </row>
    <row r="1631" spans="1:3" x14ac:dyDescent="0.25">
      <c r="A1631">
        <v>12</v>
      </c>
      <c r="B1631">
        <v>0</v>
      </c>
      <c r="C1631">
        <v>385</v>
      </c>
    </row>
    <row r="1632" spans="1:3" x14ac:dyDescent="0.25">
      <c r="A1632">
        <v>12</v>
      </c>
      <c r="B1632">
        <v>0</v>
      </c>
      <c r="C1632">
        <v>385</v>
      </c>
    </row>
    <row r="1633" spans="1:3" x14ac:dyDescent="0.25">
      <c r="A1633">
        <v>13</v>
      </c>
      <c r="B1633">
        <v>0</v>
      </c>
      <c r="C1633">
        <v>385</v>
      </c>
    </row>
    <row r="1634" spans="1:3" x14ac:dyDescent="0.25">
      <c r="A1634">
        <v>12</v>
      </c>
      <c r="B1634">
        <v>0</v>
      </c>
      <c r="C1634">
        <v>360</v>
      </c>
    </row>
    <row r="1635" spans="1:3" x14ac:dyDescent="0.25">
      <c r="A1635">
        <v>12</v>
      </c>
      <c r="B1635">
        <v>0</v>
      </c>
      <c r="C1635">
        <v>360</v>
      </c>
    </row>
    <row r="1636" spans="1:3" x14ac:dyDescent="0.25">
      <c r="A1636">
        <v>12</v>
      </c>
      <c r="B1636">
        <v>0</v>
      </c>
      <c r="C1636">
        <v>360</v>
      </c>
    </row>
    <row r="1637" spans="1:3" x14ac:dyDescent="0.25">
      <c r="A1637">
        <v>16</v>
      </c>
      <c r="B1637">
        <v>0</v>
      </c>
      <c r="C1637">
        <v>360</v>
      </c>
    </row>
    <row r="1638" spans="1:3" x14ac:dyDescent="0.25">
      <c r="A1638">
        <v>12</v>
      </c>
      <c r="B1638">
        <v>0</v>
      </c>
      <c r="C1638">
        <v>360</v>
      </c>
    </row>
    <row r="1639" spans="1:3" x14ac:dyDescent="0.25">
      <c r="A1639">
        <v>13</v>
      </c>
      <c r="B1639">
        <v>0</v>
      </c>
      <c r="C1639">
        <v>360</v>
      </c>
    </row>
    <row r="1640" spans="1:3" x14ac:dyDescent="0.25">
      <c r="A1640">
        <v>13</v>
      </c>
      <c r="B1640">
        <v>0</v>
      </c>
      <c r="C1640">
        <v>360</v>
      </c>
    </row>
    <row r="1641" spans="1:3" x14ac:dyDescent="0.25">
      <c r="A1641">
        <v>12</v>
      </c>
      <c r="B1641">
        <v>0</v>
      </c>
      <c r="C1641">
        <v>360</v>
      </c>
    </row>
    <row r="1642" spans="1:3" x14ac:dyDescent="0.25">
      <c r="A1642">
        <v>11</v>
      </c>
      <c r="B1642">
        <v>0</v>
      </c>
      <c r="C1642">
        <v>308</v>
      </c>
    </row>
    <row r="1643" spans="1:3" x14ac:dyDescent="0.25">
      <c r="A1643">
        <v>12</v>
      </c>
      <c r="B1643">
        <v>0</v>
      </c>
      <c r="C1643">
        <v>308</v>
      </c>
    </row>
    <row r="1644" spans="1:3" x14ac:dyDescent="0.25">
      <c r="A1644">
        <v>14</v>
      </c>
      <c r="B1644">
        <v>0</v>
      </c>
      <c r="C1644">
        <v>308</v>
      </c>
    </row>
    <row r="1645" spans="1:3" x14ac:dyDescent="0.25">
      <c r="A1645">
        <v>13</v>
      </c>
      <c r="B1645">
        <v>0</v>
      </c>
      <c r="C1645">
        <v>308</v>
      </c>
    </row>
    <row r="1646" spans="1:3" x14ac:dyDescent="0.25">
      <c r="A1646">
        <v>13</v>
      </c>
      <c r="B1646">
        <v>0</v>
      </c>
      <c r="C1646">
        <v>308</v>
      </c>
    </row>
    <row r="1647" spans="1:3" x14ac:dyDescent="0.25">
      <c r="A1647">
        <v>13</v>
      </c>
      <c r="B1647">
        <v>0</v>
      </c>
      <c r="C1647">
        <v>308</v>
      </c>
    </row>
    <row r="1648" spans="1:3" x14ac:dyDescent="0.25">
      <c r="A1648">
        <v>15</v>
      </c>
      <c r="B1648">
        <v>0</v>
      </c>
      <c r="C1648">
        <v>308</v>
      </c>
    </row>
    <row r="1649" spans="1:3" x14ac:dyDescent="0.25">
      <c r="A1649">
        <v>12</v>
      </c>
      <c r="B1649">
        <v>0</v>
      </c>
      <c r="C1649">
        <v>308</v>
      </c>
    </row>
    <row r="1650" spans="1:3" x14ac:dyDescent="0.25">
      <c r="A1650">
        <v>13</v>
      </c>
      <c r="B1650">
        <v>0</v>
      </c>
      <c r="C1650">
        <v>408</v>
      </c>
    </row>
    <row r="1651" spans="1:3" x14ac:dyDescent="0.25">
      <c r="A1651">
        <v>12</v>
      </c>
      <c r="B1651">
        <v>0</v>
      </c>
      <c r="C1651">
        <v>408</v>
      </c>
    </row>
    <row r="1652" spans="1:3" x14ac:dyDescent="0.25">
      <c r="A1652">
        <v>12</v>
      </c>
      <c r="B1652">
        <v>0</v>
      </c>
      <c r="C1652">
        <v>408</v>
      </c>
    </row>
    <row r="1653" spans="1:3" x14ac:dyDescent="0.25">
      <c r="A1653">
        <v>11</v>
      </c>
      <c r="B1653">
        <v>0</v>
      </c>
      <c r="C1653">
        <v>408</v>
      </c>
    </row>
    <row r="1654" spans="1:3" x14ac:dyDescent="0.25">
      <c r="A1654">
        <v>12</v>
      </c>
      <c r="B1654">
        <v>0</v>
      </c>
      <c r="C1654">
        <v>408</v>
      </c>
    </row>
    <row r="1655" spans="1:3" x14ac:dyDescent="0.25">
      <c r="A1655">
        <v>12</v>
      </c>
      <c r="B1655">
        <v>0</v>
      </c>
      <c r="C1655">
        <v>408</v>
      </c>
    </row>
    <row r="1656" spans="1:3" x14ac:dyDescent="0.25">
      <c r="A1656">
        <v>12</v>
      </c>
      <c r="B1656">
        <v>0</v>
      </c>
      <c r="C1656">
        <v>408</v>
      </c>
    </row>
    <row r="1657" spans="1:3" x14ac:dyDescent="0.25">
      <c r="A1657">
        <v>13</v>
      </c>
      <c r="B1657">
        <v>0</v>
      </c>
      <c r="C1657">
        <v>361</v>
      </c>
    </row>
    <row r="1658" spans="1:3" x14ac:dyDescent="0.25">
      <c r="A1658">
        <v>13</v>
      </c>
      <c r="B1658">
        <v>0</v>
      </c>
      <c r="C1658">
        <v>361</v>
      </c>
    </row>
    <row r="1659" spans="1:3" x14ac:dyDescent="0.25">
      <c r="A1659">
        <v>13</v>
      </c>
      <c r="B1659">
        <v>0</v>
      </c>
      <c r="C1659">
        <v>361</v>
      </c>
    </row>
    <row r="1660" spans="1:3" x14ac:dyDescent="0.25">
      <c r="A1660">
        <v>11</v>
      </c>
      <c r="B1660">
        <v>0</v>
      </c>
      <c r="C1660">
        <v>361</v>
      </c>
    </row>
    <row r="1661" spans="1:3" x14ac:dyDescent="0.25">
      <c r="A1661">
        <v>14</v>
      </c>
      <c r="B1661">
        <v>0</v>
      </c>
      <c r="C1661">
        <v>361</v>
      </c>
    </row>
    <row r="1662" spans="1:3" x14ac:dyDescent="0.25">
      <c r="A1662">
        <v>13</v>
      </c>
      <c r="B1662">
        <v>0</v>
      </c>
      <c r="C1662">
        <v>361</v>
      </c>
    </row>
    <row r="1663" spans="1:3" x14ac:dyDescent="0.25">
      <c r="A1663">
        <v>12</v>
      </c>
      <c r="B1663">
        <v>0</v>
      </c>
      <c r="C1663">
        <v>361</v>
      </c>
    </row>
    <row r="1664" spans="1:3" x14ac:dyDescent="0.25">
      <c r="A1664">
        <v>14</v>
      </c>
      <c r="B1664">
        <v>0</v>
      </c>
      <c r="C1664">
        <v>361</v>
      </c>
    </row>
    <row r="1665" spans="1:3" x14ac:dyDescent="0.25">
      <c r="A1665">
        <v>12</v>
      </c>
      <c r="B1665">
        <v>0</v>
      </c>
      <c r="C1665">
        <v>426</v>
      </c>
    </row>
    <row r="1666" spans="1:3" x14ac:dyDescent="0.25">
      <c r="A1666">
        <v>12</v>
      </c>
      <c r="B1666">
        <v>0</v>
      </c>
      <c r="C1666">
        <v>426</v>
      </c>
    </row>
    <row r="1667" spans="1:3" x14ac:dyDescent="0.25">
      <c r="A1667">
        <v>12</v>
      </c>
      <c r="B1667">
        <v>0</v>
      </c>
      <c r="C1667">
        <v>426</v>
      </c>
    </row>
    <row r="1668" spans="1:3" x14ac:dyDescent="0.25">
      <c r="A1668">
        <v>12</v>
      </c>
      <c r="B1668">
        <v>0</v>
      </c>
      <c r="C1668">
        <v>426</v>
      </c>
    </row>
    <row r="1669" spans="1:3" x14ac:dyDescent="0.25">
      <c r="A1669">
        <v>13</v>
      </c>
      <c r="B1669">
        <v>0</v>
      </c>
      <c r="C1669">
        <v>426</v>
      </c>
    </row>
    <row r="1670" spans="1:3" x14ac:dyDescent="0.25">
      <c r="A1670">
        <v>40</v>
      </c>
      <c r="B1670">
        <v>0</v>
      </c>
      <c r="C1670">
        <v>426</v>
      </c>
    </row>
    <row r="1671" spans="1:3" x14ac:dyDescent="0.25">
      <c r="A1671">
        <v>12</v>
      </c>
      <c r="B1671">
        <v>0</v>
      </c>
      <c r="C1671">
        <v>426</v>
      </c>
    </row>
    <row r="1672" spans="1:3" x14ac:dyDescent="0.25">
      <c r="A1672">
        <v>12</v>
      </c>
      <c r="B1672">
        <v>0</v>
      </c>
      <c r="C1672">
        <v>367</v>
      </c>
    </row>
    <row r="1673" spans="1:3" x14ac:dyDescent="0.25">
      <c r="A1673">
        <v>12</v>
      </c>
      <c r="B1673">
        <v>0</v>
      </c>
      <c r="C1673">
        <v>367</v>
      </c>
    </row>
    <row r="1674" spans="1:3" x14ac:dyDescent="0.25">
      <c r="A1674">
        <v>12</v>
      </c>
      <c r="B1674">
        <v>0</v>
      </c>
      <c r="C1674">
        <v>367</v>
      </c>
    </row>
    <row r="1675" spans="1:3" x14ac:dyDescent="0.25">
      <c r="A1675">
        <v>12</v>
      </c>
      <c r="B1675">
        <v>0</v>
      </c>
      <c r="C1675">
        <v>367</v>
      </c>
    </row>
    <row r="1676" spans="1:3" x14ac:dyDescent="0.25">
      <c r="A1676">
        <v>13</v>
      </c>
      <c r="B1676">
        <v>0</v>
      </c>
      <c r="C1676">
        <v>367</v>
      </c>
    </row>
    <row r="1677" spans="1:3" x14ac:dyDescent="0.25">
      <c r="A1677">
        <v>13</v>
      </c>
      <c r="B1677">
        <v>0</v>
      </c>
      <c r="C1677">
        <v>367</v>
      </c>
    </row>
    <row r="1678" spans="1:3" x14ac:dyDescent="0.25">
      <c r="A1678">
        <v>12</v>
      </c>
      <c r="B1678">
        <v>0</v>
      </c>
      <c r="C1678">
        <v>367</v>
      </c>
    </row>
    <row r="1679" spans="1:3" x14ac:dyDescent="0.25">
      <c r="A1679">
        <v>12</v>
      </c>
      <c r="B1679">
        <v>0</v>
      </c>
      <c r="C1679">
        <v>367</v>
      </c>
    </row>
    <row r="1680" spans="1:3" x14ac:dyDescent="0.25">
      <c r="A1680">
        <v>12</v>
      </c>
      <c r="B1680">
        <v>0</v>
      </c>
      <c r="C1680">
        <v>384</v>
      </c>
    </row>
    <row r="1681" spans="1:3" x14ac:dyDescent="0.25">
      <c r="A1681">
        <v>12</v>
      </c>
      <c r="B1681">
        <v>0</v>
      </c>
      <c r="C1681">
        <v>384</v>
      </c>
    </row>
    <row r="1682" spans="1:3" x14ac:dyDescent="0.25">
      <c r="A1682">
        <v>12</v>
      </c>
      <c r="B1682">
        <v>0</v>
      </c>
      <c r="C1682">
        <v>384</v>
      </c>
    </row>
    <row r="1683" spans="1:3" x14ac:dyDescent="0.25">
      <c r="A1683">
        <v>13</v>
      </c>
      <c r="B1683">
        <v>0</v>
      </c>
      <c r="C1683">
        <v>384</v>
      </c>
    </row>
    <row r="1684" spans="1:3" x14ac:dyDescent="0.25">
      <c r="A1684">
        <v>14</v>
      </c>
      <c r="B1684">
        <v>0</v>
      </c>
      <c r="C1684">
        <v>384</v>
      </c>
    </row>
    <row r="1685" spans="1:3" x14ac:dyDescent="0.25">
      <c r="A1685">
        <v>12</v>
      </c>
      <c r="B1685">
        <v>0</v>
      </c>
      <c r="C1685">
        <v>384</v>
      </c>
    </row>
    <row r="1686" spans="1:3" x14ac:dyDescent="0.25">
      <c r="A1686">
        <v>14</v>
      </c>
      <c r="B1686">
        <v>0</v>
      </c>
      <c r="C1686">
        <v>384</v>
      </c>
    </row>
    <row r="1687" spans="1:3" x14ac:dyDescent="0.25">
      <c r="A1687">
        <v>13</v>
      </c>
      <c r="B1687">
        <v>0</v>
      </c>
      <c r="C1687">
        <v>287</v>
      </c>
    </row>
    <row r="1688" spans="1:3" x14ac:dyDescent="0.25">
      <c r="A1688">
        <v>11</v>
      </c>
      <c r="B1688">
        <v>0</v>
      </c>
      <c r="C1688">
        <v>287</v>
      </c>
    </row>
    <row r="1689" spans="1:3" x14ac:dyDescent="0.25">
      <c r="A1689">
        <v>12</v>
      </c>
      <c r="B1689">
        <v>0</v>
      </c>
      <c r="C1689">
        <v>287</v>
      </c>
    </row>
    <row r="1690" spans="1:3" x14ac:dyDescent="0.25">
      <c r="A1690">
        <v>12</v>
      </c>
      <c r="B1690">
        <v>0</v>
      </c>
      <c r="C1690">
        <v>287</v>
      </c>
    </row>
    <row r="1691" spans="1:3" x14ac:dyDescent="0.25">
      <c r="A1691">
        <v>12</v>
      </c>
      <c r="B1691">
        <v>0</v>
      </c>
      <c r="C1691">
        <v>287</v>
      </c>
    </row>
    <row r="1692" spans="1:3" x14ac:dyDescent="0.25">
      <c r="A1692">
        <v>12</v>
      </c>
      <c r="B1692">
        <v>0</v>
      </c>
      <c r="C1692">
        <v>287</v>
      </c>
    </row>
    <row r="1693" spans="1:3" x14ac:dyDescent="0.25">
      <c r="A1693">
        <v>13</v>
      </c>
      <c r="B1693">
        <v>0</v>
      </c>
      <c r="C1693">
        <v>287</v>
      </c>
    </row>
    <row r="1694" spans="1:3" x14ac:dyDescent="0.25">
      <c r="A1694">
        <v>11</v>
      </c>
      <c r="B1694">
        <v>0</v>
      </c>
      <c r="C1694">
        <v>287</v>
      </c>
    </row>
    <row r="1695" spans="1:3" x14ac:dyDescent="0.25">
      <c r="A1695">
        <v>13</v>
      </c>
      <c r="B1695">
        <v>0</v>
      </c>
      <c r="C1695">
        <v>345</v>
      </c>
    </row>
    <row r="1696" spans="1:3" x14ac:dyDescent="0.25">
      <c r="A1696">
        <v>13</v>
      </c>
      <c r="B1696">
        <v>0</v>
      </c>
      <c r="C1696">
        <v>345</v>
      </c>
    </row>
    <row r="1697" spans="1:3" x14ac:dyDescent="0.25">
      <c r="A1697">
        <v>13</v>
      </c>
      <c r="B1697">
        <v>0</v>
      </c>
      <c r="C1697">
        <v>345</v>
      </c>
    </row>
    <row r="1698" spans="1:3" x14ac:dyDescent="0.25">
      <c r="A1698">
        <v>11</v>
      </c>
      <c r="B1698">
        <v>0</v>
      </c>
      <c r="C1698">
        <v>345</v>
      </c>
    </row>
    <row r="1699" spans="1:3" x14ac:dyDescent="0.25">
      <c r="A1699">
        <v>12</v>
      </c>
      <c r="B1699">
        <v>0</v>
      </c>
      <c r="C1699">
        <v>345</v>
      </c>
    </row>
    <row r="1700" spans="1:3" x14ac:dyDescent="0.25">
      <c r="A1700">
        <v>13</v>
      </c>
      <c r="B1700">
        <v>0</v>
      </c>
      <c r="C1700">
        <v>345</v>
      </c>
    </row>
    <row r="1701" spans="1:3" x14ac:dyDescent="0.25">
      <c r="A1701">
        <v>12</v>
      </c>
      <c r="B1701">
        <v>0</v>
      </c>
      <c r="C1701">
        <v>345</v>
      </c>
    </row>
    <row r="1702" spans="1:3" x14ac:dyDescent="0.25">
      <c r="A1702">
        <v>13</v>
      </c>
      <c r="B1702">
        <v>0</v>
      </c>
      <c r="C1702">
        <v>345</v>
      </c>
    </row>
    <row r="1703" spans="1:3" x14ac:dyDescent="0.25">
      <c r="A1703">
        <v>13</v>
      </c>
      <c r="B1703">
        <v>0</v>
      </c>
      <c r="C1703">
        <v>393</v>
      </c>
    </row>
    <row r="1704" spans="1:3" x14ac:dyDescent="0.25">
      <c r="A1704">
        <v>13</v>
      </c>
      <c r="B1704">
        <v>0</v>
      </c>
      <c r="C1704">
        <v>393</v>
      </c>
    </row>
    <row r="1705" spans="1:3" x14ac:dyDescent="0.25">
      <c r="A1705">
        <v>13</v>
      </c>
      <c r="B1705">
        <v>0</v>
      </c>
      <c r="C1705">
        <v>393</v>
      </c>
    </row>
    <row r="1706" spans="1:3" x14ac:dyDescent="0.25">
      <c r="A1706">
        <v>12</v>
      </c>
      <c r="B1706">
        <v>0</v>
      </c>
      <c r="C1706">
        <v>393</v>
      </c>
    </row>
    <row r="1707" spans="1:3" x14ac:dyDescent="0.25">
      <c r="A1707">
        <v>12</v>
      </c>
      <c r="B1707">
        <v>0</v>
      </c>
      <c r="C1707">
        <v>393</v>
      </c>
    </row>
    <row r="1708" spans="1:3" x14ac:dyDescent="0.25">
      <c r="A1708">
        <v>16</v>
      </c>
      <c r="B1708">
        <v>0</v>
      </c>
      <c r="C1708">
        <v>393</v>
      </c>
    </row>
    <row r="1709" spans="1:3" x14ac:dyDescent="0.25">
      <c r="A1709">
        <v>12</v>
      </c>
      <c r="B1709">
        <v>0</v>
      </c>
      <c r="C1709">
        <v>393</v>
      </c>
    </row>
    <row r="1710" spans="1:3" x14ac:dyDescent="0.25">
      <c r="A1710">
        <v>13</v>
      </c>
      <c r="B1710">
        <v>0</v>
      </c>
      <c r="C1710">
        <v>393</v>
      </c>
    </row>
    <row r="1711" spans="1:3" x14ac:dyDescent="0.25">
      <c r="A1711">
        <v>12</v>
      </c>
      <c r="B1711">
        <v>0</v>
      </c>
      <c r="C1711">
        <v>354</v>
      </c>
    </row>
    <row r="1712" spans="1:3" x14ac:dyDescent="0.25">
      <c r="A1712">
        <v>13</v>
      </c>
      <c r="B1712">
        <v>0</v>
      </c>
      <c r="C1712">
        <v>354</v>
      </c>
    </row>
    <row r="1713" spans="1:3" x14ac:dyDescent="0.25">
      <c r="A1713">
        <v>11</v>
      </c>
      <c r="B1713">
        <v>0</v>
      </c>
      <c r="C1713">
        <v>354</v>
      </c>
    </row>
    <row r="1714" spans="1:3" x14ac:dyDescent="0.25">
      <c r="A1714">
        <v>13</v>
      </c>
      <c r="B1714">
        <v>0</v>
      </c>
      <c r="C1714">
        <v>354</v>
      </c>
    </row>
    <row r="1715" spans="1:3" x14ac:dyDescent="0.25">
      <c r="A1715">
        <v>12</v>
      </c>
      <c r="B1715">
        <v>0</v>
      </c>
      <c r="C1715">
        <v>354</v>
      </c>
    </row>
    <row r="1716" spans="1:3" x14ac:dyDescent="0.25">
      <c r="A1716">
        <v>11</v>
      </c>
      <c r="B1716">
        <v>0</v>
      </c>
      <c r="C1716">
        <v>354</v>
      </c>
    </row>
    <row r="1717" spans="1:3" x14ac:dyDescent="0.25">
      <c r="A1717">
        <v>13</v>
      </c>
      <c r="B1717">
        <v>0</v>
      </c>
      <c r="C1717">
        <v>354</v>
      </c>
    </row>
    <row r="1718" spans="1:3" x14ac:dyDescent="0.25">
      <c r="A1718">
        <v>11</v>
      </c>
      <c r="B1718">
        <v>0</v>
      </c>
      <c r="C1718">
        <v>354</v>
      </c>
    </row>
    <row r="1719" spans="1:3" x14ac:dyDescent="0.25">
      <c r="A1719">
        <v>13</v>
      </c>
      <c r="B1719">
        <v>0</v>
      </c>
      <c r="C1719">
        <v>318</v>
      </c>
    </row>
    <row r="1720" spans="1:3" x14ac:dyDescent="0.25">
      <c r="A1720">
        <v>12</v>
      </c>
      <c r="B1720">
        <v>0</v>
      </c>
      <c r="C1720">
        <v>318</v>
      </c>
    </row>
    <row r="1721" spans="1:3" x14ac:dyDescent="0.25">
      <c r="A1721">
        <v>12</v>
      </c>
      <c r="B1721">
        <v>0</v>
      </c>
      <c r="C1721">
        <v>318</v>
      </c>
    </row>
    <row r="1722" spans="1:3" x14ac:dyDescent="0.25">
      <c r="A1722">
        <v>12</v>
      </c>
      <c r="B1722">
        <v>0</v>
      </c>
      <c r="C1722">
        <v>318</v>
      </c>
    </row>
    <row r="1723" spans="1:3" x14ac:dyDescent="0.25">
      <c r="A1723">
        <v>12</v>
      </c>
      <c r="B1723">
        <v>0</v>
      </c>
      <c r="C1723">
        <v>318</v>
      </c>
    </row>
    <row r="1724" spans="1:3" x14ac:dyDescent="0.25">
      <c r="A1724">
        <v>11</v>
      </c>
      <c r="B1724">
        <v>0</v>
      </c>
      <c r="C1724">
        <v>318</v>
      </c>
    </row>
    <row r="1725" spans="1:3" x14ac:dyDescent="0.25">
      <c r="A1725">
        <v>12</v>
      </c>
      <c r="B1725">
        <v>0</v>
      </c>
      <c r="C1725">
        <v>318</v>
      </c>
    </row>
    <row r="1726" spans="1:3" x14ac:dyDescent="0.25">
      <c r="A1726">
        <v>14</v>
      </c>
      <c r="B1726">
        <v>0</v>
      </c>
      <c r="C1726">
        <v>318</v>
      </c>
    </row>
    <row r="1727" spans="1:3" x14ac:dyDescent="0.25">
      <c r="A1727">
        <v>12</v>
      </c>
      <c r="B1727">
        <v>0</v>
      </c>
      <c r="C1727">
        <v>324</v>
      </c>
    </row>
    <row r="1728" spans="1:3" x14ac:dyDescent="0.25">
      <c r="A1728">
        <v>11</v>
      </c>
      <c r="B1728">
        <v>0</v>
      </c>
      <c r="C1728">
        <v>324</v>
      </c>
    </row>
    <row r="1729" spans="1:3" x14ac:dyDescent="0.25">
      <c r="A1729">
        <v>12</v>
      </c>
      <c r="B1729">
        <v>0</v>
      </c>
      <c r="C1729">
        <v>324</v>
      </c>
    </row>
    <row r="1730" spans="1:3" x14ac:dyDescent="0.25">
      <c r="A1730">
        <v>12</v>
      </c>
      <c r="B1730">
        <v>0</v>
      </c>
      <c r="C1730">
        <v>324</v>
      </c>
    </row>
    <row r="1731" spans="1:3" x14ac:dyDescent="0.25">
      <c r="A1731">
        <v>12</v>
      </c>
      <c r="B1731">
        <v>0</v>
      </c>
      <c r="C1731">
        <v>324</v>
      </c>
    </row>
    <row r="1732" spans="1:3" x14ac:dyDescent="0.25">
      <c r="A1732">
        <v>12</v>
      </c>
      <c r="B1732">
        <v>0</v>
      </c>
      <c r="C1732">
        <v>324</v>
      </c>
    </row>
    <row r="1733" spans="1:3" x14ac:dyDescent="0.25">
      <c r="A1733">
        <v>12</v>
      </c>
      <c r="B1733">
        <v>0</v>
      </c>
      <c r="C1733">
        <v>324</v>
      </c>
    </row>
    <row r="1734" spans="1:3" x14ac:dyDescent="0.25">
      <c r="A1734">
        <v>16</v>
      </c>
      <c r="B1734">
        <v>0</v>
      </c>
      <c r="C1734">
        <v>324</v>
      </c>
    </row>
    <row r="1735" spans="1:3" x14ac:dyDescent="0.25">
      <c r="A1735">
        <v>12</v>
      </c>
      <c r="B1735">
        <v>0</v>
      </c>
      <c r="C1735">
        <v>292</v>
      </c>
    </row>
    <row r="1736" spans="1:3" x14ac:dyDescent="0.25">
      <c r="A1736">
        <v>14</v>
      </c>
      <c r="B1736">
        <v>0</v>
      </c>
      <c r="C1736">
        <v>292</v>
      </c>
    </row>
    <row r="1737" spans="1:3" x14ac:dyDescent="0.25">
      <c r="A1737">
        <v>13</v>
      </c>
      <c r="B1737">
        <v>0</v>
      </c>
      <c r="C1737">
        <v>292</v>
      </c>
    </row>
    <row r="1738" spans="1:3" x14ac:dyDescent="0.25">
      <c r="A1738">
        <v>11</v>
      </c>
      <c r="B1738">
        <v>0</v>
      </c>
      <c r="C1738">
        <v>292</v>
      </c>
    </row>
    <row r="1739" spans="1:3" x14ac:dyDescent="0.25">
      <c r="A1739">
        <v>11</v>
      </c>
      <c r="B1739">
        <v>0</v>
      </c>
      <c r="C1739">
        <v>292</v>
      </c>
    </row>
    <row r="1740" spans="1:3" x14ac:dyDescent="0.25">
      <c r="A1740">
        <v>13</v>
      </c>
      <c r="B1740">
        <v>0</v>
      </c>
      <c r="C1740">
        <v>292</v>
      </c>
    </row>
    <row r="1741" spans="1:3" x14ac:dyDescent="0.25">
      <c r="A1741">
        <v>13</v>
      </c>
      <c r="B1741">
        <v>0</v>
      </c>
      <c r="C1741">
        <v>292</v>
      </c>
    </row>
    <row r="1742" spans="1:3" x14ac:dyDescent="0.25">
      <c r="A1742">
        <v>11</v>
      </c>
      <c r="B1742">
        <v>0</v>
      </c>
      <c r="C1742">
        <v>292</v>
      </c>
    </row>
    <row r="1743" spans="1:3" x14ac:dyDescent="0.25">
      <c r="A1743">
        <v>12</v>
      </c>
      <c r="B1743">
        <v>0</v>
      </c>
      <c r="C1743">
        <v>366</v>
      </c>
    </row>
    <row r="1744" spans="1:3" x14ac:dyDescent="0.25">
      <c r="A1744">
        <v>12</v>
      </c>
      <c r="B1744">
        <v>0</v>
      </c>
      <c r="C1744">
        <v>366</v>
      </c>
    </row>
    <row r="1745" spans="1:3" x14ac:dyDescent="0.25">
      <c r="A1745">
        <v>11</v>
      </c>
      <c r="B1745">
        <v>0</v>
      </c>
      <c r="C1745">
        <v>366</v>
      </c>
    </row>
    <row r="1746" spans="1:3" x14ac:dyDescent="0.25">
      <c r="A1746">
        <v>12</v>
      </c>
      <c r="B1746">
        <v>0</v>
      </c>
      <c r="C1746">
        <v>366</v>
      </c>
    </row>
    <row r="1747" spans="1:3" x14ac:dyDescent="0.25">
      <c r="A1747">
        <v>12</v>
      </c>
      <c r="B1747">
        <v>0</v>
      </c>
      <c r="C1747">
        <v>366</v>
      </c>
    </row>
    <row r="1748" spans="1:3" x14ac:dyDescent="0.25">
      <c r="A1748">
        <v>12</v>
      </c>
      <c r="B1748">
        <v>0</v>
      </c>
      <c r="C1748">
        <v>366</v>
      </c>
    </row>
    <row r="1749" spans="1:3" x14ac:dyDescent="0.25">
      <c r="A1749">
        <v>13</v>
      </c>
      <c r="B1749">
        <v>0</v>
      </c>
      <c r="C1749">
        <v>366</v>
      </c>
    </row>
    <row r="1750" spans="1:3" x14ac:dyDescent="0.25">
      <c r="A1750">
        <v>12</v>
      </c>
      <c r="B1750">
        <v>0</v>
      </c>
      <c r="C1750">
        <v>366</v>
      </c>
    </row>
    <row r="1751" spans="1:3" x14ac:dyDescent="0.25">
      <c r="A1751">
        <v>12</v>
      </c>
      <c r="B1751">
        <v>0</v>
      </c>
      <c r="C1751">
        <v>318</v>
      </c>
    </row>
    <row r="1752" spans="1:3" x14ac:dyDescent="0.25">
      <c r="A1752">
        <v>17</v>
      </c>
      <c r="B1752">
        <v>0</v>
      </c>
      <c r="C1752">
        <v>318</v>
      </c>
    </row>
    <row r="1753" spans="1:3" x14ac:dyDescent="0.25">
      <c r="A1753">
        <v>15</v>
      </c>
      <c r="B1753">
        <v>0</v>
      </c>
      <c r="C1753">
        <v>318</v>
      </c>
    </row>
    <row r="1754" spans="1:3" x14ac:dyDescent="0.25">
      <c r="A1754">
        <v>13</v>
      </c>
      <c r="B1754">
        <v>0</v>
      </c>
      <c r="C1754">
        <v>318</v>
      </c>
    </row>
    <row r="1755" spans="1:3" x14ac:dyDescent="0.25">
      <c r="A1755">
        <v>12</v>
      </c>
      <c r="B1755">
        <v>0</v>
      </c>
      <c r="C1755">
        <v>318</v>
      </c>
    </row>
    <row r="1756" spans="1:3" x14ac:dyDescent="0.25">
      <c r="A1756">
        <v>11</v>
      </c>
      <c r="B1756">
        <v>0</v>
      </c>
      <c r="C1756">
        <v>318</v>
      </c>
    </row>
    <row r="1757" spans="1:3" x14ac:dyDescent="0.25">
      <c r="A1757">
        <v>12</v>
      </c>
      <c r="B1757">
        <v>0</v>
      </c>
      <c r="C1757">
        <v>318</v>
      </c>
    </row>
    <row r="1758" spans="1:3" x14ac:dyDescent="0.25">
      <c r="A1758">
        <v>12</v>
      </c>
      <c r="B1758">
        <v>0</v>
      </c>
      <c r="C1758">
        <v>318</v>
      </c>
    </row>
    <row r="1759" spans="1:3" x14ac:dyDescent="0.25">
      <c r="A1759">
        <v>16</v>
      </c>
      <c r="B1759">
        <v>0</v>
      </c>
      <c r="C1759">
        <v>327</v>
      </c>
    </row>
    <row r="1760" spans="1:3" x14ac:dyDescent="0.25">
      <c r="A1760">
        <v>12</v>
      </c>
      <c r="B1760">
        <v>0</v>
      </c>
      <c r="C1760">
        <v>327</v>
      </c>
    </row>
    <row r="1761" spans="1:3" x14ac:dyDescent="0.25">
      <c r="A1761">
        <v>13</v>
      </c>
      <c r="B1761">
        <v>0</v>
      </c>
      <c r="C1761">
        <v>327</v>
      </c>
    </row>
    <row r="1762" spans="1:3" x14ac:dyDescent="0.25">
      <c r="A1762">
        <v>12</v>
      </c>
      <c r="B1762">
        <v>0</v>
      </c>
      <c r="C1762">
        <v>327</v>
      </c>
    </row>
    <row r="1763" spans="1:3" x14ac:dyDescent="0.25">
      <c r="A1763">
        <v>14</v>
      </c>
      <c r="B1763">
        <v>0</v>
      </c>
      <c r="C1763">
        <v>327</v>
      </c>
    </row>
    <row r="1764" spans="1:3" x14ac:dyDescent="0.25">
      <c r="A1764">
        <v>12</v>
      </c>
      <c r="B1764">
        <v>0</v>
      </c>
      <c r="C1764">
        <v>327</v>
      </c>
    </row>
    <row r="1765" spans="1:3" x14ac:dyDescent="0.25">
      <c r="A1765">
        <v>13</v>
      </c>
      <c r="B1765">
        <v>0</v>
      </c>
      <c r="C1765">
        <v>327</v>
      </c>
    </row>
    <row r="1766" spans="1:3" x14ac:dyDescent="0.25">
      <c r="A1766">
        <v>12</v>
      </c>
      <c r="B1766">
        <v>0</v>
      </c>
      <c r="C1766">
        <v>327</v>
      </c>
    </row>
    <row r="1767" spans="1:3" x14ac:dyDescent="0.25">
      <c r="A1767">
        <v>13</v>
      </c>
      <c r="B1767">
        <v>0</v>
      </c>
      <c r="C1767">
        <v>347</v>
      </c>
    </row>
    <row r="1768" spans="1:3" x14ac:dyDescent="0.25">
      <c r="A1768">
        <v>13</v>
      </c>
      <c r="B1768">
        <v>0</v>
      </c>
      <c r="C1768">
        <v>347</v>
      </c>
    </row>
    <row r="1769" spans="1:3" x14ac:dyDescent="0.25">
      <c r="A1769">
        <v>11</v>
      </c>
      <c r="B1769">
        <v>0</v>
      </c>
      <c r="C1769">
        <v>347</v>
      </c>
    </row>
    <row r="1770" spans="1:3" x14ac:dyDescent="0.25">
      <c r="A1770">
        <v>13</v>
      </c>
      <c r="B1770">
        <v>0</v>
      </c>
      <c r="C1770">
        <v>347</v>
      </c>
    </row>
    <row r="1771" spans="1:3" x14ac:dyDescent="0.25">
      <c r="A1771">
        <v>12</v>
      </c>
      <c r="B1771">
        <v>0</v>
      </c>
      <c r="C1771">
        <v>347</v>
      </c>
    </row>
    <row r="1772" spans="1:3" x14ac:dyDescent="0.25">
      <c r="A1772">
        <v>13</v>
      </c>
      <c r="B1772">
        <v>0</v>
      </c>
      <c r="C1772">
        <v>347</v>
      </c>
    </row>
    <row r="1773" spans="1:3" x14ac:dyDescent="0.25">
      <c r="A1773">
        <v>12</v>
      </c>
      <c r="B1773">
        <v>0</v>
      </c>
      <c r="C1773">
        <v>347</v>
      </c>
    </row>
    <row r="1774" spans="1:3" x14ac:dyDescent="0.25">
      <c r="A1774">
        <v>13</v>
      </c>
      <c r="B1774">
        <v>0</v>
      </c>
      <c r="C1774">
        <v>347</v>
      </c>
    </row>
    <row r="1775" spans="1:3" x14ac:dyDescent="0.25">
      <c r="A1775">
        <v>11</v>
      </c>
      <c r="B1775">
        <v>0</v>
      </c>
      <c r="C1775">
        <v>324</v>
      </c>
    </row>
    <row r="1776" spans="1:3" x14ac:dyDescent="0.25">
      <c r="A1776">
        <v>13</v>
      </c>
      <c r="B1776">
        <v>0</v>
      </c>
      <c r="C1776">
        <v>324</v>
      </c>
    </row>
    <row r="1777" spans="1:3" x14ac:dyDescent="0.25">
      <c r="A1777">
        <v>14</v>
      </c>
      <c r="B1777">
        <v>0</v>
      </c>
      <c r="C1777">
        <v>324</v>
      </c>
    </row>
    <row r="1778" spans="1:3" x14ac:dyDescent="0.25">
      <c r="A1778">
        <v>12</v>
      </c>
      <c r="B1778">
        <v>0</v>
      </c>
      <c r="C1778">
        <v>324</v>
      </c>
    </row>
    <row r="1779" spans="1:3" x14ac:dyDescent="0.25">
      <c r="A1779">
        <v>13</v>
      </c>
      <c r="B1779">
        <v>0</v>
      </c>
      <c r="C1779">
        <v>324</v>
      </c>
    </row>
    <row r="1780" spans="1:3" x14ac:dyDescent="0.25">
      <c r="A1780">
        <v>15</v>
      </c>
      <c r="B1780">
        <v>0</v>
      </c>
      <c r="C1780">
        <v>324</v>
      </c>
    </row>
    <row r="1781" spans="1:3" x14ac:dyDescent="0.25">
      <c r="A1781">
        <v>15</v>
      </c>
      <c r="B1781">
        <v>0</v>
      </c>
      <c r="C1781">
        <v>324</v>
      </c>
    </row>
    <row r="1782" spans="1:3" x14ac:dyDescent="0.25">
      <c r="A1782">
        <v>16</v>
      </c>
      <c r="B1782">
        <v>0</v>
      </c>
      <c r="C1782">
        <v>522</v>
      </c>
    </row>
    <row r="1783" spans="1:3" x14ac:dyDescent="0.25">
      <c r="A1783">
        <v>13</v>
      </c>
      <c r="B1783">
        <v>0</v>
      </c>
      <c r="C1783">
        <v>522</v>
      </c>
    </row>
    <row r="1784" spans="1:3" x14ac:dyDescent="0.25">
      <c r="A1784">
        <v>15</v>
      </c>
      <c r="B1784">
        <v>0</v>
      </c>
      <c r="C1784">
        <v>522</v>
      </c>
    </row>
    <row r="1785" spans="1:3" x14ac:dyDescent="0.25">
      <c r="A1785">
        <v>17</v>
      </c>
      <c r="B1785">
        <v>0</v>
      </c>
      <c r="C1785">
        <v>522</v>
      </c>
    </row>
    <row r="1786" spans="1:3" x14ac:dyDescent="0.25">
      <c r="A1786">
        <v>19</v>
      </c>
      <c r="B1786">
        <v>0</v>
      </c>
      <c r="C1786">
        <v>522</v>
      </c>
    </row>
    <row r="1787" spans="1:3" x14ac:dyDescent="0.25">
      <c r="A1787">
        <v>13</v>
      </c>
      <c r="B1787">
        <v>0</v>
      </c>
      <c r="C1787">
        <v>522</v>
      </c>
    </row>
    <row r="1788" spans="1:3" x14ac:dyDescent="0.25">
      <c r="A1788">
        <v>15</v>
      </c>
      <c r="B1788">
        <v>0</v>
      </c>
      <c r="C1788">
        <v>522</v>
      </c>
    </row>
    <row r="1789" spans="1:3" x14ac:dyDescent="0.25">
      <c r="A1789">
        <v>13</v>
      </c>
      <c r="B1789">
        <v>0</v>
      </c>
      <c r="C1789">
        <v>597</v>
      </c>
    </row>
    <row r="1790" spans="1:3" x14ac:dyDescent="0.25">
      <c r="A1790">
        <v>19</v>
      </c>
      <c r="B1790">
        <v>0</v>
      </c>
      <c r="C1790">
        <v>597</v>
      </c>
    </row>
    <row r="1791" spans="1:3" x14ac:dyDescent="0.25">
      <c r="A1791">
        <v>14</v>
      </c>
      <c r="B1791">
        <v>0</v>
      </c>
      <c r="C1791">
        <v>597</v>
      </c>
    </row>
    <row r="1792" spans="1:3" x14ac:dyDescent="0.25">
      <c r="A1792">
        <v>20</v>
      </c>
      <c r="B1792">
        <v>0</v>
      </c>
      <c r="C1792">
        <v>597</v>
      </c>
    </row>
    <row r="1793" spans="1:3" x14ac:dyDescent="0.25">
      <c r="A1793">
        <v>12</v>
      </c>
      <c r="B1793">
        <v>0</v>
      </c>
      <c r="C1793">
        <v>597</v>
      </c>
    </row>
    <row r="1794" spans="1:3" x14ac:dyDescent="0.25">
      <c r="A1794">
        <v>14</v>
      </c>
      <c r="B1794">
        <v>0</v>
      </c>
      <c r="C1794">
        <v>597</v>
      </c>
    </row>
    <row r="1795" spans="1:3" x14ac:dyDescent="0.25">
      <c r="A1795">
        <v>15</v>
      </c>
      <c r="B1795">
        <v>0</v>
      </c>
      <c r="C1795">
        <v>597</v>
      </c>
    </row>
    <row r="1796" spans="1:3" x14ac:dyDescent="0.25">
      <c r="A1796">
        <v>12</v>
      </c>
      <c r="B1796">
        <v>0</v>
      </c>
      <c r="C1796">
        <v>514</v>
      </c>
    </row>
    <row r="1797" spans="1:3" x14ac:dyDescent="0.25">
      <c r="A1797">
        <v>12</v>
      </c>
      <c r="B1797">
        <v>0</v>
      </c>
      <c r="C1797">
        <v>514</v>
      </c>
    </row>
    <row r="1798" spans="1:3" x14ac:dyDescent="0.25">
      <c r="A1798">
        <v>11</v>
      </c>
      <c r="B1798">
        <v>0</v>
      </c>
      <c r="C1798">
        <v>514</v>
      </c>
    </row>
    <row r="1799" spans="1:3" x14ac:dyDescent="0.25">
      <c r="A1799">
        <v>11</v>
      </c>
      <c r="B1799">
        <v>0</v>
      </c>
      <c r="C1799">
        <v>514</v>
      </c>
    </row>
    <row r="1800" spans="1:3" x14ac:dyDescent="0.25">
      <c r="A1800">
        <v>12</v>
      </c>
      <c r="B1800">
        <v>0</v>
      </c>
      <c r="C1800">
        <v>514</v>
      </c>
    </row>
    <row r="1801" spans="1:3" x14ac:dyDescent="0.25">
      <c r="A1801">
        <v>12</v>
      </c>
      <c r="B1801">
        <v>0</v>
      </c>
      <c r="C1801">
        <v>514</v>
      </c>
    </row>
    <row r="1802" spans="1:3" x14ac:dyDescent="0.25">
      <c r="A1802">
        <v>11</v>
      </c>
      <c r="B1802">
        <v>0</v>
      </c>
      <c r="C1802">
        <v>514</v>
      </c>
    </row>
    <row r="1803" spans="1:3" x14ac:dyDescent="0.25">
      <c r="A1803">
        <v>14</v>
      </c>
      <c r="B1803">
        <v>0</v>
      </c>
      <c r="C1803">
        <v>514</v>
      </c>
    </row>
    <row r="1804" spans="1:3" x14ac:dyDescent="0.25">
      <c r="A1804">
        <v>11</v>
      </c>
      <c r="B1804">
        <v>0</v>
      </c>
      <c r="C1804">
        <v>277</v>
      </c>
    </row>
    <row r="1805" spans="1:3" x14ac:dyDescent="0.25">
      <c r="A1805">
        <v>14</v>
      </c>
      <c r="B1805">
        <v>0</v>
      </c>
      <c r="C1805">
        <v>277</v>
      </c>
    </row>
    <row r="1806" spans="1:3" x14ac:dyDescent="0.25">
      <c r="A1806">
        <v>12</v>
      </c>
      <c r="B1806">
        <v>0</v>
      </c>
      <c r="C1806">
        <v>277</v>
      </c>
    </row>
    <row r="1807" spans="1:3" x14ac:dyDescent="0.25">
      <c r="A1807">
        <v>12</v>
      </c>
      <c r="B1807">
        <v>0</v>
      </c>
      <c r="C1807">
        <v>277</v>
      </c>
    </row>
    <row r="1808" spans="1:3" x14ac:dyDescent="0.25">
      <c r="A1808">
        <v>18</v>
      </c>
      <c r="B1808">
        <v>0</v>
      </c>
      <c r="C1808">
        <v>277</v>
      </c>
    </row>
    <row r="1809" spans="1:3" x14ac:dyDescent="0.25">
      <c r="A1809">
        <v>14</v>
      </c>
      <c r="B1809">
        <v>0</v>
      </c>
      <c r="C1809">
        <v>277</v>
      </c>
    </row>
    <row r="1810" spans="1:3" x14ac:dyDescent="0.25">
      <c r="A1810">
        <v>11</v>
      </c>
      <c r="B1810">
        <v>0</v>
      </c>
      <c r="C1810">
        <v>277</v>
      </c>
    </row>
    <row r="1811" spans="1:3" x14ac:dyDescent="0.25">
      <c r="A1811">
        <v>11</v>
      </c>
      <c r="B1811">
        <v>0</v>
      </c>
      <c r="C1811">
        <v>277</v>
      </c>
    </row>
    <row r="1812" spans="1:3" x14ac:dyDescent="0.25">
      <c r="A1812">
        <v>13</v>
      </c>
      <c r="B1812">
        <v>0</v>
      </c>
      <c r="C1812">
        <v>361</v>
      </c>
    </row>
    <row r="1813" spans="1:3" x14ac:dyDescent="0.25">
      <c r="A1813">
        <v>11</v>
      </c>
      <c r="B1813">
        <v>0</v>
      </c>
      <c r="C1813">
        <v>361</v>
      </c>
    </row>
    <row r="1814" spans="1:3" x14ac:dyDescent="0.25">
      <c r="A1814">
        <v>16</v>
      </c>
      <c r="B1814">
        <v>0</v>
      </c>
      <c r="C1814">
        <v>361</v>
      </c>
    </row>
    <row r="1815" spans="1:3" x14ac:dyDescent="0.25">
      <c r="A1815">
        <v>12</v>
      </c>
      <c r="B1815">
        <v>0</v>
      </c>
      <c r="C1815">
        <v>361</v>
      </c>
    </row>
    <row r="1816" spans="1:3" x14ac:dyDescent="0.25">
      <c r="A1816">
        <v>12</v>
      </c>
      <c r="B1816">
        <v>0</v>
      </c>
      <c r="C1816">
        <v>361</v>
      </c>
    </row>
    <row r="1817" spans="1:3" x14ac:dyDescent="0.25">
      <c r="A1817">
        <v>13</v>
      </c>
      <c r="B1817">
        <v>0</v>
      </c>
      <c r="C1817">
        <v>361</v>
      </c>
    </row>
    <row r="1818" spans="1:3" x14ac:dyDescent="0.25">
      <c r="A1818">
        <v>14</v>
      </c>
      <c r="B1818">
        <v>0</v>
      </c>
      <c r="C1818">
        <v>361</v>
      </c>
    </row>
    <row r="1819" spans="1:3" x14ac:dyDescent="0.25">
      <c r="A1819">
        <v>13</v>
      </c>
      <c r="B1819">
        <v>0</v>
      </c>
      <c r="C1819">
        <v>361</v>
      </c>
    </row>
    <row r="1820" spans="1:3" x14ac:dyDescent="0.25">
      <c r="A1820">
        <v>13</v>
      </c>
      <c r="B1820">
        <v>0</v>
      </c>
      <c r="C1820">
        <v>344</v>
      </c>
    </row>
    <row r="1821" spans="1:3" x14ac:dyDescent="0.25">
      <c r="A1821">
        <v>13</v>
      </c>
      <c r="B1821">
        <v>0</v>
      </c>
      <c r="C1821">
        <v>344</v>
      </c>
    </row>
    <row r="1822" spans="1:3" x14ac:dyDescent="0.25">
      <c r="A1822">
        <v>15</v>
      </c>
      <c r="B1822">
        <v>0</v>
      </c>
      <c r="C1822">
        <v>344</v>
      </c>
    </row>
    <row r="1823" spans="1:3" x14ac:dyDescent="0.25">
      <c r="A1823">
        <v>12</v>
      </c>
      <c r="B1823">
        <v>0</v>
      </c>
      <c r="C1823">
        <v>344</v>
      </c>
    </row>
    <row r="1824" spans="1:3" x14ac:dyDescent="0.25">
      <c r="A1824">
        <v>14</v>
      </c>
      <c r="B1824">
        <v>0</v>
      </c>
      <c r="C1824">
        <v>344</v>
      </c>
    </row>
    <row r="1825" spans="1:3" x14ac:dyDescent="0.25">
      <c r="A1825">
        <v>13</v>
      </c>
      <c r="B1825">
        <v>0</v>
      </c>
      <c r="C1825">
        <v>344</v>
      </c>
    </row>
    <row r="1826" spans="1:3" x14ac:dyDescent="0.25">
      <c r="A1826">
        <v>12</v>
      </c>
      <c r="B1826">
        <v>0</v>
      </c>
      <c r="C1826">
        <v>344</v>
      </c>
    </row>
    <row r="1827" spans="1:3" x14ac:dyDescent="0.25">
      <c r="A1827">
        <v>12</v>
      </c>
      <c r="B1827">
        <v>0</v>
      </c>
      <c r="C1827">
        <v>344</v>
      </c>
    </row>
    <row r="1828" spans="1:3" x14ac:dyDescent="0.25">
      <c r="A1828">
        <v>11</v>
      </c>
      <c r="B1828">
        <v>0</v>
      </c>
      <c r="C1828">
        <v>314</v>
      </c>
    </row>
    <row r="1829" spans="1:3" x14ac:dyDescent="0.25">
      <c r="A1829">
        <v>11</v>
      </c>
      <c r="B1829">
        <v>0</v>
      </c>
      <c r="C1829">
        <v>314</v>
      </c>
    </row>
    <row r="1830" spans="1:3" x14ac:dyDescent="0.25">
      <c r="A1830">
        <v>11</v>
      </c>
      <c r="B1830">
        <v>0</v>
      </c>
      <c r="C1830">
        <v>314</v>
      </c>
    </row>
    <row r="1831" spans="1:3" x14ac:dyDescent="0.25">
      <c r="A1831">
        <v>13</v>
      </c>
      <c r="B1831">
        <v>0</v>
      </c>
      <c r="C1831">
        <v>314</v>
      </c>
    </row>
    <row r="1832" spans="1:3" x14ac:dyDescent="0.25">
      <c r="A1832">
        <v>12</v>
      </c>
      <c r="B1832">
        <v>0</v>
      </c>
      <c r="C1832">
        <v>314</v>
      </c>
    </row>
    <row r="1833" spans="1:3" x14ac:dyDescent="0.25">
      <c r="A1833">
        <v>13</v>
      </c>
      <c r="B1833">
        <v>0</v>
      </c>
      <c r="C1833">
        <v>314</v>
      </c>
    </row>
    <row r="1834" spans="1:3" x14ac:dyDescent="0.25">
      <c r="A1834">
        <v>13</v>
      </c>
      <c r="B1834">
        <v>0</v>
      </c>
      <c r="C1834">
        <v>314</v>
      </c>
    </row>
    <row r="1835" spans="1:3" x14ac:dyDescent="0.25">
      <c r="A1835">
        <v>13</v>
      </c>
      <c r="B1835">
        <v>0</v>
      </c>
      <c r="C1835">
        <v>314</v>
      </c>
    </row>
    <row r="1836" spans="1:3" x14ac:dyDescent="0.25">
      <c r="A1836">
        <v>12</v>
      </c>
      <c r="B1836">
        <v>0</v>
      </c>
      <c r="C1836">
        <v>324</v>
      </c>
    </row>
    <row r="1837" spans="1:3" x14ac:dyDescent="0.25">
      <c r="A1837">
        <v>13</v>
      </c>
      <c r="B1837">
        <v>0</v>
      </c>
      <c r="C1837">
        <v>324</v>
      </c>
    </row>
    <row r="1838" spans="1:3" x14ac:dyDescent="0.25">
      <c r="A1838">
        <v>12</v>
      </c>
      <c r="B1838">
        <v>0</v>
      </c>
      <c r="C1838">
        <v>324</v>
      </c>
    </row>
    <row r="1839" spans="1:3" x14ac:dyDescent="0.25">
      <c r="A1839">
        <v>12</v>
      </c>
      <c r="B1839">
        <v>0</v>
      </c>
      <c r="C1839">
        <v>324</v>
      </c>
    </row>
    <row r="1840" spans="1:3" x14ac:dyDescent="0.25">
      <c r="A1840">
        <v>13</v>
      </c>
      <c r="B1840">
        <v>0</v>
      </c>
      <c r="C1840">
        <v>324</v>
      </c>
    </row>
    <row r="1841" spans="1:3" x14ac:dyDescent="0.25">
      <c r="A1841">
        <v>12</v>
      </c>
      <c r="B1841">
        <v>0</v>
      </c>
      <c r="C1841">
        <v>324</v>
      </c>
    </row>
    <row r="1842" spans="1:3" x14ac:dyDescent="0.25">
      <c r="A1842">
        <v>11</v>
      </c>
      <c r="B1842">
        <v>0</v>
      </c>
      <c r="C1842">
        <v>324</v>
      </c>
    </row>
    <row r="1843" spans="1:3" x14ac:dyDescent="0.25">
      <c r="A1843">
        <v>12</v>
      </c>
      <c r="B1843">
        <v>0</v>
      </c>
      <c r="C1843">
        <v>324</v>
      </c>
    </row>
    <row r="1844" spans="1:3" x14ac:dyDescent="0.25">
      <c r="A1844">
        <v>11</v>
      </c>
      <c r="B1844">
        <v>0</v>
      </c>
      <c r="C1844">
        <v>276</v>
      </c>
    </row>
    <row r="1845" spans="1:3" x14ac:dyDescent="0.25">
      <c r="A1845">
        <v>11</v>
      </c>
      <c r="B1845">
        <v>0</v>
      </c>
      <c r="C1845">
        <v>276</v>
      </c>
    </row>
    <row r="1846" spans="1:3" x14ac:dyDescent="0.25">
      <c r="A1846">
        <v>13</v>
      </c>
      <c r="B1846">
        <v>0</v>
      </c>
      <c r="C1846">
        <v>276</v>
      </c>
    </row>
    <row r="1847" spans="1:3" x14ac:dyDescent="0.25">
      <c r="A1847">
        <v>11</v>
      </c>
      <c r="B1847">
        <v>0</v>
      </c>
      <c r="C1847">
        <v>276</v>
      </c>
    </row>
    <row r="1848" spans="1:3" x14ac:dyDescent="0.25">
      <c r="A1848">
        <v>13</v>
      </c>
      <c r="B1848">
        <v>0</v>
      </c>
      <c r="C1848">
        <v>276</v>
      </c>
    </row>
    <row r="1849" spans="1:3" x14ac:dyDescent="0.25">
      <c r="A1849">
        <v>13</v>
      </c>
      <c r="B1849">
        <v>0</v>
      </c>
      <c r="C1849">
        <v>276</v>
      </c>
    </row>
    <row r="1850" spans="1:3" x14ac:dyDescent="0.25">
      <c r="A1850">
        <v>12</v>
      </c>
      <c r="B1850">
        <v>0</v>
      </c>
      <c r="C1850">
        <v>276</v>
      </c>
    </row>
    <row r="1851" spans="1:3" x14ac:dyDescent="0.25">
      <c r="A1851">
        <v>12</v>
      </c>
      <c r="B1851">
        <v>0</v>
      </c>
      <c r="C1851">
        <v>276</v>
      </c>
    </row>
    <row r="1852" spans="1:3" x14ac:dyDescent="0.25">
      <c r="A1852">
        <v>12</v>
      </c>
      <c r="B1852">
        <v>0</v>
      </c>
      <c r="C1852">
        <v>345</v>
      </c>
    </row>
    <row r="1853" spans="1:3" x14ac:dyDescent="0.25">
      <c r="A1853">
        <v>12</v>
      </c>
      <c r="B1853">
        <v>0</v>
      </c>
      <c r="C1853">
        <v>345</v>
      </c>
    </row>
    <row r="1854" spans="1:3" x14ac:dyDescent="0.25">
      <c r="A1854">
        <v>14</v>
      </c>
      <c r="B1854">
        <v>0</v>
      </c>
      <c r="C1854">
        <v>345</v>
      </c>
    </row>
    <row r="1855" spans="1:3" x14ac:dyDescent="0.25">
      <c r="A1855">
        <v>15</v>
      </c>
      <c r="B1855">
        <v>0</v>
      </c>
      <c r="C1855">
        <v>345</v>
      </c>
    </row>
    <row r="1856" spans="1:3" x14ac:dyDescent="0.25">
      <c r="A1856">
        <v>11</v>
      </c>
      <c r="B1856">
        <v>0</v>
      </c>
      <c r="C1856">
        <v>345</v>
      </c>
    </row>
    <row r="1857" spans="1:3" x14ac:dyDescent="0.25">
      <c r="A1857">
        <v>12</v>
      </c>
      <c r="B1857">
        <v>0</v>
      </c>
      <c r="C1857">
        <v>345</v>
      </c>
    </row>
    <row r="1858" spans="1:3" x14ac:dyDescent="0.25">
      <c r="A1858">
        <v>13</v>
      </c>
      <c r="B1858">
        <v>0</v>
      </c>
      <c r="C1858">
        <v>345</v>
      </c>
    </row>
    <row r="1859" spans="1:3" x14ac:dyDescent="0.25">
      <c r="A1859">
        <v>13</v>
      </c>
      <c r="B1859">
        <v>0</v>
      </c>
      <c r="C1859">
        <v>345</v>
      </c>
    </row>
    <row r="1860" spans="1:3" x14ac:dyDescent="0.25">
      <c r="A1860">
        <v>13</v>
      </c>
      <c r="B1860">
        <v>0</v>
      </c>
      <c r="C1860">
        <v>349</v>
      </c>
    </row>
    <row r="1861" spans="1:3" x14ac:dyDescent="0.25">
      <c r="A1861">
        <v>12</v>
      </c>
      <c r="B1861">
        <v>0</v>
      </c>
      <c r="C1861">
        <v>349</v>
      </c>
    </row>
    <row r="1862" spans="1:3" x14ac:dyDescent="0.25">
      <c r="A1862">
        <v>12</v>
      </c>
      <c r="B1862">
        <v>0</v>
      </c>
      <c r="C1862">
        <v>349</v>
      </c>
    </row>
    <row r="1863" spans="1:3" x14ac:dyDescent="0.25">
      <c r="A1863">
        <v>17</v>
      </c>
      <c r="B1863">
        <v>0</v>
      </c>
      <c r="C1863">
        <v>349</v>
      </c>
    </row>
    <row r="1864" spans="1:3" x14ac:dyDescent="0.25">
      <c r="A1864">
        <v>12</v>
      </c>
      <c r="B1864">
        <v>0</v>
      </c>
      <c r="C1864">
        <v>349</v>
      </c>
    </row>
    <row r="1865" spans="1:3" x14ac:dyDescent="0.25">
      <c r="A1865">
        <v>12</v>
      </c>
      <c r="B1865">
        <v>0</v>
      </c>
      <c r="C1865">
        <v>349</v>
      </c>
    </row>
    <row r="1866" spans="1:3" x14ac:dyDescent="0.25">
      <c r="A1866">
        <v>12</v>
      </c>
      <c r="B1866">
        <v>0</v>
      </c>
      <c r="C1866">
        <v>349</v>
      </c>
    </row>
    <row r="1867" spans="1:3" x14ac:dyDescent="0.25">
      <c r="A1867">
        <v>13</v>
      </c>
      <c r="B1867">
        <v>0</v>
      </c>
      <c r="C1867">
        <v>349</v>
      </c>
    </row>
    <row r="1868" spans="1:3" x14ac:dyDescent="0.25">
      <c r="A1868">
        <v>11</v>
      </c>
      <c r="B1868">
        <v>0</v>
      </c>
      <c r="C1868">
        <v>369</v>
      </c>
    </row>
    <row r="1869" spans="1:3" x14ac:dyDescent="0.25">
      <c r="A1869">
        <v>12</v>
      </c>
      <c r="B1869">
        <v>0</v>
      </c>
      <c r="C1869">
        <v>369</v>
      </c>
    </row>
    <row r="1870" spans="1:3" x14ac:dyDescent="0.25">
      <c r="A1870">
        <v>13</v>
      </c>
      <c r="B1870">
        <v>0</v>
      </c>
      <c r="C1870">
        <v>369</v>
      </c>
    </row>
    <row r="1871" spans="1:3" x14ac:dyDescent="0.25">
      <c r="A1871">
        <v>12</v>
      </c>
      <c r="B1871">
        <v>0</v>
      </c>
      <c r="C1871">
        <v>369</v>
      </c>
    </row>
    <row r="1872" spans="1:3" x14ac:dyDescent="0.25">
      <c r="A1872">
        <v>12</v>
      </c>
      <c r="B1872">
        <v>0</v>
      </c>
      <c r="C1872">
        <v>369</v>
      </c>
    </row>
    <row r="1873" spans="1:3" x14ac:dyDescent="0.25">
      <c r="A1873">
        <v>11</v>
      </c>
      <c r="B1873">
        <v>0</v>
      </c>
      <c r="C1873">
        <v>369</v>
      </c>
    </row>
    <row r="1874" spans="1:3" x14ac:dyDescent="0.25">
      <c r="A1874">
        <v>12</v>
      </c>
      <c r="B1874">
        <v>0</v>
      </c>
      <c r="C1874">
        <v>369</v>
      </c>
    </row>
    <row r="1875" spans="1:3" x14ac:dyDescent="0.25">
      <c r="A1875">
        <v>11</v>
      </c>
      <c r="B1875">
        <v>0</v>
      </c>
      <c r="C1875">
        <v>369</v>
      </c>
    </row>
    <row r="1876" spans="1:3" x14ac:dyDescent="0.25">
      <c r="A1876">
        <v>12</v>
      </c>
      <c r="B1876">
        <v>0</v>
      </c>
      <c r="C1876">
        <v>309</v>
      </c>
    </row>
    <row r="1877" spans="1:3" x14ac:dyDescent="0.25">
      <c r="A1877">
        <v>12</v>
      </c>
      <c r="B1877">
        <v>0</v>
      </c>
      <c r="C1877">
        <v>309</v>
      </c>
    </row>
    <row r="1878" spans="1:3" x14ac:dyDescent="0.25">
      <c r="A1878">
        <v>16</v>
      </c>
      <c r="B1878">
        <v>0</v>
      </c>
      <c r="C1878">
        <v>309</v>
      </c>
    </row>
    <row r="1879" spans="1:3" x14ac:dyDescent="0.25">
      <c r="A1879">
        <v>12</v>
      </c>
      <c r="B1879">
        <v>0</v>
      </c>
      <c r="C1879">
        <v>309</v>
      </c>
    </row>
    <row r="1880" spans="1:3" x14ac:dyDescent="0.25">
      <c r="A1880">
        <v>12</v>
      </c>
      <c r="B1880">
        <v>0</v>
      </c>
      <c r="C1880">
        <v>309</v>
      </c>
    </row>
    <row r="1881" spans="1:3" x14ac:dyDescent="0.25">
      <c r="A1881">
        <v>11</v>
      </c>
      <c r="B1881">
        <v>0</v>
      </c>
      <c r="C1881">
        <v>309</v>
      </c>
    </row>
    <row r="1882" spans="1:3" x14ac:dyDescent="0.25">
      <c r="A1882">
        <v>12</v>
      </c>
      <c r="B1882">
        <v>0</v>
      </c>
      <c r="C1882">
        <v>309</v>
      </c>
    </row>
    <row r="1883" spans="1:3" x14ac:dyDescent="0.25">
      <c r="A1883">
        <v>12</v>
      </c>
      <c r="B1883">
        <v>0</v>
      </c>
      <c r="C1883">
        <v>309</v>
      </c>
    </row>
    <row r="1884" spans="1:3" x14ac:dyDescent="0.25">
      <c r="A1884">
        <v>15</v>
      </c>
      <c r="B1884">
        <v>0</v>
      </c>
      <c r="C1884">
        <v>375</v>
      </c>
    </row>
    <row r="1885" spans="1:3" x14ac:dyDescent="0.25">
      <c r="A1885">
        <v>14</v>
      </c>
      <c r="B1885">
        <v>0</v>
      </c>
      <c r="C1885">
        <v>375</v>
      </c>
    </row>
    <row r="1886" spans="1:3" x14ac:dyDescent="0.25">
      <c r="A1886">
        <v>12</v>
      </c>
      <c r="B1886">
        <v>0</v>
      </c>
      <c r="C1886">
        <v>375</v>
      </c>
    </row>
    <row r="1887" spans="1:3" x14ac:dyDescent="0.25">
      <c r="A1887">
        <v>15</v>
      </c>
      <c r="B1887">
        <v>0</v>
      </c>
      <c r="C1887">
        <v>375</v>
      </c>
    </row>
    <row r="1888" spans="1:3" x14ac:dyDescent="0.25">
      <c r="A1888">
        <v>11</v>
      </c>
      <c r="B1888">
        <v>0</v>
      </c>
      <c r="C1888">
        <v>375</v>
      </c>
    </row>
    <row r="1889" spans="1:3" x14ac:dyDescent="0.25">
      <c r="A1889">
        <v>12</v>
      </c>
      <c r="B1889">
        <v>0</v>
      </c>
      <c r="C1889">
        <v>375</v>
      </c>
    </row>
    <row r="1890" spans="1:3" x14ac:dyDescent="0.25">
      <c r="A1890">
        <v>11</v>
      </c>
      <c r="B1890">
        <v>0</v>
      </c>
      <c r="C1890">
        <v>375</v>
      </c>
    </row>
    <row r="1891" spans="1:3" x14ac:dyDescent="0.25">
      <c r="A1891">
        <v>11</v>
      </c>
      <c r="B1891">
        <v>0</v>
      </c>
      <c r="C1891">
        <v>375</v>
      </c>
    </row>
    <row r="1892" spans="1:3" x14ac:dyDescent="0.25">
      <c r="A1892">
        <v>16</v>
      </c>
      <c r="B1892">
        <v>0</v>
      </c>
      <c r="C1892">
        <v>317</v>
      </c>
    </row>
    <row r="1893" spans="1:3" x14ac:dyDescent="0.25">
      <c r="A1893">
        <v>14</v>
      </c>
      <c r="B1893">
        <v>0</v>
      </c>
      <c r="C1893">
        <v>317</v>
      </c>
    </row>
    <row r="1894" spans="1:3" x14ac:dyDescent="0.25">
      <c r="A1894">
        <v>13</v>
      </c>
      <c r="B1894">
        <v>0</v>
      </c>
      <c r="C1894">
        <v>317</v>
      </c>
    </row>
    <row r="1895" spans="1:3" x14ac:dyDescent="0.25">
      <c r="A1895">
        <v>12</v>
      </c>
      <c r="B1895">
        <v>0</v>
      </c>
      <c r="C1895">
        <v>317</v>
      </c>
    </row>
    <row r="1896" spans="1:3" x14ac:dyDescent="0.25">
      <c r="A1896">
        <v>12</v>
      </c>
      <c r="B1896">
        <v>0</v>
      </c>
      <c r="C1896">
        <v>317</v>
      </c>
    </row>
    <row r="1897" spans="1:3" x14ac:dyDescent="0.25">
      <c r="A1897">
        <v>13</v>
      </c>
      <c r="B1897">
        <v>0</v>
      </c>
      <c r="C1897">
        <v>317</v>
      </c>
    </row>
    <row r="1898" spans="1:3" x14ac:dyDescent="0.25">
      <c r="A1898">
        <v>13</v>
      </c>
      <c r="B1898">
        <v>0</v>
      </c>
      <c r="C1898">
        <v>317</v>
      </c>
    </row>
    <row r="1899" spans="1:3" x14ac:dyDescent="0.25">
      <c r="A1899">
        <v>13</v>
      </c>
      <c r="B1899">
        <v>0</v>
      </c>
      <c r="C1899">
        <v>317</v>
      </c>
    </row>
    <row r="1900" spans="1:3" x14ac:dyDescent="0.25">
      <c r="A1900">
        <v>14</v>
      </c>
      <c r="B1900">
        <v>0</v>
      </c>
      <c r="C1900">
        <v>372</v>
      </c>
    </row>
    <row r="1901" spans="1:3" x14ac:dyDescent="0.25">
      <c r="A1901">
        <v>14</v>
      </c>
      <c r="B1901">
        <v>0</v>
      </c>
      <c r="C1901">
        <v>372</v>
      </c>
    </row>
    <row r="1902" spans="1:3" x14ac:dyDescent="0.25">
      <c r="A1902">
        <v>12</v>
      </c>
      <c r="B1902">
        <v>0</v>
      </c>
      <c r="C1902">
        <v>372</v>
      </c>
    </row>
    <row r="1903" spans="1:3" x14ac:dyDescent="0.25">
      <c r="A1903">
        <v>12</v>
      </c>
      <c r="B1903">
        <v>0</v>
      </c>
      <c r="C1903">
        <v>372</v>
      </c>
    </row>
    <row r="1904" spans="1:3" x14ac:dyDescent="0.25">
      <c r="A1904">
        <v>12</v>
      </c>
      <c r="B1904">
        <v>0</v>
      </c>
      <c r="C1904">
        <v>372</v>
      </c>
    </row>
    <row r="1905" spans="1:3" x14ac:dyDescent="0.25">
      <c r="A1905">
        <v>12</v>
      </c>
      <c r="B1905">
        <v>0</v>
      </c>
      <c r="C1905">
        <v>372</v>
      </c>
    </row>
    <row r="1906" spans="1:3" x14ac:dyDescent="0.25">
      <c r="A1906">
        <v>12</v>
      </c>
      <c r="B1906">
        <v>0</v>
      </c>
      <c r="C1906">
        <v>372</v>
      </c>
    </row>
    <row r="1907" spans="1:3" x14ac:dyDescent="0.25">
      <c r="A1907">
        <v>13</v>
      </c>
      <c r="B1907">
        <v>0</v>
      </c>
      <c r="C1907">
        <v>372</v>
      </c>
    </row>
    <row r="1908" spans="1:3" x14ac:dyDescent="0.25">
      <c r="A1908">
        <v>13</v>
      </c>
      <c r="B1908">
        <v>0</v>
      </c>
      <c r="C1908">
        <v>344</v>
      </c>
    </row>
    <row r="1909" spans="1:3" x14ac:dyDescent="0.25">
      <c r="A1909">
        <v>12</v>
      </c>
      <c r="B1909">
        <v>0</v>
      </c>
      <c r="C1909">
        <v>344</v>
      </c>
    </row>
    <row r="1910" spans="1:3" x14ac:dyDescent="0.25">
      <c r="A1910">
        <v>12</v>
      </c>
      <c r="B1910">
        <v>0</v>
      </c>
      <c r="C1910">
        <v>344</v>
      </c>
    </row>
    <row r="1911" spans="1:3" x14ac:dyDescent="0.25">
      <c r="A1911">
        <v>16</v>
      </c>
      <c r="B1911">
        <v>0</v>
      </c>
      <c r="C1911">
        <v>344</v>
      </c>
    </row>
    <row r="1912" spans="1:3" x14ac:dyDescent="0.25">
      <c r="A1912">
        <v>12</v>
      </c>
      <c r="B1912">
        <v>0</v>
      </c>
      <c r="C1912">
        <v>344</v>
      </c>
    </row>
    <row r="1913" spans="1:3" x14ac:dyDescent="0.25">
      <c r="A1913">
        <v>14</v>
      </c>
      <c r="B1913">
        <v>0</v>
      </c>
      <c r="C1913">
        <v>344</v>
      </c>
    </row>
    <row r="1914" spans="1:3" x14ac:dyDescent="0.25">
      <c r="A1914">
        <v>17</v>
      </c>
      <c r="B1914">
        <v>0</v>
      </c>
      <c r="C1914">
        <v>344</v>
      </c>
    </row>
    <row r="1915" spans="1:3" x14ac:dyDescent="0.25">
      <c r="A1915">
        <v>13</v>
      </c>
      <c r="B1915">
        <v>0</v>
      </c>
      <c r="C1915">
        <v>344</v>
      </c>
    </row>
    <row r="1916" spans="1:3" x14ac:dyDescent="0.25">
      <c r="A1916">
        <v>12</v>
      </c>
      <c r="B1916">
        <v>0</v>
      </c>
      <c r="C1916">
        <v>356</v>
      </c>
    </row>
    <row r="1917" spans="1:3" x14ac:dyDescent="0.25">
      <c r="A1917">
        <v>12</v>
      </c>
      <c r="B1917">
        <v>0</v>
      </c>
      <c r="C1917">
        <v>356</v>
      </c>
    </row>
    <row r="1918" spans="1:3" x14ac:dyDescent="0.25">
      <c r="A1918">
        <v>12</v>
      </c>
      <c r="B1918">
        <v>0</v>
      </c>
      <c r="C1918">
        <v>356</v>
      </c>
    </row>
    <row r="1919" spans="1:3" x14ac:dyDescent="0.25">
      <c r="A1919">
        <v>12</v>
      </c>
      <c r="B1919">
        <v>0</v>
      </c>
      <c r="C1919">
        <v>356</v>
      </c>
    </row>
    <row r="1920" spans="1:3" x14ac:dyDescent="0.25">
      <c r="A1920">
        <v>12</v>
      </c>
      <c r="B1920">
        <v>0</v>
      </c>
      <c r="C1920">
        <v>356</v>
      </c>
    </row>
    <row r="1921" spans="1:3" x14ac:dyDescent="0.25">
      <c r="A1921">
        <v>13</v>
      </c>
      <c r="B1921">
        <v>0</v>
      </c>
      <c r="C1921">
        <v>356</v>
      </c>
    </row>
    <row r="1922" spans="1:3" x14ac:dyDescent="0.25">
      <c r="A1922">
        <v>12</v>
      </c>
      <c r="B1922">
        <v>0</v>
      </c>
      <c r="C1922">
        <v>356</v>
      </c>
    </row>
    <row r="1923" spans="1:3" x14ac:dyDescent="0.25">
      <c r="A1923">
        <v>14</v>
      </c>
      <c r="B1923">
        <v>0</v>
      </c>
      <c r="C1923">
        <v>356</v>
      </c>
    </row>
    <row r="1924" spans="1:3" x14ac:dyDescent="0.25">
      <c r="A1924">
        <v>17</v>
      </c>
      <c r="B1924">
        <v>0</v>
      </c>
      <c r="C1924">
        <v>382</v>
      </c>
    </row>
    <row r="1925" spans="1:3" x14ac:dyDescent="0.25">
      <c r="A1925">
        <v>12</v>
      </c>
      <c r="B1925">
        <v>0</v>
      </c>
      <c r="C1925">
        <v>382</v>
      </c>
    </row>
    <row r="1926" spans="1:3" x14ac:dyDescent="0.25">
      <c r="A1926">
        <v>12</v>
      </c>
      <c r="B1926">
        <v>0</v>
      </c>
      <c r="C1926">
        <v>382</v>
      </c>
    </row>
    <row r="1927" spans="1:3" x14ac:dyDescent="0.25">
      <c r="A1927">
        <v>12</v>
      </c>
      <c r="B1927">
        <v>0</v>
      </c>
      <c r="C1927">
        <v>382</v>
      </c>
    </row>
    <row r="1928" spans="1:3" x14ac:dyDescent="0.25">
      <c r="A1928">
        <v>13</v>
      </c>
      <c r="B1928">
        <v>0</v>
      </c>
      <c r="C1928">
        <v>382</v>
      </c>
    </row>
    <row r="1929" spans="1:3" x14ac:dyDescent="0.25">
      <c r="A1929">
        <v>15</v>
      </c>
      <c r="B1929">
        <v>0</v>
      </c>
      <c r="C1929">
        <v>382</v>
      </c>
    </row>
    <row r="1930" spans="1:3" x14ac:dyDescent="0.25">
      <c r="A1930">
        <v>12</v>
      </c>
      <c r="B1930">
        <v>0</v>
      </c>
      <c r="C1930">
        <v>382</v>
      </c>
    </row>
    <row r="1931" spans="1:3" x14ac:dyDescent="0.25">
      <c r="A1931">
        <v>12</v>
      </c>
      <c r="B1931">
        <v>0</v>
      </c>
      <c r="C1931">
        <v>382</v>
      </c>
    </row>
    <row r="1932" spans="1:3" x14ac:dyDescent="0.25">
      <c r="A1932">
        <v>12</v>
      </c>
      <c r="B1932">
        <v>0</v>
      </c>
      <c r="C1932">
        <v>348</v>
      </c>
    </row>
    <row r="1933" spans="1:3" x14ac:dyDescent="0.25">
      <c r="A1933">
        <v>13</v>
      </c>
      <c r="B1933">
        <v>0</v>
      </c>
      <c r="C1933">
        <v>348</v>
      </c>
    </row>
    <row r="1934" spans="1:3" x14ac:dyDescent="0.25">
      <c r="A1934">
        <v>12</v>
      </c>
      <c r="B1934">
        <v>0</v>
      </c>
      <c r="C1934">
        <v>348</v>
      </c>
    </row>
    <row r="1935" spans="1:3" x14ac:dyDescent="0.25">
      <c r="A1935">
        <v>12</v>
      </c>
      <c r="B1935">
        <v>0</v>
      </c>
      <c r="C1935">
        <v>348</v>
      </c>
    </row>
    <row r="1936" spans="1:3" x14ac:dyDescent="0.25">
      <c r="A1936">
        <v>13</v>
      </c>
      <c r="B1936">
        <v>0</v>
      </c>
      <c r="C1936">
        <v>348</v>
      </c>
    </row>
    <row r="1937" spans="1:3" x14ac:dyDescent="0.25">
      <c r="A1937">
        <v>12</v>
      </c>
      <c r="B1937">
        <v>0</v>
      </c>
      <c r="C1937">
        <v>348</v>
      </c>
    </row>
    <row r="1938" spans="1:3" x14ac:dyDescent="0.25">
      <c r="A1938">
        <v>12</v>
      </c>
      <c r="B1938">
        <v>0</v>
      </c>
      <c r="C1938">
        <v>348</v>
      </c>
    </row>
    <row r="1939" spans="1:3" x14ac:dyDescent="0.25">
      <c r="A1939">
        <v>11</v>
      </c>
      <c r="B1939">
        <v>0</v>
      </c>
      <c r="C1939">
        <v>348</v>
      </c>
    </row>
    <row r="1940" spans="1:3" x14ac:dyDescent="0.25">
      <c r="A1940">
        <v>12</v>
      </c>
      <c r="B1940">
        <v>0</v>
      </c>
      <c r="C1940">
        <v>307</v>
      </c>
    </row>
    <row r="1941" spans="1:3" x14ac:dyDescent="0.25">
      <c r="A1941">
        <v>16</v>
      </c>
      <c r="B1941">
        <v>0</v>
      </c>
      <c r="C1941">
        <v>307</v>
      </c>
    </row>
    <row r="1942" spans="1:3" x14ac:dyDescent="0.25">
      <c r="A1942">
        <v>13</v>
      </c>
      <c r="B1942">
        <v>0</v>
      </c>
      <c r="C1942">
        <v>307</v>
      </c>
    </row>
    <row r="1943" spans="1:3" x14ac:dyDescent="0.25">
      <c r="A1943">
        <v>12</v>
      </c>
      <c r="B1943">
        <v>0</v>
      </c>
      <c r="C1943">
        <v>307</v>
      </c>
    </row>
    <row r="1944" spans="1:3" x14ac:dyDescent="0.25">
      <c r="A1944">
        <v>15</v>
      </c>
      <c r="B1944">
        <v>0</v>
      </c>
      <c r="C1944">
        <v>307</v>
      </c>
    </row>
    <row r="1945" spans="1:3" x14ac:dyDescent="0.25">
      <c r="A1945">
        <v>20</v>
      </c>
      <c r="B1945">
        <v>0</v>
      </c>
      <c r="C1945">
        <v>307</v>
      </c>
    </row>
    <row r="1946" spans="1:3" x14ac:dyDescent="0.25">
      <c r="A1946">
        <v>13</v>
      </c>
      <c r="B1946">
        <v>0</v>
      </c>
      <c r="C1946">
        <v>307</v>
      </c>
    </row>
    <row r="1947" spans="1:3" x14ac:dyDescent="0.25">
      <c r="A1947">
        <v>12</v>
      </c>
      <c r="B1947">
        <v>0</v>
      </c>
      <c r="C1947">
        <v>550</v>
      </c>
    </row>
    <row r="1948" spans="1:3" x14ac:dyDescent="0.25">
      <c r="A1948">
        <v>13</v>
      </c>
      <c r="B1948">
        <v>0</v>
      </c>
      <c r="C1948">
        <v>550</v>
      </c>
    </row>
    <row r="1949" spans="1:3" x14ac:dyDescent="0.25">
      <c r="A1949">
        <v>11</v>
      </c>
      <c r="B1949">
        <v>0</v>
      </c>
      <c r="C1949">
        <v>550</v>
      </c>
    </row>
    <row r="1950" spans="1:3" x14ac:dyDescent="0.25">
      <c r="A1950">
        <v>12</v>
      </c>
      <c r="B1950">
        <v>0</v>
      </c>
      <c r="C1950">
        <v>550</v>
      </c>
    </row>
    <row r="1951" spans="1:3" x14ac:dyDescent="0.25">
      <c r="A1951">
        <v>12</v>
      </c>
      <c r="B1951">
        <v>0</v>
      </c>
      <c r="C1951">
        <v>550</v>
      </c>
    </row>
    <row r="1952" spans="1:3" x14ac:dyDescent="0.25">
      <c r="A1952">
        <v>13</v>
      </c>
      <c r="B1952">
        <v>0</v>
      </c>
      <c r="C1952">
        <v>550</v>
      </c>
    </row>
    <row r="1953" spans="1:3" x14ac:dyDescent="0.25">
      <c r="A1953">
        <v>12</v>
      </c>
      <c r="B1953">
        <v>0</v>
      </c>
      <c r="C1953">
        <v>550</v>
      </c>
    </row>
    <row r="1954" spans="1:3" x14ac:dyDescent="0.25">
      <c r="A1954">
        <v>19</v>
      </c>
      <c r="B1954">
        <v>0</v>
      </c>
      <c r="C1954">
        <v>550</v>
      </c>
    </row>
    <row r="1955" spans="1:3" x14ac:dyDescent="0.25">
      <c r="A1955">
        <v>11</v>
      </c>
      <c r="B1955">
        <v>0</v>
      </c>
      <c r="C1955">
        <v>346</v>
      </c>
    </row>
    <row r="1956" spans="1:3" x14ac:dyDescent="0.25">
      <c r="A1956">
        <v>15</v>
      </c>
      <c r="B1956">
        <v>0</v>
      </c>
      <c r="C1956">
        <v>346</v>
      </c>
    </row>
    <row r="1957" spans="1:3" x14ac:dyDescent="0.25">
      <c r="A1957">
        <v>12</v>
      </c>
      <c r="B1957">
        <v>0</v>
      </c>
      <c r="C1957">
        <v>346</v>
      </c>
    </row>
    <row r="1958" spans="1:3" x14ac:dyDescent="0.25">
      <c r="A1958">
        <v>13</v>
      </c>
      <c r="B1958">
        <v>0</v>
      </c>
      <c r="C1958">
        <v>346</v>
      </c>
    </row>
    <row r="1959" spans="1:3" x14ac:dyDescent="0.25">
      <c r="A1959">
        <v>12</v>
      </c>
      <c r="B1959">
        <v>0</v>
      </c>
      <c r="C1959">
        <v>346</v>
      </c>
    </row>
    <row r="1960" spans="1:3" x14ac:dyDescent="0.25">
      <c r="A1960">
        <v>13</v>
      </c>
      <c r="B1960">
        <v>0</v>
      </c>
      <c r="C1960">
        <v>346</v>
      </c>
    </row>
    <row r="1961" spans="1:3" x14ac:dyDescent="0.25">
      <c r="A1961">
        <v>12</v>
      </c>
      <c r="B1961">
        <v>0</v>
      </c>
      <c r="C1961">
        <v>346</v>
      </c>
    </row>
    <row r="1962" spans="1:3" x14ac:dyDescent="0.25">
      <c r="A1962">
        <v>12</v>
      </c>
      <c r="B1962">
        <v>0</v>
      </c>
      <c r="C1962">
        <v>346</v>
      </c>
    </row>
    <row r="1963" spans="1:3" x14ac:dyDescent="0.25">
      <c r="A1963">
        <v>11</v>
      </c>
      <c r="B1963">
        <v>0</v>
      </c>
      <c r="C1963">
        <v>330</v>
      </c>
    </row>
    <row r="1964" spans="1:3" x14ac:dyDescent="0.25">
      <c r="A1964">
        <v>12</v>
      </c>
      <c r="B1964">
        <v>0</v>
      </c>
      <c r="C1964">
        <v>330</v>
      </c>
    </row>
    <row r="1965" spans="1:3" x14ac:dyDescent="0.25">
      <c r="A1965">
        <v>15</v>
      </c>
      <c r="B1965">
        <v>0</v>
      </c>
      <c r="C1965">
        <v>330</v>
      </c>
    </row>
    <row r="1966" spans="1:3" x14ac:dyDescent="0.25">
      <c r="A1966">
        <v>11</v>
      </c>
      <c r="B1966">
        <v>0</v>
      </c>
      <c r="C1966">
        <v>330</v>
      </c>
    </row>
    <row r="1967" spans="1:3" x14ac:dyDescent="0.25">
      <c r="A1967">
        <v>13</v>
      </c>
      <c r="B1967">
        <v>0</v>
      </c>
      <c r="C1967">
        <v>330</v>
      </c>
    </row>
    <row r="1968" spans="1:3" x14ac:dyDescent="0.25">
      <c r="A1968">
        <v>16</v>
      </c>
      <c r="B1968">
        <v>0</v>
      </c>
      <c r="C1968">
        <v>330</v>
      </c>
    </row>
    <row r="1969" spans="1:3" x14ac:dyDescent="0.25">
      <c r="A1969">
        <v>11</v>
      </c>
      <c r="B1969">
        <v>0</v>
      </c>
      <c r="C1969">
        <v>330</v>
      </c>
    </row>
    <row r="1970" spans="1:3" x14ac:dyDescent="0.25">
      <c r="A1970">
        <v>12</v>
      </c>
      <c r="B1970">
        <v>0</v>
      </c>
      <c r="C1970">
        <v>330</v>
      </c>
    </row>
    <row r="1971" spans="1:3" x14ac:dyDescent="0.25">
      <c r="A1971">
        <v>12</v>
      </c>
      <c r="B1971">
        <v>0</v>
      </c>
      <c r="C1971">
        <v>359</v>
      </c>
    </row>
    <row r="1972" spans="1:3" x14ac:dyDescent="0.25">
      <c r="A1972">
        <v>12</v>
      </c>
      <c r="B1972">
        <v>0</v>
      </c>
      <c r="C1972">
        <v>359</v>
      </c>
    </row>
    <row r="1973" spans="1:3" x14ac:dyDescent="0.25">
      <c r="A1973">
        <v>11</v>
      </c>
      <c r="B1973">
        <v>0</v>
      </c>
      <c r="C1973">
        <v>359</v>
      </c>
    </row>
    <row r="1974" spans="1:3" x14ac:dyDescent="0.25">
      <c r="A1974">
        <v>15</v>
      </c>
      <c r="B1974">
        <v>0</v>
      </c>
      <c r="C1974">
        <v>359</v>
      </c>
    </row>
    <row r="1975" spans="1:3" x14ac:dyDescent="0.25">
      <c r="A1975">
        <v>12</v>
      </c>
      <c r="B1975">
        <v>0</v>
      </c>
      <c r="C1975">
        <v>359</v>
      </c>
    </row>
    <row r="1976" spans="1:3" x14ac:dyDescent="0.25">
      <c r="A1976">
        <v>12</v>
      </c>
      <c r="B1976">
        <v>0</v>
      </c>
      <c r="C1976">
        <v>359</v>
      </c>
    </row>
    <row r="1977" spans="1:3" x14ac:dyDescent="0.25">
      <c r="A1977">
        <v>13</v>
      </c>
      <c r="B1977">
        <v>0</v>
      </c>
      <c r="C1977">
        <v>359</v>
      </c>
    </row>
    <row r="1978" spans="1:3" x14ac:dyDescent="0.25">
      <c r="A1978">
        <v>11</v>
      </c>
      <c r="B1978">
        <v>0</v>
      </c>
      <c r="C1978">
        <v>359</v>
      </c>
    </row>
    <row r="1979" spans="1:3" x14ac:dyDescent="0.25">
      <c r="A1979">
        <v>12</v>
      </c>
      <c r="B1979">
        <v>0</v>
      </c>
      <c r="C1979">
        <v>341</v>
      </c>
    </row>
    <row r="1980" spans="1:3" x14ac:dyDescent="0.25">
      <c r="A1980">
        <v>12</v>
      </c>
      <c r="B1980">
        <v>0</v>
      </c>
      <c r="C1980">
        <v>341</v>
      </c>
    </row>
    <row r="1981" spans="1:3" x14ac:dyDescent="0.25">
      <c r="A1981">
        <v>12</v>
      </c>
      <c r="B1981">
        <v>0</v>
      </c>
      <c r="C1981">
        <v>341</v>
      </c>
    </row>
    <row r="1982" spans="1:3" x14ac:dyDescent="0.25">
      <c r="A1982">
        <v>11</v>
      </c>
      <c r="B1982">
        <v>0</v>
      </c>
      <c r="C1982">
        <v>341</v>
      </c>
    </row>
    <row r="1983" spans="1:3" x14ac:dyDescent="0.25">
      <c r="A1983">
        <v>11</v>
      </c>
      <c r="B1983">
        <v>0</v>
      </c>
      <c r="C1983">
        <v>341</v>
      </c>
    </row>
    <row r="1984" spans="1:3" x14ac:dyDescent="0.25">
      <c r="A1984">
        <v>11</v>
      </c>
      <c r="B1984">
        <v>0</v>
      </c>
      <c r="C1984">
        <v>341</v>
      </c>
    </row>
    <row r="1985" spans="1:3" x14ac:dyDescent="0.25">
      <c r="A1985">
        <v>11</v>
      </c>
      <c r="B1985">
        <v>0</v>
      </c>
      <c r="C1985">
        <v>341</v>
      </c>
    </row>
    <row r="1986" spans="1:3" x14ac:dyDescent="0.25">
      <c r="A1986">
        <v>15</v>
      </c>
      <c r="B1986">
        <v>0</v>
      </c>
      <c r="C1986">
        <v>310</v>
      </c>
    </row>
    <row r="1987" spans="1:3" x14ac:dyDescent="0.25">
      <c r="A1987">
        <v>12</v>
      </c>
      <c r="B1987">
        <v>0</v>
      </c>
      <c r="C1987">
        <v>310</v>
      </c>
    </row>
    <row r="1988" spans="1:3" x14ac:dyDescent="0.25">
      <c r="A1988">
        <v>11</v>
      </c>
      <c r="B1988">
        <v>0</v>
      </c>
      <c r="C1988">
        <v>310</v>
      </c>
    </row>
    <row r="1989" spans="1:3" x14ac:dyDescent="0.25">
      <c r="A1989">
        <v>12</v>
      </c>
      <c r="B1989">
        <v>0</v>
      </c>
      <c r="C1989">
        <v>310</v>
      </c>
    </row>
    <row r="1990" spans="1:3" x14ac:dyDescent="0.25">
      <c r="A1990">
        <v>11</v>
      </c>
      <c r="B1990">
        <v>0</v>
      </c>
      <c r="C1990">
        <v>310</v>
      </c>
    </row>
    <row r="1991" spans="1:3" x14ac:dyDescent="0.25">
      <c r="A1991">
        <v>12</v>
      </c>
      <c r="B1991">
        <v>0</v>
      </c>
      <c r="C1991">
        <v>310</v>
      </c>
    </row>
    <row r="1992" spans="1:3" x14ac:dyDescent="0.25">
      <c r="A1992">
        <v>11</v>
      </c>
      <c r="B1992">
        <v>0</v>
      </c>
      <c r="C1992">
        <v>310</v>
      </c>
    </row>
    <row r="1993" spans="1:3" x14ac:dyDescent="0.25">
      <c r="A1993">
        <v>13</v>
      </c>
      <c r="B1993">
        <v>0</v>
      </c>
      <c r="C1993">
        <v>310</v>
      </c>
    </row>
    <row r="1994" spans="1:3" x14ac:dyDescent="0.25">
      <c r="A1994">
        <v>11</v>
      </c>
      <c r="B1994">
        <v>0</v>
      </c>
      <c r="C1994">
        <v>336</v>
      </c>
    </row>
    <row r="1995" spans="1:3" x14ac:dyDescent="0.25">
      <c r="A1995">
        <v>14</v>
      </c>
      <c r="B1995">
        <v>0</v>
      </c>
      <c r="C1995">
        <v>336</v>
      </c>
    </row>
    <row r="1996" spans="1:3" x14ac:dyDescent="0.25">
      <c r="A1996">
        <v>10</v>
      </c>
      <c r="B1996">
        <v>0</v>
      </c>
      <c r="C1996">
        <v>336</v>
      </c>
    </row>
    <row r="1997" spans="1:3" x14ac:dyDescent="0.25">
      <c r="A1997">
        <v>12</v>
      </c>
      <c r="B1997">
        <v>0</v>
      </c>
      <c r="C1997">
        <v>336</v>
      </c>
    </row>
    <row r="1998" spans="1:3" x14ac:dyDescent="0.25">
      <c r="A1998">
        <v>15</v>
      </c>
      <c r="B1998">
        <v>0</v>
      </c>
      <c r="C1998">
        <v>336</v>
      </c>
    </row>
    <row r="1999" spans="1:3" x14ac:dyDescent="0.25">
      <c r="A1999">
        <v>13</v>
      </c>
      <c r="B1999">
        <v>0</v>
      </c>
      <c r="C1999">
        <v>336</v>
      </c>
    </row>
    <row r="2000" spans="1:3" x14ac:dyDescent="0.25">
      <c r="A2000">
        <v>14</v>
      </c>
      <c r="B2000">
        <v>0</v>
      </c>
      <c r="C2000">
        <v>336</v>
      </c>
    </row>
    <row r="2001" spans="1:3" x14ac:dyDescent="0.25">
      <c r="A2001">
        <v>12</v>
      </c>
      <c r="B2001">
        <v>0</v>
      </c>
      <c r="C2001">
        <v>336</v>
      </c>
    </row>
    <row r="2002" spans="1:3" x14ac:dyDescent="0.25">
      <c r="A2002">
        <v>41</v>
      </c>
      <c r="B2002">
        <v>0</v>
      </c>
      <c r="C2002">
        <v>176</v>
      </c>
    </row>
    <row r="2003" spans="1:3" x14ac:dyDescent="0.25">
      <c r="A2003">
        <v>14</v>
      </c>
      <c r="B2003">
        <v>0</v>
      </c>
      <c r="C2003">
        <v>176</v>
      </c>
    </row>
    <row r="2004" spans="1:3" x14ac:dyDescent="0.25">
      <c r="A2004">
        <v>11</v>
      </c>
      <c r="B2004">
        <v>0</v>
      </c>
      <c r="C2004">
        <v>176</v>
      </c>
    </row>
    <row r="2005" spans="1:3" x14ac:dyDescent="0.25">
      <c r="A2005">
        <v>13</v>
      </c>
      <c r="B2005">
        <v>0</v>
      </c>
      <c r="C2005">
        <v>176</v>
      </c>
    </row>
    <row r="2006" spans="1:3" x14ac:dyDescent="0.25">
      <c r="A2006">
        <v>13</v>
      </c>
      <c r="B2006">
        <v>0</v>
      </c>
      <c r="C2006">
        <v>176</v>
      </c>
    </row>
    <row r="2007" spans="1:3" x14ac:dyDescent="0.25">
      <c r="A2007">
        <v>13</v>
      </c>
      <c r="B2007">
        <v>0</v>
      </c>
      <c r="C2007">
        <v>176</v>
      </c>
    </row>
    <row r="2008" spans="1:3" x14ac:dyDescent="0.25">
      <c r="A2008">
        <v>15</v>
      </c>
      <c r="B2008">
        <v>0</v>
      </c>
      <c r="C2008">
        <v>176</v>
      </c>
    </row>
    <row r="2009" spans="1:3" x14ac:dyDescent="0.25">
      <c r="A2009">
        <v>16</v>
      </c>
      <c r="B2009">
        <v>0</v>
      </c>
      <c r="C2009">
        <v>444</v>
      </c>
    </row>
    <row r="2010" spans="1:3" x14ac:dyDescent="0.25">
      <c r="A2010">
        <v>15</v>
      </c>
      <c r="B2010">
        <v>0</v>
      </c>
      <c r="C2010">
        <v>444</v>
      </c>
    </row>
    <row r="2011" spans="1:3" x14ac:dyDescent="0.25">
      <c r="A2011">
        <v>13</v>
      </c>
      <c r="B2011">
        <v>0</v>
      </c>
      <c r="C2011">
        <v>444</v>
      </c>
    </row>
    <row r="2012" spans="1:3" x14ac:dyDescent="0.25">
      <c r="A2012">
        <v>13</v>
      </c>
      <c r="B2012">
        <v>0</v>
      </c>
      <c r="C2012">
        <v>444</v>
      </c>
    </row>
    <row r="2013" spans="1:3" x14ac:dyDescent="0.25">
      <c r="A2013">
        <v>17</v>
      </c>
      <c r="B2013">
        <v>0</v>
      </c>
      <c r="C2013">
        <v>444</v>
      </c>
    </row>
    <row r="2014" spans="1:3" x14ac:dyDescent="0.25">
      <c r="A2014">
        <v>13</v>
      </c>
      <c r="B2014">
        <v>0</v>
      </c>
      <c r="C2014">
        <v>444</v>
      </c>
    </row>
    <row r="2015" spans="1:3" x14ac:dyDescent="0.25">
      <c r="A2015">
        <v>32</v>
      </c>
      <c r="B2015">
        <v>0</v>
      </c>
      <c r="C2015">
        <v>444</v>
      </c>
    </row>
    <row r="2016" spans="1:3" x14ac:dyDescent="0.25">
      <c r="A2016">
        <v>12</v>
      </c>
      <c r="B2016">
        <v>0</v>
      </c>
      <c r="C2016">
        <v>444</v>
      </c>
    </row>
    <row r="2017" spans="1:3" x14ac:dyDescent="0.25">
      <c r="A2017">
        <v>14</v>
      </c>
      <c r="B2017">
        <v>0</v>
      </c>
      <c r="C2017">
        <v>444</v>
      </c>
    </row>
    <row r="2018" spans="1:3" x14ac:dyDescent="0.25">
      <c r="A2018">
        <v>13</v>
      </c>
      <c r="B2018">
        <v>0</v>
      </c>
      <c r="C2018">
        <v>444</v>
      </c>
    </row>
    <row r="2019" spans="1:3" x14ac:dyDescent="0.25">
      <c r="A2019">
        <v>12</v>
      </c>
      <c r="B2019">
        <v>0</v>
      </c>
      <c r="C2019">
        <v>444</v>
      </c>
    </row>
    <row r="2020" spans="1:3" x14ac:dyDescent="0.25">
      <c r="A2020">
        <v>12</v>
      </c>
      <c r="B2020">
        <v>0</v>
      </c>
      <c r="C2020">
        <v>444</v>
      </c>
    </row>
    <row r="2021" spans="1:3" x14ac:dyDescent="0.25">
      <c r="A2021">
        <v>12</v>
      </c>
      <c r="B2021">
        <v>0</v>
      </c>
      <c r="C2021">
        <v>444</v>
      </c>
    </row>
    <row r="2022" spans="1:3" x14ac:dyDescent="0.25">
      <c r="A2022">
        <v>11</v>
      </c>
      <c r="B2022">
        <v>0</v>
      </c>
      <c r="C2022">
        <v>444</v>
      </c>
    </row>
    <row r="2023" spans="1:3" x14ac:dyDescent="0.25">
      <c r="A2023">
        <v>12</v>
      </c>
      <c r="B2023">
        <v>0</v>
      </c>
      <c r="C2023">
        <v>444</v>
      </c>
    </row>
    <row r="2024" spans="1:3" x14ac:dyDescent="0.25">
      <c r="A2024">
        <v>12</v>
      </c>
      <c r="B2024">
        <v>0</v>
      </c>
      <c r="C2024">
        <v>440</v>
      </c>
    </row>
    <row r="2025" spans="1:3" x14ac:dyDescent="0.25">
      <c r="A2025">
        <v>16</v>
      </c>
      <c r="B2025">
        <v>0</v>
      </c>
      <c r="C2025">
        <v>440</v>
      </c>
    </row>
    <row r="2026" spans="1:3" x14ac:dyDescent="0.25">
      <c r="A2026">
        <v>16</v>
      </c>
      <c r="B2026">
        <v>0</v>
      </c>
      <c r="C2026">
        <v>440</v>
      </c>
    </row>
    <row r="2027" spans="1:3" x14ac:dyDescent="0.25">
      <c r="A2027">
        <v>13</v>
      </c>
      <c r="B2027">
        <v>0</v>
      </c>
      <c r="C2027">
        <v>440</v>
      </c>
    </row>
    <row r="2028" spans="1:3" x14ac:dyDescent="0.25">
      <c r="A2028">
        <v>13</v>
      </c>
      <c r="B2028">
        <v>0</v>
      </c>
      <c r="C2028">
        <v>440</v>
      </c>
    </row>
    <row r="2029" spans="1:3" x14ac:dyDescent="0.25">
      <c r="A2029">
        <v>13</v>
      </c>
      <c r="B2029">
        <v>0</v>
      </c>
      <c r="C2029">
        <v>440</v>
      </c>
    </row>
    <row r="2030" spans="1:3" x14ac:dyDescent="0.25">
      <c r="A2030">
        <v>12</v>
      </c>
      <c r="B2030">
        <v>0</v>
      </c>
      <c r="C2030">
        <v>440</v>
      </c>
    </row>
    <row r="2031" spans="1:3" x14ac:dyDescent="0.25">
      <c r="A2031">
        <v>15</v>
      </c>
      <c r="B2031">
        <v>0</v>
      </c>
      <c r="C2031">
        <v>434</v>
      </c>
    </row>
    <row r="2032" spans="1:3" x14ac:dyDescent="0.25">
      <c r="A2032">
        <v>14</v>
      </c>
      <c r="B2032">
        <v>0</v>
      </c>
      <c r="C2032">
        <v>434</v>
      </c>
    </row>
    <row r="2033" spans="1:3" x14ac:dyDescent="0.25">
      <c r="A2033">
        <v>16</v>
      </c>
      <c r="B2033">
        <v>0</v>
      </c>
      <c r="C2033">
        <v>434</v>
      </c>
    </row>
    <row r="2034" spans="1:3" x14ac:dyDescent="0.25">
      <c r="A2034">
        <v>13</v>
      </c>
      <c r="B2034">
        <v>0</v>
      </c>
      <c r="C2034">
        <v>434</v>
      </c>
    </row>
    <row r="2035" spans="1:3" x14ac:dyDescent="0.25">
      <c r="A2035">
        <v>15</v>
      </c>
      <c r="B2035">
        <v>0</v>
      </c>
      <c r="C2035">
        <v>434</v>
      </c>
    </row>
    <row r="2036" spans="1:3" x14ac:dyDescent="0.25">
      <c r="A2036">
        <v>13</v>
      </c>
      <c r="B2036">
        <v>0</v>
      </c>
      <c r="C2036">
        <v>434</v>
      </c>
    </row>
    <row r="2037" spans="1:3" x14ac:dyDescent="0.25">
      <c r="A2037">
        <v>13</v>
      </c>
      <c r="B2037">
        <v>0</v>
      </c>
      <c r="C2037">
        <v>434</v>
      </c>
    </row>
    <row r="2038" spans="1:3" x14ac:dyDescent="0.25">
      <c r="A2038">
        <v>12</v>
      </c>
      <c r="B2038">
        <v>0</v>
      </c>
      <c r="C2038">
        <v>409</v>
      </c>
    </row>
    <row r="2039" spans="1:3" x14ac:dyDescent="0.25">
      <c r="A2039">
        <v>16</v>
      </c>
      <c r="B2039">
        <v>0</v>
      </c>
      <c r="C2039">
        <v>409</v>
      </c>
    </row>
    <row r="2040" spans="1:3" x14ac:dyDescent="0.25">
      <c r="A2040">
        <v>12</v>
      </c>
      <c r="B2040">
        <v>0</v>
      </c>
      <c r="C2040">
        <v>409</v>
      </c>
    </row>
    <row r="2041" spans="1:3" x14ac:dyDescent="0.25">
      <c r="A2041">
        <v>16</v>
      </c>
      <c r="B2041">
        <v>0</v>
      </c>
      <c r="C2041">
        <v>409</v>
      </c>
    </row>
    <row r="2042" spans="1:3" x14ac:dyDescent="0.25">
      <c r="A2042">
        <v>13</v>
      </c>
      <c r="B2042">
        <v>0</v>
      </c>
      <c r="C2042">
        <v>409</v>
      </c>
    </row>
    <row r="2043" spans="1:3" x14ac:dyDescent="0.25">
      <c r="A2043">
        <v>11</v>
      </c>
      <c r="B2043">
        <v>0</v>
      </c>
      <c r="C2043">
        <v>409</v>
      </c>
    </row>
    <row r="2044" spans="1:3" x14ac:dyDescent="0.25">
      <c r="A2044">
        <v>13</v>
      </c>
      <c r="B2044">
        <v>0</v>
      </c>
      <c r="C2044">
        <v>409</v>
      </c>
    </row>
    <row r="2045" spans="1:3" x14ac:dyDescent="0.25">
      <c r="A2045">
        <v>15</v>
      </c>
      <c r="B2045">
        <v>0</v>
      </c>
      <c r="C2045">
        <v>453</v>
      </c>
    </row>
    <row r="2046" spans="1:3" x14ac:dyDescent="0.25">
      <c r="A2046">
        <v>13</v>
      </c>
      <c r="B2046">
        <v>0</v>
      </c>
      <c r="C2046">
        <v>453</v>
      </c>
    </row>
    <row r="2047" spans="1:3" x14ac:dyDescent="0.25">
      <c r="A2047">
        <v>12</v>
      </c>
      <c r="B2047">
        <v>0</v>
      </c>
      <c r="C2047">
        <v>453</v>
      </c>
    </row>
    <row r="2048" spans="1:3" x14ac:dyDescent="0.25">
      <c r="A2048">
        <v>12</v>
      </c>
      <c r="B2048">
        <v>0</v>
      </c>
      <c r="C2048">
        <v>453</v>
      </c>
    </row>
    <row r="2049" spans="1:3" x14ac:dyDescent="0.25">
      <c r="A2049">
        <v>13</v>
      </c>
      <c r="B2049">
        <v>0</v>
      </c>
      <c r="C2049">
        <v>453</v>
      </c>
    </row>
    <row r="2050" spans="1:3" x14ac:dyDescent="0.25">
      <c r="A2050">
        <v>13</v>
      </c>
      <c r="B2050">
        <v>0</v>
      </c>
      <c r="C2050">
        <v>453</v>
      </c>
    </row>
    <row r="2051" spans="1:3" x14ac:dyDescent="0.25">
      <c r="A2051">
        <v>13</v>
      </c>
      <c r="B2051">
        <v>0</v>
      </c>
      <c r="C2051">
        <v>453</v>
      </c>
    </row>
    <row r="2052" spans="1:3" x14ac:dyDescent="0.25">
      <c r="A2052">
        <v>12</v>
      </c>
      <c r="B2052">
        <v>0</v>
      </c>
      <c r="C2052">
        <v>453</v>
      </c>
    </row>
    <row r="2053" spans="1:3" x14ac:dyDescent="0.25">
      <c r="A2053">
        <v>12</v>
      </c>
      <c r="B2053">
        <v>0</v>
      </c>
      <c r="C2053">
        <v>402</v>
      </c>
    </row>
    <row r="2054" spans="1:3" x14ac:dyDescent="0.25">
      <c r="A2054">
        <v>13</v>
      </c>
      <c r="B2054">
        <v>0</v>
      </c>
      <c r="C2054">
        <v>402</v>
      </c>
    </row>
    <row r="2055" spans="1:3" x14ac:dyDescent="0.25">
      <c r="A2055">
        <v>13</v>
      </c>
      <c r="B2055">
        <v>0</v>
      </c>
      <c r="C2055">
        <v>402</v>
      </c>
    </row>
    <row r="2056" spans="1:3" x14ac:dyDescent="0.25">
      <c r="A2056">
        <v>12</v>
      </c>
      <c r="B2056">
        <v>0</v>
      </c>
      <c r="C2056">
        <v>402</v>
      </c>
    </row>
    <row r="2057" spans="1:3" x14ac:dyDescent="0.25">
      <c r="A2057">
        <v>13</v>
      </c>
      <c r="B2057">
        <v>0</v>
      </c>
      <c r="C2057">
        <v>402</v>
      </c>
    </row>
    <row r="2058" spans="1:3" x14ac:dyDescent="0.25">
      <c r="A2058">
        <v>12</v>
      </c>
      <c r="B2058">
        <v>0</v>
      </c>
      <c r="C2058">
        <v>402</v>
      </c>
    </row>
    <row r="2059" spans="1:3" x14ac:dyDescent="0.25">
      <c r="A2059">
        <v>18</v>
      </c>
      <c r="B2059">
        <v>0</v>
      </c>
      <c r="C2059">
        <v>402</v>
      </c>
    </row>
    <row r="2060" spans="1:3" x14ac:dyDescent="0.25">
      <c r="A2060">
        <v>13</v>
      </c>
      <c r="B2060">
        <v>0</v>
      </c>
      <c r="C2060">
        <v>442</v>
      </c>
    </row>
    <row r="2061" spans="1:3" x14ac:dyDescent="0.25">
      <c r="A2061">
        <v>13</v>
      </c>
      <c r="B2061">
        <v>0</v>
      </c>
      <c r="C2061">
        <v>442</v>
      </c>
    </row>
    <row r="2062" spans="1:3" x14ac:dyDescent="0.25">
      <c r="A2062">
        <v>13</v>
      </c>
      <c r="B2062">
        <v>0</v>
      </c>
      <c r="C2062">
        <v>442</v>
      </c>
    </row>
    <row r="2063" spans="1:3" x14ac:dyDescent="0.25">
      <c r="A2063">
        <v>13</v>
      </c>
      <c r="B2063">
        <v>0</v>
      </c>
      <c r="C2063">
        <v>442</v>
      </c>
    </row>
    <row r="2064" spans="1:3" x14ac:dyDescent="0.25">
      <c r="A2064">
        <v>12</v>
      </c>
      <c r="B2064">
        <v>0</v>
      </c>
      <c r="C2064">
        <v>442</v>
      </c>
    </row>
    <row r="2065" spans="1:3" x14ac:dyDescent="0.25">
      <c r="A2065">
        <v>15</v>
      </c>
      <c r="B2065">
        <v>0</v>
      </c>
      <c r="C2065">
        <v>356</v>
      </c>
    </row>
    <row r="2066" spans="1:3" x14ac:dyDescent="0.25">
      <c r="A2066">
        <v>13</v>
      </c>
      <c r="B2066">
        <v>0</v>
      </c>
      <c r="C2066">
        <v>356</v>
      </c>
    </row>
    <row r="2067" spans="1:3" x14ac:dyDescent="0.25">
      <c r="A2067">
        <v>13</v>
      </c>
      <c r="B2067">
        <v>0</v>
      </c>
      <c r="C2067">
        <v>356</v>
      </c>
    </row>
    <row r="2068" spans="1:3" x14ac:dyDescent="0.25">
      <c r="A2068">
        <v>12</v>
      </c>
      <c r="B2068">
        <v>0</v>
      </c>
      <c r="C2068">
        <v>356</v>
      </c>
    </row>
    <row r="2069" spans="1:3" x14ac:dyDescent="0.25">
      <c r="A2069">
        <v>13</v>
      </c>
      <c r="B2069">
        <v>0</v>
      </c>
      <c r="C2069">
        <v>356</v>
      </c>
    </row>
    <row r="2070" spans="1:3" x14ac:dyDescent="0.25">
      <c r="A2070">
        <v>13</v>
      </c>
      <c r="B2070">
        <v>0</v>
      </c>
      <c r="C2070">
        <v>356</v>
      </c>
    </row>
    <row r="2071" spans="1:3" x14ac:dyDescent="0.25">
      <c r="A2071">
        <v>15</v>
      </c>
      <c r="B2071">
        <v>0</v>
      </c>
      <c r="C2071">
        <v>356</v>
      </c>
    </row>
    <row r="2072" spans="1:3" x14ac:dyDescent="0.25">
      <c r="A2072">
        <v>13</v>
      </c>
      <c r="B2072">
        <v>0</v>
      </c>
      <c r="C2072">
        <v>424</v>
      </c>
    </row>
    <row r="2073" spans="1:3" x14ac:dyDescent="0.25">
      <c r="A2073">
        <v>13</v>
      </c>
      <c r="B2073">
        <v>0</v>
      </c>
      <c r="C2073">
        <v>424</v>
      </c>
    </row>
    <row r="2074" spans="1:3" x14ac:dyDescent="0.25">
      <c r="A2074">
        <v>12</v>
      </c>
      <c r="B2074">
        <v>0</v>
      </c>
      <c r="C2074">
        <v>424</v>
      </c>
    </row>
    <row r="2075" spans="1:3" x14ac:dyDescent="0.25">
      <c r="A2075">
        <v>13</v>
      </c>
      <c r="B2075">
        <v>0</v>
      </c>
      <c r="C2075">
        <v>424</v>
      </c>
    </row>
    <row r="2076" spans="1:3" x14ac:dyDescent="0.25">
      <c r="A2076">
        <v>13</v>
      </c>
      <c r="B2076">
        <v>0</v>
      </c>
      <c r="C2076">
        <v>424</v>
      </c>
    </row>
    <row r="2077" spans="1:3" x14ac:dyDescent="0.25">
      <c r="A2077">
        <v>12</v>
      </c>
      <c r="B2077">
        <v>0</v>
      </c>
      <c r="C2077">
        <v>424</v>
      </c>
    </row>
    <row r="2078" spans="1:3" x14ac:dyDescent="0.25">
      <c r="A2078">
        <v>14</v>
      </c>
      <c r="B2078">
        <v>0</v>
      </c>
      <c r="C2078">
        <v>424</v>
      </c>
    </row>
    <row r="2079" spans="1:3" x14ac:dyDescent="0.25">
      <c r="A2079">
        <v>12</v>
      </c>
      <c r="B2079">
        <v>0</v>
      </c>
      <c r="C2079">
        <v>445</v>
      </c>
    </row>
    <row r="2080" spans="1:3" x14ac:dyDescent="0.25">
      <c r="A2080">
        <v>13</v>
      </c>
      <c r="B2080">
        <v>0</v>
      </c>
      <c r="C2080">
        <v>445</v>
      </c>
    </row>
    <row r="2081" spans="1:3" x14ac:dyDescent="0.25">
      <c r="A2081">
        <v>12</v>
      </c>
      <c r="B2081">
        <v>0</v>
      </c>
      <c r="C2081">
        <v>445</v>
      </c>
    </row>
    <row r="2082" spans="1:3" x14ac:dyDescent="0.25">
      <c r="A2082">
        <v>13</v>
      </c>
      <c r="B2082">
        <v>0</v>
      </c>
      <c r="C2082">
        <v>445</v>
      </c>
    </row>
    <row r="2083" spans="1:3" x14ac:dyDescent="0.25">
      <c r="A2083">
        <v>16</v>
      </c>
      <c r="B2083">
        <v>0</v>
      </c>
      <c r="C2083">
        <v>445</v>
      </c>
    </row>
    <row r="2084" spans="1:3" x14ac:dyDescent="0.25">
      <c r="A2084">
        <v>12</v>
      </c>
      <c r="B2084">
        <v>0</v>
      </c>
      <c r="C2084">
        <v>445</v>
      </c>
    </row>
    <row r="2085" spans="1:3" x14ac:dyDescent="0.25">
      <c r="A2085">
        <v>13</v>
      </c>
      <c r="B2085">
        <v>0</v>
      </c>
      <c r="C2085">
        <v>445</v>
      </c>
    </row>
    <row r="2086" spans="1:3" x14ac:dyDescent="0.25">
      <c r="A2086">
        <v>11</v>
      </c>
      <c r="B2086">
        <v>0</v>
      </c>
      <c r="C2086">
        <v>445</v>
      </c>
    </row>
    <row r="2087" spans="1:3" x14ac:dyDescent="0.25">
      <c r="A2087">
        <v>11</v>
      </c>
      <c r="B2087">
        <v>0</v>
      </c>
      <c r="C2087">
        <v>380</v>
      </c>
    </row>
    <row r="2088" spans="1:3" x14ac:dyDescent="0.25">
      <c r="A2088">
        <v>12</v>
      </c>
      <c r="B2088">
        <v>0</v>
      </c>
      <c r="C2088">
        <v>380</v>
      </c>
    </row>
    <row r="2089" spans="1:3" x14ac:dyDescent="0.25">
      <c r="A2089">
        <v>14</v>
      </c>
      <c r="B2089">
        <v>0</v>
      </c>
      <c r="C2089">
        <v>380</v>
      </c>
    </row>
    <row r="2090" spans="1:3" x14ac:dyDescent="0.25">
      <c r="A2090">
        <v>12</v>
      </c>
      <c r="B2090">
        <v>0</v>
      </c>
      <c r="C2090">
        <v>380</v>
      </c>
    </row>
    <row r="2091" spans="1:3" x14ac:dyDescent="0.25">
      <c r="A2091">
        <v>15</v>
      </c>
      <c r="B2091">
        <v>0</v>
      </c>
      <c r="C2091">
        <v>380</v>
      </c>
    </row>
    <row r="2092" spans="1:3" x14ac:dyDescent="0.25">
      <c r="A2092">
        <v>16</v>
      </c>
      <c r="B2092">
        <v>0</v>
      </c>
      <c r="C2092">
        <v>380</v>
      </c>
    </row>
    <row r="2093" spans="1:3" x14ac:dyDescent="0.25">
      <c r="A2093">
        <v>16</v>
      </c>
      <c r="B2093">
        <v>0</v>
      </c>
      <c r="C2093">
        <v>380</v>
      </c>
    </row>
    <row r="2094" spans="1:3" x14ac:dyDescent="0.25">
      <c r="A2094">
        <v>13</v>
      </c>
      <c r="B2094">
        <v>0</v>
      </c>
      <c r="C2094">
        <v>380</v>
      </c>
    </row>
    <row r="2095" spans="1:3" x14ac:dyDescent="0.25">
      <c r="A2095">
        <v>13</v>
      </c>
      <c r="B2095">
        <v>0</v>
      </c>
      <c r="C2095">
        <v>368</v>
      </c>
    </row>
    <row r="2096" spans="1:3" x14ac:dyDescent="0.25">
      <c r="A2096">
        <v>12</v>
      </c>
      <c r="B2096">
        <v>0</v>
      </c>
      <c r="C2096">
        <v>368</v>
      </c>
    </row>
    <row r="2097" spans="1:3" x14ac:dyDescent="0.25">
      <c r="A2097">
        <v>12</v>
      </c>
      <c r="B2097">
        <v>0</v>
      </c>
      <c r="C2097">
        <v>368</v>
      </c>
    </row>
    <row r="2098" spans="1:3" x14ac:dyDescent="0.25">
      <c r="A2098">
        <v>13</v>
      </c>
      <c r="B2098">
        <v>0</v>
      </c>
      <c r="C2098">
        <v>368</v>
      </c>
    </row>
    <row r="2099" spans="1:3" x14ac:dyDescent="0.25">
      <c r="A2099">
        <v>12</v>
      </c>
      <c r="B2099">
        <v>0</v>
      </c>
      <c r="C2099">
        <v>368</v>
      </c>
    </row>
    <row r="2100" spans="1:3" x14ac:dyDescent="0.25">
      <c r="A2100">
        <v>14</v>
      </c>
      <c r="B2100">
        <v>0</v>
      </c>
      <c r="C2100">
        <v>368</v>
      </c>
    </row>
    <row r="2101" spans="1:3" x14ac:dyDescent="0.25">
      <c r="A2101">
        <v>16</v>
      </c>
      <c r="B2101">
        <v>0</v>
      </c>
      <c r="C2101">
        <v>368</v>
      </c>
    </row>
    <row r="2102" spans="1:3" x14ac:dyDescent="0.25">
      <c r="A2102">
        <v>13</v>
      </c>
      <c r="B2102">
        <v>0</v>
      </c>
      <c r="C2102">
        <v>368</v>
      </c>
    </row>
    <row r="2103" spans="1:3" x14ac:dyDescent="0.25">
      <c r="A2103">
        <v>13</v>
      </c>
      <c r="B2103">
        <v>0</v>
      </c>
      <c r="C2103">
        <v>368</v>
      </c>
    </row>
    <row r="2104" spans="1:3" x14ac:dyDescent="0.25">
      <c r="A2104">
        <v>13</v>
      </c>
      <c r="B2104">
        <v>0</v>
      </c>
      <c r="C2104">
        <v>368</v>
      </c>
    </row>
    <row r="2105" spans="1:3" x14ac:dyDescent="0.25">
      <c r="A2105">
        <v>12</v>
      </c>
      <c r="B2105">
        <v>0</v>
      </c>
      <c r="C2105">
        <v>368</v>
      </c>
    </row>
    <row r="2106" spans="1:3" x14ac:dyDescent="0.25">
      <c r="A2106">
        <v>14</v>
      </c>
      <c r="B2106">
        <v>0</v>
      </c>
      <c r="C2106">
        <v>368</v>
      </c>
    </row>
    <row r="2107" spans="1:3" x14ac:dyDescent="0.25">
      <c r="A2107">
        <v>11</v>
      </c>
      <c r="B2107">
        <v>0</v>
      </c>
      <c r="C2107">
        <v>368</v>
      </c>
    </row>
    <row r="2108" spans="1:3" x14ac:dyDescent="0.25">
      <c r="A2108">
        <v>12</v>
      </c>
      <c r="B2108">
        <v>0</v>
      </c>
      <c r="C2108">
        <v>368</v>
      </c>
    </row>
    <row r="2109" spans="1:3" x14ac:dyDescent="0.25">
      <c r="A2109">
        <v>12</v>
      </c>
      <c r="B2109">
        <v>0</v>
      </c>
      <c r="C2109">
        <v>368</v>
      </c>
    </row>
    <row r="2110" spans="1:3" x14ac:dyDescent="0.25">
      <c r="A2110">
        <v>12</v>
      </c>
      <c r="B2110">
        <v>0</v>
      </c>
      <c r="C2110">
        <v>368</v>
      </c>
    </row>
    <row r="2111" spans="1:3" x14ac:dyDescent="0.25">
      <c r="A2111">
        <v>13</v>
      </c>
      <c r="B2111">
        <v>0</v>
      </c>
      <c r="C2111">
        <v>379</v>
      </c>
    </row>
    <row r="2112" spans="1:3" x14ac:dyDescent="0.25">
      <c r="A2112">
        <v>11</v>
      </c>
      <c r="B2112">
        <v>0</v>
      </c>
      <c r="C2112">
        <v>379</v>
      </c>
    </row>
    <row r="2113" spans="1:3" x14ac:dyDescent="0.25">
      <c r="A2113">
        <v>12</v>
      </c>
      <c r="B2113">
        <v>0</v>
      </c>
      <c r="C2113">
        <v>379</v>
      </c>
    </row>
    <row r="2114" spans="1:3" x14ac:dyDescent="0.25">
      <c r="A2114">
        <v>12</v>
      </c>
      <c r="B2114">
        <v>0</v>
      </c>
      <c r="C2114">
        <v>379</v>
      </c>
    </row>
    <row r="2115" spans="1:3" x14ac:dyDescent="0.25">
      <c r="A2115">
        <v>11</v>
      </c>
      <c r="B2115">
        <v>0</v>
      </c>
      <c r="C2115">
        <v>379</v>
      </c>
    </row>
    <row r="2116" spans="1:3" x14ac:dyDescent="0.25">
      <c r="A2116">
        <v>12</v>
      </c>
      <c r="B2116">
        <v>0</v>
      </c>
      <c r="C2116">
        <v>379</v>
      </c>
    </row>
    <row r="2117" spans="1:3" x14ac:dyDescent="0.25">
      <c r="A2117">
        <v>21</v>
      </c>
      <c r="B2117">
        <v>0</v>
      </c>
      <c r="C2117">
        <v>379</v>
      </c>
    </row>
    <row r="2118" spans="1:3" x14ac:dyDescent="0.25">
      <c r="A2118">
        <v>12</v>
      </c>
      <c r="B2118">
        <v>0</v>
      </c>
      <c r="C2118">
        <v>379</v>
      </c>
    </row>
    <row r="2119" spans="1:3" x14ac:dyDescent="0.25">
      <c r="A2119">
        <v>11</v>
      </c>
      <c r="B2119">
        <v>0</v>
      </c>
      <c r="C2119">
        <v>379</v>
      </c>
    </row>
    <row r="2120" spans="1:3" x14ac:dyDescent="0.25">
      <c r="A2120">
        <v>15</v>
      </c>
      <c r="B2120">
        <v>0</v>
      </c>
      <c r="C2120">
        <v>379</v>
      </c>
    </row>
    <row r="2121" spans="1:3" x14ac:dyDescent="0.25">
      <c r="A2121">
        <v>11</v>
      </c>
      <c r="B2121">
        <v>0</v>
      </c>
      <c r="C2121">
        <v>379</v>
      </c>
    </row>
    <row r="2122" spans="1:3" x14ac:dyDescent="0.25">
      <c r="A2122">
        <v>13</v>
      </c>
      <c r="B2122">
        <v>0</v>
      </c>
      <c r="C2122">
        <v>379</v>
      </c>
    </row>
    <row r="2123" spans="1:3" x14ac:dyDescent="0.25">
      <c r="A2123">
        <v>11</v>
      </c>
      <c r="B2123">
        <v>0</v>
      </c>
      <c r="C2123">
        <v>379</v>
      </c>
    </row>
    <row r="2124" spans="1:3" x14ac:dyDescent="0.25">
      <c r="A2124">
        <v>12</v>
      </c>
      <c r="B2124">
        <v>0</v>
      </c>
      <c r="C2124">
        <v>379</v>
      </c>
    </row>
    <row r="2125" spans="1:3" x14ac:dyDescent="0.25">
      <c r="A2125">
        <v>12</v>
      </c>
      <c r="B2125">
        <v>0</v>
      </c>
      <c r="C2125">
        <v>379</v>
      </c>
    </row>
    <row r="2126" spans="1:3" x14ac:dyDescent="0.25">
      <c r="A2126">
        <v>13</v>
      </c>
      <c r="B2126">
        <v>0</v>
      </c>
      <c r="C2126">
        <v>324</v>
      </c>
    </row>
    <row r="2127" spans="1:3" x14ac:dyDescent="0.25">
      <c r="A2127">
        <v>15</v>
      </c>
      <c r="B2127">
        <v>0</v>
      </c>
      <c r="C2127">
        <v>324</v>
      </c>
    </row>
    <row r="2128" spans="1:3" x14ac:dyDescent="0.25">
      <c r="A2128">
        <v>12</v>
      </c>
      <c r="B2128">
        <v>0</v>
      </c>
      <c r="C2128">
        <v>324</v>
      </c>
    </row>
    <row r="2129" spans="1:3" x14ac:dyDescent="0.25">
      <c r="A2129">
        <v>12</v>
      </c>
      <c r="B2129">
        <v>0</v>
      </c>
      <c r="C2129">
        <v>324</v>
      </c>
    </row>
    <row r="2130" spans="1:3" x14ac:dyDescent="0.25">
      <c r="A2130">
        <v>11</v>
      </c>
      <c r="B2130">
        <v>0</v>
      </c>
      <c r="C2130">
        <v>324</v>
      </c>
    </row>
    <row r="2131" spans="1:3" x14ac:dyDescent="0.25">
      <c r="A2131">
        <v>12</v>
      </c>
      <c r="B2131">
        <v>0</v>
      </c>
      <c r="C2131">
        <v>324</v>
      </c>
    </row>
    <row r="2132" spans="1:3" x14ac:dyDescent="0.25">
      <c r="A2132">
        <v>13</v>
      </c>
      <c r="B2132">
        <v>0</v>
      </c>
      <c r="C2132">
        <v>324</v>
      </c>
    </row>
    <row r="2133" spans="1:3" x14ac:dyDescent="0.25">
      <c r="A2133">
        <v>12</v>
      </c>
      <c r="B2133">
        <v>0</v>
      </c>
      <c r="C2133">
        <v>324</v>
      </c>
    </row>
    <row r="2134" spans="1:3" x14ac:dyDescent="0.25">
      <c r="A2134">
        <v>12</v>
      </c>
      <c r="B2134">
        <v>0</v>
      </c>
      <c r="C2134">
        <v>297</v>
      </c>
    </row>
    <row r="2135" spans="1:3" x14ac:dyDescent="0.25">
      <c r="A2135">
        <v>12</v>
      </c>
      <c r="B2135">
        <v>0</v>
      </c>
      <c r="C2135">
        <v>297</v>
      </c>
    </row>
    <row r="2136" spans="1:3" x14ac:dyDescent="0.25">
      <c r="A2136">
        <v>12</v>
      </c>
      <c r="B2136">
        <v>0</v>
      </c>
      <c r="C2136">
        <v>297</v>
      </c>
    </row>
    <row r="2137" spans="1:3" x14ac:dyDescent="0.25">
      <c r="A2137">
        <v>13</v>
      </c>
      <c r="B2137">
        <v>0</v>
      </c>
      <c r="C2137">
        <v>297</v>
      </c>
    </row>
    <row r="2138" spans="1:3" x14ac:dyDescent="0.25">
      <c r="A2138">
        <v>14</v>
      </c>
      <c r="B2138">
        <v>0</v>
      </c>
      <c r="C2138">
        <v>297</v>
      </c>
    </row>
    <row r="2139" spans="1:3" x14ac:dyDescent="0.25">
      <c r="A2139">
        <v>12</v>
      </c>
      <c r="B2139">
        <v>0</v>
      </c>
      <c r="C2139">
        <v>297</v>
      </c>
    </row>
    <row r="2140" spans="1:3" x14ac:dyDescent="0.25">
      <c r="A2140">
        <v>14</v>
      </c>
      <c r="B2140">
        <v>0</v>
      </c>
      <c r="C2140">
        <v>297</v>
      </c>
    </row>
    <row r="2141" spans="1:3" x14ac:dyDescent="0.25">
      <c r="A2141">
        <v>12</v>
      </c>
      <c r="B2141">
        <v>0</v>
      </c>
      <c r="C2141">
        <v>297</v>
      </c>
    </row>
    <row r="2142" spans="1:3" x14ac:dyDescent="0.25">
      <c r="A2142">
        <v>12</v>
      </c>
      <c r="B2142">
        <v>0</v>
      </c>
      <c r="C2142">
        <v>342</v>
      </c>
    </row>
    <row r="2143" spans="1:3" x14ac:dyDescent="0.25">
      <c r="A2143">
        <v>13</v>
      </c>
      <c r="B2143">
        <v>0</v>
      </c>
      <c r="C2143">
        <v>342</v>
      </c>
    </row>
    <row r="2144" spans="1:3" x14ac:dyDescent="0.25">
      <c r="A2144">
        <v>14</v>
      </c>
      <c r="B2144">
        <v>0</v>
      </c>
      <c r="C2144">
        <v>342</v>
      </c>
    </row>
    <row r="2145" spans="1:3" x14ac:dyDescent="0.25">
      <c r="A2145">
        <v>12</v>
      </c>
      <c r="B2145">
        <v>0</v>
      </c>
      <c r="C2145">
        <v>342</v>
      </c>
    </row>
    <row r="2146" spans="1:3" x14ac:dyDescent="0.25">
      <c r="A2146">
        <v>12</v>
      </c>
      <c r="B2146">
        <v>0</v>
      </c>
      <c r="C2146">
        <v>342</v>
      </c>
    </row>
    <row r="2147" spans="1:3" x14ac:dyDescent="0.25">
      <c r="A2147">
        <v>13</v>
      </c>
      <c r="B2147">
        <v>0</v>
      </c>
      <c r="C2147">
        <v>342</v>
      </c>
    </row>
    <row r="2148" spans="1:3" x14ac:dyDescent="0.25">
      <c r="A2148">
        <v>12</v>
      </c>
      <c r="B2148">
        <v>0</v>
      </c>
      <c r="C2148">
        <v>342</v>
      </c>
    </row>
    <row r="2149" spans="1:3" x14ac:dyDescent="0.25">
      <c r="A2149">
        <v>14</v>
      </c>
      <c r="B2149">
        <v>0</v>
      </c>
      <c r="C2149">
        <v>342</v>
      </c>
    </row>
    <row r="2150" spans="1:3" x14ac:dyDescent="0.25">
      <c r="A2150">
        <v>11</v>
      </c>
      <c r="B2150">
        <v>0</v>
      </c>
      <c r="C2150">
        <v>376</v>
      </c>
    </row>
    <row r="2151" spans="1:3" x14ac:dyDescent="0.25">
      <c r="A2151">
        <v>11</v>
      </c>
      <c r="B2151">
        <v>0</v>
      </c>
      <c r="C2151">
        <v>376</v>
      </c>
    </row>
    <row r="2152" spans="1:3" x14ac:dyDescent="0.25">
      <c r="A2152">
        <v>12</v>
      </c>
      <c r="B2152">
        <v>0</v>
      </c>
      <c r="C2152">
        <v>376</v>
      </c>
    </row>
    <row r="2153" spans="1:3" x14ac:dyDescent="0.25">
      <c r="A2153">
        <v>12</v>
      </c>
      <c r="B2153">
        <v>0</v>
      </c>
      <c r="C2153">
        <v>376</v>
      </c>
    </row>
    <row r="2154" spans="1:3" x14ac:dyDescent="0.25">
      <c r="A2154">
        <v>12</v>
      </c>
      <c r="B2154">
        <v>0</v>
      </c>
      <c r="C2154">
        <v>376</v>
      </c>
    </row>
    <row r="2155" spans="1:3" x14ac:dyDescent="0.25">
      <c r="A2155">
        <v>12</v>
      </c>
      <c r="B2155">
        <v>0</v>
      </c>
      <c r="C2155">
        <v>376</v>
      </c>
    </row>
    <row r="2156" spans="1:3" x14ac:dyDescent="0.25">
      <c r="A2156">
        <v>12</v>
      </c>
      <c r="B2156">
        <v>0</v>
      </c>
      <c r="C2156">
        <v>376</v>
      </c>
    </row>
    <row r="2157" spans="1:3" x14ac:dyDescent="0.25">
      <c r="A2157">
        <v>13</v>
      </c>
      <c r="B2157">
        <v>0</v>
      </c>
      <c r="C2157">
        <v>376</v>
      </c>
    </row>
    <row r="2158" spans="1:3" x14ac:dyDescent="0.25">
      <c r="A2158">
        <v>13</v>
      </c>
      <c r="B2158">
        <v>0</v>
      </c>
      <c r="C2158">
        <v>335</v>
      </c>
    </row>
    <row r="2159" spans="1:3" x14ac:dyDescent="0.25">
      <c r="A2159">
        <v>14</v>
      </c>
      <c r="B2159">
        <v>0</v>
      </c>
      <c r="C2159">
        <v>335</v>
      </c>
    </row>
    <row r="2160" spans="1:3" x14ac:dyDescent="0.25">
      <c r="A2160">
        <v>12</v>
      </c>
      <c r="B2160">
        <v>0</v>
      </c>
      <c r="C2160">
        <v>335</v>
      </c>
    </row>
    <row r="2161" spans="1:3" x14ac:dyDescent="0.25">
      <c r="A2161">
        <v>12</v>
      </c>
      <c r="B2161">
        <v>0</v>
      </c>
      <c r="C2161">
        <v>335</v>
      </c>
    </row>
    <row r="2162" spans="1:3" x14ac:dyDescent="0.25">
      <c r="A2162">
        <v>12</v>
      </c>
      <c r="B2162">
        <v>0</v>
      </c>
      <c r="C2162">
        <v>335</v>
      </c>
    </row>
    <row r="2163" spans="1:3" x14ac:dyDescent="0.25">
      <c r="A2163">
        <v>12</v>
      </c>
      <c r="B2163">
        <v>0</v>
      </c>
      <c r="C2163">
        <v>335</v>
      </c>
    </row>
    <row r="2164" spans="1:3" x14ac:dyDescent="0.25">
      <c r="A2164">
        <v>13</v>
      </c>
      <c r="B2164">
        <v>0</v>
      </c>
      <c r="C2164">
        <v>335</v>
      </c>
    </row>
    <row r="2165" spans="1:3" x14ac:dyDescent="0.25">
      <c r="A2165">
        <v>11</v>
      </c>
      <c r="B2165">
        <v>0</v>
      </c>
      <c r="C2165">
        <v>335</v>
      </c>
    </row>
    <row r="2166" spans="1:3" x14ac:dyDescent="0.25">
      <c r="A2166">
        <v>13</v>
      </c>
      <c r="B2166">
        <v>0</v>
      </c>
      <c r="C2166">
        <v>371</v>
      </c>
    </row>
    <row r="2167" spans="1:3" x14ac:dyDescent="0.25">
      <c r="A2167">
        <v>11</v>
      </c>
      <c r="B2167">
        <v>0</v>
      </c>
      <c r="C2167">
        <v>371</v>
      </c>
    </row>
    <row r="2168" spans="1:3" x14ac:dyDescent="0.25">
      <c r="A2168">
        <v>14</v>
      </c>
      <c r="B2168">
        <v>0</v>
      </c>
      <c r="C2168">
        <v>371</v>
      </c>
    </row>
    <row r="2169" spans="1:3" x14ac:dyDescent="0.25">
      <c r="A2169">
        <v>12</v>
      </c>
      <c r="B2169">
        <v>0</v>
      </c>
      <c r="C2169">
        <v>371</v>
      </c>
    </row>
    <row r="2170" spans="1:3" x14ac:dyDescent="0.25">
      <c r="A2170">
        <v>12</v>
      </c>
      <c r="B2170">
        <v>0</v>
      </c>
      <c r="C2170">
        <v>371</v>
      </c>
    </row>
    <row r="2171" spans="1:3" x14ac:dyDescent="0.25">
      <c r="A2171">
        <v>13</v>
      </c>
      <c r="B2171">
        <v>0</v>
      </c>
      <c r="C2171">
        <v>371</v>
      </c>
    </row>
    <row r="2172" spans="1:3" x14ac:dyDescent="0.25">
      <c r="A2172">
        <v>12</v>
      </c>
      <c r="B2172">
        <v>0</v>
      </c>
      <c r="C2172">
        <v>371</v>
      </c>
    </row>
    <row r="2173" spans="1:3" x14ac:dyDescent="0.25">
      <c r="A2173">
        <v>12</v>
      </c>
      <c r="B2173">
        <v>0</v>
      </c>
      <c r="C2173">
        <v>371</v>
      </c>
    </row>
    <row r="2174" spans="1:3" x14ac:dyDescent="0.25">
      <c r="A2174">
        <v>12</v>
      </c>
      <c r="B2174">
        <v>0</v>
      </c>
      <c r="C2174">
        <v>373</v>
      </c>
    </row>
    <row r="2175" spans="1:3" x14ac:dyDescent="0.25">
      <c r="A2175">
        <v>13</v>
      </c>
      <c r="B2175">
        <v>0</v>
      </c>
      <c r="C2175">
        <v>373</v>
      </c>
    </row>
    <row r="2176" spans="1:3" x14ac:dyDescent="0.25">
      <c r="A2176">
        <v>12</v>
      </c>
      <c r="B2176">
        <v>0</v>
      </c>
      <c r="C2176">
        <v>373</v>
      </c>
    </row>
    <row r="2177" spans="1:3" x14ac:dyDescent="0.25">
      <c r="A2177">
        <v>11</v>
      </c>
      <c r="B2177">
        <v>0</v>
      </c>
      <c r="C2177">
        <v>373</v>
      </c>
    </row>
    <row r="2178" spans="1:3" x14ac:dyDescent="0.25">
      <c r="A2178">
        <v>12</v>
      </c>
      <c r="B2178">
        <v>0</v>
      </c>
      <c r="C2178">
        <v>373</v>
      </c>
    </row>
    <row r="2179" spans="1:3" x14ac:dyDescent="0.25">
      <c r="A2179">
        <v>11</v>
      </c>
      <c r="B2179">
        <v>0</v>
      </c>
      <c r="C2179">
        <v>373</v>
      </c>
    </row>
    <row r="2180" spans="1:3" x14ac:dyDescent="0.25">
      <c r="A2180">
        <v>12</v>
      </c>
      <c r="B2180">
        <v>0</v>
      </c>
      <c r="C2180">
        <v>373</v>
      </c>
    </row>
    <row r="2181" spans="1:3" x14ac:dyDescent="0.25">
      <c r="A2181">
        <v>11</v>
      </c>
      <c r="B2181">
        <v>0</v>
      </c>
      <c r="C2181">
        <v>373</v>
      </c>
    </row>
    <row r="2182" spans="1:3" x14ac:dyDescent="0.25">
      <c r="A2182">
        <v>14</v>
      </c>
      <c r="B2182">
        <v>0</v>
      </c>
      <c r="C2182">
        <v>332</v>
      </c>
    </row>
    <row r="2183" spans="1:3" x14ac:dyDescent="0.25">
      <c r="A2183">
        <v>12</v>
      </c>
      <c r="B2183">
        <v>0</v>
      </c>
      <c r="C2183">
        <v>332</v>
      </c>
    </row>
    <row r="2184" spans="1:3" x14ac:dyDescent="0.25">
      <c r="A2184">
        <v>13</v>
      </c>
      <c r="B2184">
        <v>0</v>
      </c>
      <c r="C2184">
        <v>332</v>
      </c>
    </row>
    <row r="2185" spans="1:3" x14ac:dyDescent="0.25">
      <c r="A2185">
        <v>14</v>
      </c>
      <c r="B2185">
        <v>0</v>
      </c>
      <c r="C2185">
        <v>332</v>
      </c>
    </row>
    <row r="2186" spans="1:3" x14ac:dyDescent="0.25">
      <c r="A2186">
        <v>11</v>
      </c>
      <c r="B2186">
        <v>0</v>
      </c>
      <c r="C2186">
        <v>332</v>
      </c>
    </row>
    <row r="2187" spans="1:3" x14ac:dyDescent="0.25">
      <c r="A2187">
        <v>12</v>
      </c>
      <c r="B2187">
        <v>0</v>
      </c>
      <c r="C2187">
        <v>332</v>
      </c>
    </row>
    <row r="2188" spans="1:3" x14ac:dyDescent="0.25">
      <c r="A2188">
        <v>14</v>
      </c>
      <c r="B2188">
        <v>0</v>
      </c>
      <c r="C2188">
        <v>332</v>
      </c>
    </row>
    <row r="2189" spans="1:3" x14ac:dyDescent="0.25">
      <c r="A2189">
        <v>13</v>
      </c>
      <c r="B2189">
        <v>0</v>
      </c>
      <c r="C2189">
        <v>332</v>
      </c>
    </row>
    <row r="2190" spans="1:3" x14ac:dyDescent="0.25">
      <c r="A2190">
        <v>11</v>
      </c>
      <c r="B2190">
        <v>0</v>
      </c>
      <c r="C2190">
        <v>318</v>
      </c>
    </row>
    <row r="2191" spans="1:3" x14ac:dyDescent="0.25">
      <c r="A2191">
        <v>12</v>
      </c>
      <c r="B2191">
        <v>0</v>
      </c>
      <c r="C2191">
        <v>318</v>
      </c>
    </row>
    <row r="2192" spans="1:3" x14ac:dyDescent="0.25">
      <c r="A2192">
        <v>11</v>
      </c>
      <c r="B2192">
        <v>0</v>
      </c>
      <c r="C2192">
        <v>318</v>
      </c>
    </row>
    <row r="2193" spans="1:3" x14ac:dyDescent="0.25">
      <c r="A2193">
        <v>12</v>
      </c>
      <c r="B2193">
        <v>0</v>
      </c>
      <c r="C2193">
        <v>318</v>
      </c>
    </row>
    <row r="2194" spans="1:3" x14ac:dyDescent="0.25">
      <c r="A2194">
        <v>13</v>
      </c>
      <c r="B2194">
        <v>0</v>
      </c>
      <c r="C2194">
        <v>318</v>
      </c>
    </row>
    <row r="2195" spans="1:3" x14ac:dyDescent="0.25">
      <c r="A2195">
        <v>12</v>
      </c>
      <c r="B2195">
        <v>0</v>
      </c>
      <c r="C2195">
        <v>318</v>
      </c>
    </row>
    <row r="2196" spans="1:3" x14ac:dyDescent="0.25">
      <c r="A2196">
        <v>11</v>
      </c>
      <c r="B2196">
        <v>0</v>
      </c>
      <c r="C2196">
        <v>318</v>
      </c>
    </row>
    <row r="2197" spans="1:3" x14ac:dyDescent="0.25">
      <c r="A2197">
        <v>12</v>
      </c>
      <c r="B2197">
        <v>0</v>
      </c>
      <c r="C2197">
        <v>318</v>
      </c>
    </row>
    <row r="2198" spans="1:3" x14ac:dyDescent="0.25">
      <c r="A2198">
        <v>12</v>
      </c>
      <c r="B2198">
        <v>0</v>
      </c>
      <c r="C2198">
        <v>336</v>
      </c>
    </row>
    <row r="2199" spans="1:3" x14ac:dyDescent="0.25">
      <c r="A2199">
        <v>11</v>
      </c>
      <c r="B2199">
        <v>0</v>
      </c>
      <c r="C2199">
        <v>336</v>
      </c>
    </row>
    <row r="2200" spans="1:3" x14ac:dyDescent="0.25">
      <c r="A2200">
        <v>14</v>
      </c>
      <c r="B2200">
        <v>0</v>
      </c>
      <c r="C2200">
        <v>336</v>
      </c>
    </row>
    <row r="2201" spans="1:3" x14ac:dyDescent="0.25">
      <c r="A2201">
        <v>12</v>
      </c>
      <c r="B2201">
        <v>0</v>
      </c>
      <c r="C2201">
        <v>336</v>
      </c>
    </row>
    <row r="2202" spans="1:3" x14ac:dyDescent="0.25">
      <c r="A2202">
        <v>11</v>
      </c>
      <c r="B2202">
        <v>0</v>
      </c>
      <c r="C2202">
        <v>336</v>
      </c>
    </row>
    <row r="2203" spans="1:3" x14ac:dyDescent="0.25">
      <c r="A2203">
        <v>12</v>
      </c>
      <c r="B2203">
        <v>0</v>
      </c>
      <c r="C2203">
        <v>336</v>
      </c>
    </row>
    <row r="2204" spans="1:3" x14ac:dyDescent="0.25">
      <c r="A2204">
        <v>12</v>
      </c>
      <c r="B2204">
        <v>0</v>
      </c>
      <c r="C2204">
        <v>336</v>
      </c>
    </row>
    <row r="2205" spans="1:3" x14ac:dyDescent="0.25">
      <c r="A2205">
        <v>11</v>
      </c>
      <c r="B2205">
        <v>0</v>
      </c>
      <c r="C2205">
        <v>336</v>
      </c>
    </row>
    <row r="2206" spans="1:3" x14ac:dyDescent="0.25">
      <c r="A2206">
        <v>12</v>
      </c>
      <c r="B2206">
        <v>0</v>
      </c>
      <c r="C2206">
        <v>337</v>
      </c>
    </row>
    <row r="2207" spans="1:3" x14ac:dyDescent="0.25">
      <c r="A2207">
        <v>12</v>
      </c>
      <c r="B2207">
        <v>0</v>
      </c>
      <c r="C2207">
        <v>337</v>
      </c>
    </row>
    <row r="2208" spans="1:3" x14ac:dyDescent="0.25">
      <c r="A2208">
        <v>13</v>
      </c>
      <c r="B2208">
        <v>0</v>
      </c>
      <c r="C2208">
        <v>337</v>
      </c>
    </row>
    <row r="2209" spans="1:3" x14ac:dyDescent="0.25">
      <c r="A2209">
        <v>14</v>
      </c>
      <c r="B2209">
        <v>0</v>
      </c>
      <c r="C2209">
        <v>337</v>
      </c>
    </row>
    <row r="2210" spans="1:3" x14ac:dyDescent="0.25">
      <c r="A2210">
        <v>12</v>
      </c>
      <c r="B2210">
        <v>0</v>
      </c>
      <c r="C2210">
        <v>337</v>
      </c>
    </row>
    <row r="2211" spans="1:3" x14ac:dyDescent="0.25">
      <c r="A2211">
        <v>14</v>
      </c>
      <c r="B2211">
        <v>0</v>
      </c>
      <c r="C2211">
        <v>337</v>
      </c>
    </row>
    <row r="2212" spans="1:3" x14ac:dyDescent="0.25">
      <c r="A2212">
        <v>12</v>
      </c>
      <c r="B2212">
        <v>0</v>
      </c>
      <c r="C2212">
        <v>337</v>
      </c>
    </row>
    <row r="2213" spans="1:3" x14ac:dyDescent="0.25">
      <c r="A2213">
        <v>12</v>
      </c>
      <c r="B2213">
        <v>0</v>
      </c>
      <c r="C2213">
        <v>381</v>
      </c>
    </row>
    <row r="2214" spans="1:3" x14ac:dyDescent="0.25">
      <c r="A2214">
        <v>11</v>
      </c>
      <c r="B2214">
        <v>0</v>
      </c>
      <c r="C2214">
        <v>381</v>
      </c>
    </row>
    <row r="2215" spans="1:3" x14ac:dyDescent="0.25">
      <c r="A2215">
        <v>13</v>
      </c>
      <c r="B2215">
        <v>0</v>
      </c>
      <c r="C2215">
        <v>381</v>
      </c>
    </row>
    <row r="2216" spans="1:3" x14ac:dyDescent="0.25">
      <c r="A2216">
        <v>13</v>
      </c>
      <c r="B2216">
        <v>0</v>
      </c>
      <c r="C2216">
        <v>381</v>
      </c>
    </row>
    <row r="2217" spans="1:3" x14ac:dyDescent="0.25">
      <c r="A2217">
        <v>13</v>
      </c>
      <c r="B2217">
        <v>0</v>
      </c>
      <c r="C2217">
        <v>381</v>
      </c>
    </row>
    <row r="2218" spans="1:3" x14ac:dyDescent="0.25">
      <c r="A2218">
        <v>12</v>
      </c>
      <c r="B2218">
        <v>0</v>
      </c>
      <c r="C2218">
        <v>381</v>
      </c>
    </row>
    <row r="2219" spans="1:3" x14ac:dyDescent="0.25">
      <c r="A2219">
        <v>13</v>
      </c>
      <c r="B2219">
        <v>0</v>
      </c>
      <c r="C2219">
        <v>381</v>
      </c>
    </row>
    <row r="2220" spans="1:3" x14ac:dyDescent="0.25">
      <c r="A2220">
        <v>13</v>
      </c>
      <c r="B2220">
        <v>0</v>
      </c>
      <c r="C2220">
        <v>381</v>
      </c>
    </row>
    <row r="2221" spans="1:3" x14ac:dyDescent="0.25">
      <c r="A2221">
        <v>12</v>
      </c>
      <c r="B2221">
        <v>0</v>
      </c>
      <c r="C2221">
        <v>317</v>
      </c>
    </row>
    <row r="2222" spans="1:3" x14ac:dyDescent="0.25">
      <c r="A2222">
        <v>12</v>
      </c>
      <c r="B2222">
        <v>0</v>
      </c>
      <c r="C2222">
        <v>317</v>
      </c>
    </row>
    <row r="2223" spans="1:3" x14ac:dyDescent="0.25">
      <c r="A2223">
        <v>11</v>
      </c>
      <c r="B2223">
        <v>0</v>
      </c>
      <c r="C2223">
        <v>317</v>
      </c>
    </row>
    <row r="2224" spans="1:3" x14ac:dyDescent="0.25">
      <c r="A2224">
        <v>12</v>
      </c>
      <c r="B2224">
        <v>0</v>
      </c>
      <c r="C2224">
        <v>317</v>
      </c>
    </row>
    <row r="2225" spans="1:3" x14ac:dyDescent="0.25">
      <c r="A2225">
        <v>12</v>
      </c>
      <c r="B2225">
        <v>0</v>
      </c>
      <c r="C2225">
        <v>317</v>
      </c>
    </row>
    <row r="2226" spans="1:3" x14ac:dyDescent="0.25">
      <c r="A2226">
        <v>11</v>
      </c>
      <c r="B2226">
        <v>0</v>
      </c>
      <c r="C2226">
        <v>317</v>
      </c>
    </row>
    <row r="2227" spans="1:3" x14ac:dyDescent="0.25">
      <c r="A2227">
        <v>11</v>
      </c>
      <c r="B2227">
        <v>0</v>
      </c>
      <c r="C2227">
        <v>317</v>
      </c>
    </row>
    <row r="2228" spans="1:3" x14ac:dyDescent="0.25">
      <c r="A2228">
        <v>12</v>
      </c>
      <c r="B2228">
        <v>0</v>
      </c>
      <c r="C2228">
        <v>317</v>
      </c>
    </row>
    <row r="2229" spans="1:3" x14ac:dyDescent="0.25">
      <c r="A2229">
        <v>13</v>
      </c>
      <c r="B2229">
        <v>0</v>
      </c>
      <c r="C2229">
        <v>340</v>
      </c>
    </row>
    <row r="2230" spans="1:3" x14ac:dyDescent="0.25">
      <c r="A2230">
        <v>13</v>
      </c>
      <c r="B2230">
        <v>0</v>
      </c>
      <c r="C2230">
        <v>340</v>
      </c>
    </row>
    <row r="2231" spans="1:3" x14ac:dyDescent="0.25">
      <c r="A2231">
        <v>12</v>
      </c>
      <c r="B2231">
        <v>0</v>
      </c>
      <c r="C2231">
        <v>340</v>
      </c>
    </row>
    <row r="2232" spans="1:3" x14ac:dyDescent="0.25">
      <c r="A2232">
        <v>12</v>
      </c>
      <c r="B2232">
        <v>0</v>
      </c>
      <c r="C2232">
        <v>340</v>
      </c>
    </row>
    <row r="2233" spans="1:3" x14ac:dyDescent="0.25">
      <c r="A2233">
        <v>12</v>
      </c>
      <c r="B2233">
        <v>0</v>
      </c>
      <c r="C2233">
        <v>340</v>
      </c>
    </row>
    <row r="2234" spans="1:3" x14ac:dyDescent="0.25">
      <c r="A2234">
        <v>12</v>
      </c>
      <c r="B2234">
        <v>0</v>
      </c>
      <c r="C2234">
        <v>340</v>
      </c>
    </row>
    <row r="2235" spans="1:3" x14ac:dyDescent="0.25">
      <c r="A2235">
        <v>12</v>
      </c>
      <c r="B2235">
        <v>0</v>
      </c>
      <c r="C2235">
        <v>340</v>
      </c>
    </row>
    <row r="2236" spans="1:3" x14ac:dyDescent="0.25">
      <c r="A2236">
        <v>12</v>
      </c>
      <c r="B2236">
        <v>0</v>
      </c>
      <c r="C2236">
        <v>340</v>
      </c>
    </row>
    <row r="2237" spans="1:3" x14ac:dyDescent="0.25">
      <c r="A2237">
        <v>12</v>
      </c>
      <c r="B2237">
        <v>0</v>
      </c>
      <c r="C2237">
        <v>330</v>
      </c>
    </row>
    <row r="2238" spans="1:3" x14ac:dyDescent="0.25">
      <c r="A2238">
        <v>13</v>
      </c>
      <c r="B2238">
        <v>0</v>
      </c>
      <c r="C2238">
        <v>330</v>
      </c>
    </row>
    <row r="2239" spans="1:3" x14ac:dyDescent="0.25">
      <c r="A2239">
        <v>11</v>
      </c>
      <c r="B2239">
        <v>0</v>
      </c>
      <c r="C2239">
        <v>330</v>
      </c>
    </row>
    <row r="2240" spans="1:3" x14ac:dyDescent="0.25">
      <c r="A2240">
        <v>11</v>
      </c>
      <c r="B2240">
        <v>0</v>
      </c>
      <c r="C2240">
        <v>330</v>
      </c>
    </row>
    <row r="2241" spans="1:3" x14ac:dyDescent="0.25">
      <c r="A2241">
        <v>11</v>
      </c>
      <c r="B2241">
        <v>0</v>
      </c>
      <c r="C2241">
        <v>330</v>
      </c>
    </row>
    <row r="2242" spans="1:3" x14ac:dyDescent="0.25">
      <c r="A2242">
        <v>13</v>
      </c>
      <c r="B2242">
        <v>0</v>
      </c>
      <c r="C2242">
        <v>330</v>
      </c>
    </row>
    <row r="2243" spans="1:3" x14ac:dyDescent="0.25">
      <c r="A2243">
        <v>12</v>
      </c>
      <c r="B2243">
        <v>0</v>
      </c>
      <c r="C2243">
        <v>330</v>
      </c>
    </row>
    <row r="2244" spans="1:3" x14ac:dyDescent="0.25">
      <c r="A2244">
        <v>12</v>
      </c>
      <c r="B2244">
        <v>0</v>
      </c>
      <c r="C2244">
        <v>330</v>
      </c>
    </row>
    <row r="2245" spans="1:3" x14ac:dyDescent="0.25">
      <c r="A2245">
        <v>13</v>
      </c>
      <c r="B2245">
        <v>0</v>
      </c>
      <c r="C2245">
        <v>316</v>
      </c>
    </row>
    <row r="2246" spans="1:3" x14ac:dyDescent="0.25">
      <c r="A2246">
        <v>12</v>
      </c>
      <c r="B2246">
        <v>0</v>
      </c>
      <c r="C2246">
        <v>316</v>
      </c>
    </row>
    <row r="2247" spans="1:3" x14ac:dyDescent="0.25">
      <c r="A2247">
        <v>11</v>
      </c>
      <c r="B2247">
        <v>0</v>
      </c>
      <c r="C2247">
        <v>316</v>
      </c>
    </row>
    <row r="2248" spans="1:3" x14ac:dyDescent="0.25">
      <c r="A2248">
        <v>12</v>
      </c>
      <c r="B2248">
        <v>0</v>
      </c>
      <c r="C2248">
        <v>316</v>
      </c>
    </row>
    <row r="2249" spans="1:3" x14ac:dyDescent="0.25">
      <c r="A2249">
        <v>12</v>
      </c>
      <c r="B2249">
        <v>0</v>
      </c>
      <c r="C2249">
        <v>316</v>
      </c>
    </row>
    <row r="2250" spans="1:3" x14ac:dyDescent="0.25">
      <c r="A2250">
        <v>13</v>
      </c>
      <c r="B2250">
        <v>0</v>
      </c>
      <c r="C2250">
        <v>316</v>
      </c>
    </row>
    <row r="2251" spans="1:3" x14ac:dyDescent="0.25">
      <c r="A2251">
        <v>12</v>
      </c>
      <c r="B2251">
        <v>0</v>
      </c>
      <c r="C2251">
        <v>316</v>
      </c>
    </row>
    <row r="2252" spans="1:3" x14ac:dyDescent="0.25">
      <c r="A2252">
        <v>12</v>
      </c>
      <c r="B2252">
        <v>0</v>
      </c>
      <c r="C2252">
        <v>316</v>
      </c>
    </row>
    <row r="2253" spans="1:3" x14ac:dyDescent="0.25">
      <c r="A2253">
        <v>12</v>
      </c>
      <c r="B2253">
        <v>0</v>
      </c>
      <c r="C2253">
        <v>338</v>
      </c>
    </row>
    <row r="2254" spans="1:3" x14ac:dyDescent="0.25">
      <c r="A2254">
        <v>12</v>
      </c>
      <c r="B2254">
        <v>0</v>
      </c>
      <c r="C2254">
        <v>338</v>
      </c>
    </row>
    <row r="2255" spans="1:3" x14ac:dyDescent="0.25">
      <c r="A2255">
        <v>11</v>
      </c>
      <c r="B2255">
        <v>0</v>
      </c>
      <c r="C2255">
        <v>338</v>
      </c>
    </row>
    <row r="2256" spans="1:3" x14ac:dyDescent="0.25">
      <c r="A2256">
        <v>11</v>
      </c>
      <c r="B2256">
        <v>0</v>
      </c>
      <c r="C2256">
        <v>338</v>
      </c>
    </row>
    <row r="2257" spans="1:3" x14ac:dyDescent="0.25">
      <c r="A2257">
        <v>12</v>
      </c>
      <c r="B2257">
        <v>0</v>
      </c>
      <c r="C2257">
        <v>338</v>
      </c>
    </row>
    <row r="2258" spans="1:3" x14ac:dyDescent="0.25">
      <c r="A2258">
        <v>13</v>
      </c>
      <c r="B2258">
        <v>0</v>
      </c>
      <c r="C2258">
        <v>338</v>
      </c>
    </row>
    <row r="2259" spans="1:3" x14ac:dyDescent="0.25">
      <c r="A2259">
        <v>13</v>
      </c>
      <c r="B2259">
        <v>0</v>
      </c>
      <c r="C2259">
        <v>338</v>
      </c>
    </row>
    <row r="2260" spans="1:3" x14ac:dyDescent="0.25">
      <c r="A2260">
        <v>12</v>
      </c>
      <c r="B2260">
        <v>0</v>
      </c>
      <c r="C2260">
        <v>338</v>
      </c>
    </row>
    <row r="2261" spans="1:3" x14ac:dyDescent="0.25">
      <c r="A2261">
        <v>14</v>
      </c>
      <c r="B2261">
        <v>0</v>
      </c>
      <c r="C2261">
        <v>304</v>
      </c>
    </row>
    <row r="2262" spans="1:3" x14ac:dyDescent="0.25">
      <c r="A2262">
        <v>11</v>
      </c>
      <c r="B2262">
        <v>0</v>
      </c>
      <c r="C2262">
        <v>304</v>
      </c>
    </row>
    <row r="2263" spans="1:3" x14ac:dyDescent="0.25">
      <c r="A2263">
        <v>12</v>
      </c>
      <c r="B2263">
        <v>0</v>
      </c>
      <c r="C2263">
        <v>304</v>
      </c>
    </row>
    <row r="2264" spans="1:3" x14ac:dyDescent="0.25">
      <c r="A2264">
        <v>13</v>
      </c>
      <c r="B2264">
        <v>0</v>
      </c>
      <c r="C2264">
        <v>304</v>
      </c>
    </row>
    <row r="2265" spans="1:3" x14ac:dyDescent="0.25">
      <c r="A2265">
        <v>11</v>
      </c>
      <c r="B2265">
        <v>0</v>
      </c>
      <c r="C2265">
        <v>304</v>
      </c>
    </row>
    <row r="2266" spans="1:3" x14ac:dyDescent="0.25">
      <c r="A2266">
        <v>12</v>
      </c>
      <c r="B2266">
        <v>0</v>
      </c>
      <c r="C2266">
        <v>304</v>
      </c>
    </row>
    <row r="2267" spans="1:3" x14ac:dyDescent="0.25">
      <c r="A2267">
        <v>12</v>
      </c>
      <c r="B2267">
        <v>0</v>
      </c>
      <c r="C2267">
        <v>304</v>
      </c>
    </row>
    <row r="2268" spans="1:3" x14ac:dyDescent="0.25">
      <c r="A2268">
        <v>18</v>
      </c>
      <c r="B2268">
        <v>0</v>
      </c>
      <c r="C2268">
        <v>304</v>
      </c>
    </row>
    <row r="2269" spans="1:3" x14ac:dyDescent="0.25">
      <c r="A2269">
        <v>15</v>
      </c>
      <c r="B2269">
        <v>0</v>
      </c>
      <c r="C2269">
        <v>399</v>
      </c>
    </row>
    <row r="2270" spans="1:3" x14ac:dyDescent="0.25">
      <c r="A2270">
        <v>12</v>
      </c>
      <c r="B2270">
        <v>0</v>
      </c>
      <c r="C2270">
        <v>399</v>
      </c>
    </row>
    <row r="2271" spans="1:3" x14ac:dyDescent="0.25">
      <c r="A2271">
        <v>13</v>
      </c>
      <c r="B2271">
        <v>0</v>
      </c>
      <c r="C2271">
        <v>399</v>
      </c>
    </row>
    <row r="2272" spans="1:3" x14ac:dyDescent="0.25">
      <c r="A2272">
        <v>12</v>
      </c>
      <c r="B2272">
        <v>0</v>
      </c>
      <c r="C2272">
        <v>399</v>
      </c>
    </row>
    <row r="2273" spans="1:3" x14ac:dyDescent="0.25">
      <c r="A2273">
        <v>11</v>
      </c>
      <c r="B2273">
        <v>0</v>
      </c>
      <c r="C2273">
        <v>399</v>
      </c>
    </row>
    <row r="2274" spans="1:3" x14ac:dyDescent="0.25">
      <c r="A2274">
        <v>11</v>
      </c>
      <c r="B2274">
        <v>0</v>
      </c>
      <c r="C2274">
        <v>399</v>
      </c>
    </row>
    <row r="2275" spans="1:3" x14ac:dyDescent="0.25">
      <c r="A2275">
        <v>13</v>
      </c>
      <c r="B2275">
        <v>0</v>
      </c>
      <c r="C2275">
        <v>399</v>
      </c>
    </row>
    <row r="2276" spans="1:3" x14ac:dyDescent="0.25">
      <c r="A2276">
        <v>12</v>
      </c>
      <c r="B2276">
        <v>0</v>
      </c>
      <c r="C2276">
        <v>399</v>
      </c>
    </row>
    <row r="2277" spans="1:3" x14ac:dyDescent="0.25">
      <c r="A2277">
        <v>13</v>
      </c>
      <c r="B2277">
        <v>0</v>
      </c>
      <c r="C2277">
        <v>347</v>
      </c>
    </row>
    <row r="2278" spans="1:3" x14ac:dyDescent="0.25">
      <c r="A2278">
        <v>11</v>
      </c>
      <c r="B2278">
        <v>0</v>
      </c>
      <c r="C2278">
        <v>347</v>
      </c>
    </row>
    <row r="2279" spans="1:3" x14ac:dyDescent="0.25">
      <c r="A2279">
        <v>18</v>
      </c>
      <c r="B2279">
        <v>0</v>
      </c>
      <c r="C2279">
        <v>347</v>
      </c>
    </row>
    <row r="2280" spans="1:3" x14ac:dyDescent="0.25">
      <c r="A2280">
        <v>12</v>
      </c>
      <c r="B2280">
        <v>0</v>
      </c>
      <c r="C2280">
        <v>347</v>
      </c>
    </row>
    <row r="2281" spans="1:3" x14ac:dyDescent="0.25">
      <c r="A2281">
        <v>13</v>
      </c>
      <c r="B2281">
        <v>0</v>
      </c>
      <c r="C2281">
        <v>347</v>
      </c>
    </row>
    <row r="2282" spans="1:3" x14ac:dyDescent="0.25">
      <c r="A2282">
        <v>12</v>
      </c>
      <c r="B2282">
        <v>0</v>
      </c>
      <c r="C2282">
        <v>347</v>
      </c>
    </row>
    <row r="2283" spans="1:3" x14ac:dyDescent="0.25">
      <c r="A2283">
        <v>12</v>
      </c>
      <c r="B2283">
        <v>0</v>
      </c>
      <c r="C2283">
        <v>347</v>
      </c>
    </row>
    <row r="2284" spans="1:3" x14ac:dyDescent="0.25">
      <c r="A2284">
        <v>11</v>
      </c>
      <c r="B2284">
        <v>0</v>
      </c>
      <c r="C2284">
        <v>307</v>
      </c>
    </row>
    <row r="2285" spans="1:3" x14ac:dyDescent="0.25">
      <c r="A2285">
        <v>11</v>
      </c>
      <c r="B2285">
        <v>0</v>
      </c>
      <c r="C2285">
        <v>307</v>
      </c>
    </row>
    <row r="2286" spans="1:3" x14ac:dyDescent="0.25">
      <c r="A2286">
        <v>11</v>
      </c>
      <c r="B2286">
        <v>0</v>
      </c>
      <c r="C2286">
        <v>307</v>
      </c>
    </row>
    <row r="2287" spans="1:3" x14ac:dyDescent="0.25">
      <c r="A2287">
        <v>13</v>
      </c>
      <c r="B2287">
        <v>0</v>
      </c>
      <c r="C2287">
        <v>307</v>
      </c>
    </row>
    <row r="2288" spans="1:3" x14ac:dyDescent="0.25">
      <c r="A2288">
        <v>15</v>
      </c>
      <c r="B2288">
        <v>0</v>
      </c>
      <c r="C2288">
        <v>307</v>
      </c>
    </row>
    <row r="2289" spans="1:3" x14ac:dyDescent="0.25">
      <c r="A2289">
        <v>16</v>
      </c>
      <c r="B2289">
        <v>0</v>
      </c>
      <c r="C2289">
        <v>307</v>
      </c>
    </row>
    <row r="2290" spans="1:3" x14ac:dyDescent="0.25">
      <c r="A2290">
        <v>14</v>
      </c>
      <c r="B2290">
        <v>0</v>
      </c>
      <c r="C2290">
        <v>307</v>
      </c>
    </row>
    <row r="2291" spans="1:3" x14ac:dyDescent="0.25">
      <c r="A2291">
        <v>14</v>
      </c>
      <c r="B2291">
        <v>0</v>
      </c>
      <c r="C2291">
        <v>307</v>
      </c>
    </row>
    <row r="2292" spans="1:3" x14ac:dyDescent="0.25">
      <c r="A2292">
        <v>12</v>
      </c>
      <c r="B2292">
        <v>0</v>
      </c>
      <c r="C2292">
        <v>332</v>
      </c>
    </row>
    <row r="2293" spans="1:3" x14ac:dyDescent="0.25">
      <c r="A2293">
        <v>13</v>
      </c>
      <c r="B2293">
        <v>0</v>
      </c>
      <c r="C2293">
        <v>332</v>
      </c>
    </row>
    <row r="2294" spans="1:3" x14ac:dyDescent="0.25">
      <c r="A2294">
        <v>12</v>
      </c>
      <c r="B2294">
        <v>0</v>
      </c>
      <c r="C2294">
        <v>332</v>
      </c>
    </row>
    <row r="2295" spans="1:3" x14ac:dyDescent="0.25">
      <c r="A2295">
        <v>11</v>
      </c>
      <c r="B2295">
        <v>0</v>
      </c>
      <c r="C2295">
        <v>332</v>
      </c>
    </row>
    <row r="2296" spans="1:3" x14ac:dyDescent="0.25">
      <c r="A2296">
        <v>11</v>
      </c>
      <c r="B2296">
        <v>0</v>
      </c>
      <c r="C2296">
        <v>332</v>
      </c>
    </row>
    <row r="2297" spans="1:3" x14ac:dyDescent="0.25">
      <c r="A2297">
        <v>14</v>
      </c>
      <c r="B2297">
        <v>0</v>
      </c>
      <c r="C2297">
        <v>332</v>
      </c>
    </row>
    <row r="2298" spans="1:3" x14ac:dyDescent="0.25">
      <c r="A2298">
        <v>12</v>
      </c>
      <c r="B2298">
        <v>0</v>
      </c>
      <c r="C2298">
        <v>305</v>
      </c>
    </row>
    <row r="2299" spans="1:3" x14ac:dyDescent="0.25">
      <c r="A2299">
        <v>13</v>
      </c>
      <c r="B2299">
        <v>0</v>
      </c>
      <c r="C2299">
        <v>305</v>
      </c>
    </row>
    <row r="2300" spans="1:3" x14ac:dyDescent="0.25">
      <c r="A2300">
        <v>12</v>
      </c>
      <c r="B2300">
        <v>0</v>
      </c>
      <c r="C2300">
        <v>305</v>
      </c>
    </row>
    <row r="2301" spans="1:3" x14ac:dyDescent="0.25">
      <c r="A2301">
        <v>12</v>
      </c>
      <c r="B2301">
        <v>0</v>
      </c>
      <c r="C2301">
        <v>305</v>
      </c>
    </row>
    <row r="2302" spans="1:3" x14ac:dyDescent="0.25">
      <c r="A2302">
        <v>13</v>
      </c>
      <c r="B2302">
        <v>0</v>
      </c>
      <c r="C2302">
        <v>305</v>
      </c>
    </row>
    <row r="2303" spans="1:3" x14ac:dyDescent="0.25">
      <c r="A2303">
        <v>12</v>
      </c>
      <c r="B2303">
        <v>0</v>
      </c>
      <c r="C2303">
        <v>305</v>
      </c>
    </row>
    <row r="2304" spans="1:3" x14ac:dyDescent="0.25">
      <c r="A2304">
        <v>13</v>
      </c>
      <c r="B2304">
        <v>0</v>
      </c>
      <c r="C2304">
        <v>305</v>
      </c>
    </row>
    <row r="2305" spans="1:3" x14ac:dyDescent="0.25">
      <c r="A2305">
        <v>12</v>
      </c>
      <c r="B2305">
        <v>0</v>
      </c>
      <c r="C2305">
        <v>305</v>
      </c>
    </row>
    <row r="2306" spans="1:3" x14ac:dyDescent="0.25">
      <c r="A2306">
        <v>13</v>
      </c>
      <c r="B2306">
        <v>0</v>
      </c>
      <c r="C2306">
        <v>426</v>
      </c>
    </row>
    <row r="2307" spans="1:3" x14ac:dyDescent="0.25">
      <c r="A2307">
        <v>12</v>
      </c>
      <c r="B2307">
        <v>0</v>
      </c>
      <c r="C2307">
        <v>426</v>
      </c>
    </row>
    <row r="2308" spans="1:3" x14ac:dyDescent="0.25">
      <c r="A2308">
        <v>13</v>
      </c>
      <c r="B2308">
        <v>0</v>
      </c>
      <c r="C2308">
        <v>426</v>
      </c>
    </row>
    <row r="2309" spans="1:3" x14ac:dyDescent="0.25">
      <c r="A2309">
        <v>13</v>
      </c>
      <c r="B2309">
        <v>0</v>
      </c>
      <c r="C2309">
        <v>426</v>
      </c>
    </row>
    <row r="2310" spans="1:3" x14ac:dyDescent="0.25">
      <c r="A2310">
        <v>12</v>
      </c>
      <c r="B2310">
        <v>0</v>
      </c>
      <c r="C2310">
        <v>426</v>
      </c>
    </row>
    <row r="2311" spans="1:3" x14ac:dyDescent="0.25">
      <c r="A2311">
        <v>12</v>
      </c>
      <c r="B2311">
        <v>0</v>
      </c>
      <c r="C2311">
        <v>426</v>
      </c>
    </row>
    <row r="2312" spans="1:3" x14ac:dyDescent="0.25">
      <c r="A2312">
        <v>12</v>
      </c>
      <c r="B2312">
        <v>0</v>
      </c>
      <c r="C2312">
        <v>426</v>
      </c>
    </row>
    <row r="2313" spans="1:3" x14ac:dyDescent="0.25">
      <c r="A2313">
        <v>12</v>
      </c>
      <c r="B2313">
        <v>0</v>
      </c>
      <c r="C2313">
        <v>390</v>
      </c>
    </row>
    <row r="2314" spans="1:3" x14ac:dyDescent="0.25">
      <c r="A2314">
        <v>15</v>
      </c>
      <c r="B2314">
        <v>0</v>
      </c>
      <c r="C2314">
        <v>390</v>
      </c>
    </row>
    <row r="2315" spans="1:3" x14ac:dyDescent="0.25">
      <c r="A2315">
        <v>14</v>
      </c>
      <c r="B2315">
        <v>0</v>
      </c>
      <c r="C2315">
        <v>390</v>
      </c>
    </row>
    <row r="2316" spans="1:3" x14ac:dyDescent="0.25">
      <c r="A2316">
        <v>12</v>
      </c>
      <c r="B2316">
        <v>0</v>
      </c>
      <c r="C2316">
        <v>390</v>
      </c>
    </row>
    <row r="2317" spans="1:3" x14ac:dyDescent="0.25">
      <c r="A2317">
        <v>12</v>
      </c>
      <c r="B2317">
        <v>0</v>
      </c>
      <c r="C2317">
        <v>390</v>
      </c>
    </row>
    <row r="2318" spans="1:3" x14ac:dyDescent="0.25">
      <c r="A2318">
        <v>12</v>
      </c>
      <c r="B2318">
        <v>0</v>
      </c>
      <c r="C2318">
        <v>390</v>
      </c>
    </row>
    <row r="2319" spans="1:3" x14ac:dyDescent="0.25">
      <c r="A2319">
        <v>12</v>
      </c>
      <c r="B2319">
        <v>0</v>
      </c>
      <c r="C2319">
        <v>390</v>
      </c>
    </row>
    <row r="2320" spans="1:3" x14ac:dyDescent="0.25">
      <c r="A2320">
        <v>12</v>
      </c>
      <c r="B2320">
        <v>0</v>
      </c>
      <c r="C2320">
        <v>364</v>
      </c>
    </row>
    <row r="2321" spans="1:3" x14ac:dyDescent="0.25">
      <c r="A2321">
        <v>12</v>
      </c>
      <c r="B2321">
        <v>0</v>
      </c>
      <c r="C2321">
        <v>364</v>
      </c>
    </row>
    <row r="2322" spans="1:3" x14ac:dyDescent="0.25">
      <c r="A2322">
        <v>12</v>
      </c>
      <c r="B2322">
        <v>0</v>
      </c>
      <c r="C2322">
        <v>364</v>
      </c>
    </row>
    <row r="2323" spans="1:3" x14ac:dyDescent="0.25">
      <c r="A2323">
        <v>12</v>
      </c>
      <c r="B2323">
        <v>0</v>
      </c>
      <c r="C2323">
        <v>364</v>
      </c>
    </row>
    <row r="2324" spans="1:3" x14ac:dyDescent="0.25">
      <c r="A2324">
        <v>12</v>
      </c>
      <c r="B2324">
        <v>0</v>
      </c>
      <c r="C2324">
        <v>364</v>
      </c>
    </row>
    <row r="2325" spans="1:3" x14ac:dyDescent="0.25">
      <c r="A2325">
        <v>11</v>
      </c>
      <c r="B2325">
        <v>0</v>
      </c>
      <c r="C2325">
        <v>364</v>
      </c>
    </row>
    <row r="2326" spans="1:3" x14ac:dyDescent="0.25">
      <c r="A2326">
        <v>12</v>
      </c>
      <c r="B2326">
        <v>0</v>
      </c>
      <c r="C2326">
        <v>364</v>
      </c>
    </row>
    <row r="2327" spans="1:3" x14ac:dyDescent="0.25">
      <c r="A2327">
        <v>12</v>
      </c>
      <c r="B2327">
        <v>0</v>
      </c>
      <c r="C2327">
        <v>364</v>
      </c>
    </row>
    <row r="2328" spans="1:3" x14ac:dyDescent="0.25">
      <c r="A2328">
        <v>13</v>
      </c>
      <c r="B2328">
        <v>0</v>
      </c>
      <c r="C2328">
        <v>339</v>
      </c>
    </row>
    <row r="2329" spans="1:3" x14ac:dyDescent="0.25">
      <c r="A2329">
        <v>13</v>
      </c>
      <c r="B2329">
        <v>0</v>
      </c>
      <c r="C2329">
        <v>339</v>
      </c>
    </row>
    <row r="2330" spans="1:3" x14ac:dyDescent="0.25">
      <c r="A2330">
        <v>11</v>
      </c>
      <c r="B2330">
        <v>0</v>
      </c>
      <c r="C2330">
        <v>339</v>
      </c>
    </row>
    <row r="2331" spans="1:3" x14ac:dyDescent="0.25">
      <c r="A2331">
        <v>14</v>
      </c>
      <c r="B2331">
        <v>0</v>
      </c>
      <c r="C2331">
        <v>339</v>
      </c>
    </row>
    <row r="2332" spans="1:3" x14ac:dyDescent="0.25">
      <c r="A2332">
        <v>12</v>
      </c>
      <c r="B2332">
        <v>0</v>
      </c>
      <c r="C2332">
        <v>339</v>
      </c>
    </row>
    <row r="2333" spans="1:3" x14ac:dyDescent="0.25">
      <c r="A2333">
        <v>11</v>
      </c>
      <c r="B2333">
        <v>0</v>
      </c>
      <c r="C2333">
        <v>339</v>
      </c>
    </row>
    <row r="2334" spans="1:3" x14ac:dyDescent="0.25">
      <c r="A2334">
        <v>12</v>
      </c>
      <c r="B2334">
        <v>0</v>
      </c>
      <c r="C2334">
        <v>339</v>
      </c>
    </row>
    <row r="2335" spans="1:3" x14ac:dyDescent="0.25">
      <c r="A2335">
        <v>12</v>
      </c>
      <c r="B2335">
        <v>0</v>
      </c>
      <c r="C2335">
        <v>339</v>
      </c>
    </row>
    <row r="2336" spans="1:3" x14ac:dyDescent="0.25">
      <c r="A2336">
        <v>12</v>
      </c>
      <c r="B2336">
        <v>0</v>
      </c>
      <c r="C2336">
        <v>326</v>
      </c>
    </row>
    <row r="2337" spans="1:3" x14ac:dyDescent="0.25">
      <c r="A2337">
        <v>13</v>
      </c>
      <c r="B2337">
        <v>0</v>
      </c>
      <c r="C2337">
        <v>326</v>
      </c>
    </row>
    <row r="2338" spans="1:3" x14ac:dyDescent="0.25">
      <c r="A2338">
        <v>14</v>
      </c>
      <c r="B2338">
        <v>0</v>
      </c>
      <c r="C2338">
        <v>326</v>
      </c>
    </row>
    <row r="2339" spans="1:3" x14ac:dyDescent="0.25">
      <c r="A2339">
        <v>13</v>
      </c>
      <c r="B2339">
        <v>0</v>
      </c>
      <c r="C2339">
        <v>326</v>
      </c>
    </row>
    <row r="2340" spans="1:3" x14ac:dyDescent="0.25">
      <c r="A2340">
        <v>12</v>
      </c>
      <c r="B2340">
        <v>0</v>
      </c>
      <c r="C2340">
        <v>326</v>
      </c>
    </row>
    <row r="2341" spans="1:3" x14ac:dyDescent="0.25">
      <c r="A2341">
        <v>15</v>
      </c>
      <c r="B2341">
        <v>0</v>
      </c>
      <c r="C2341">
        <v>326</v>
      </c>
    </row>
    <row r="2342" spans="1:3" x14ac:dyDescent="0.25">
      <c r="A2342">
        <v>13</v>
      </c>
      <c r="B2342">
        <v>0</v>
      </c>
      <c r="C2342">
        <v>326</v>
      </c>
    </row>
    <row r="2343" spans="1:3" x14ac:dyDescent="0.25">
      <c r="A2343">
        <v>14</v>
      </c>
      <c r="B2343">
        <v>0</v>
      </c>
      <c r="C2343">
        <v>326</v>
      </c>
    </row>
    <row r="2344" spans="1:3" x14ac:dyDescent="0.25">
      <c r="A2344">
        <v>12</v>
      </c>
      <c r="B2344">
        <v>0</v>
      </c>
      <c r="C2344">
        <v>346</v>
      </c>
    </row>
    <row r="2345" spans="1:3" x14ac:dyDescent="0.25">
      <c r="A2345">
        <v>11</v>
      </c>
      <c r="B2345">
        <v>0</v>
      </c>
      <c r="C2345">
        <v>346</v>
      </c>
    </row>
    <row r="2346" spans="1:3" x14ac:dyDescent="0.25">
      <c r="A2346">
        <v>11</v>
      </c>
      <c r="B2346">
        <v>0</v>
      </c>
      <c r="C2346">
        <v>346</v>
      </c>
    </row>
    <row r="2347" spans="1:3" x14ac:dyDescent="0.25">
      <c r="A2347">
        <v>17</v>
      </c>
      <c r="B2347">
        <v>0</v>
      </c>
      <c r="C2347">
        <v>346</v>
      </c>
    </row>
    <row r="2348" spans="1:3" x14ac:dyDescent="0.25">
      <c r="A2348">
        <v>13</v>
      </c>
      <c r="B2348">
        <v>0</v>
      </c>
      <c r="C2348">
        <v>346</v>
      </c>
    </row>
    <row r="2349" spans="1:3" x14ac:dyDescent="0.25">
      <c r="A2349">
        <v>32</v>
      </c>
      <c r="B2349">
        <v>0</v>
      </c>
      <c r="C2349">
        <v>346</v>
      </c>
    </row>
    <row r="2350" spans="1:3" x14ac:dyDescent="0.25">
      <c r="A2350">
        <v>14</v>
      </c>
      <c r="B2350">
        <v>0</v>
      </c>
      <c r="C2350">
        <v>346</v>
      </c>
    </row>
    <row r="2351" spans="1:3" x14ac:dyDescent="0.25">
      <c r="A2351">
        <v>13</v>
      </c>
      <c r="B2351">
        <v>0</v>
      </c>
      <c r="C2351">
        <v>558</v>
      </c>
    </row>
    <row r="2352" spans="1:3" x14ac:dyDescent="0.25">
      <c r="A2352">
        <v>13</v>
      </c>
      <c r="B2352">
        <v>0</v>
      </c>
      <c r="C2352">
        <v>558</v>
      </c>
    </row>
    <row r="2353" spans="1:3" x14ac:dyDescent="0.25">
      <c r="A2353">
        <v>12</v>
      </c>
      <c r="B2353">
        <v>0</v>
      </c>
      <c r="C2353">
        <v>558</v>
      </c>
    </row>
    <row r="2354" spans="1:3" x14ac:dyDescent="0.25">
      <c r="A2354">
        <v>13</v>
      </c>
      <c r="B2354">
        <v>0</v>
      </c>
      <c r="C2354">
        <v>558</v>
      </c>
    </row>
    <row r="2355" spans="1:3" x14ac:dyDescent="0.25">
      <c r="A2355">
        <v>13</v>
      </c>
      <c r="B2355">
        <v>0</v>
      </c>
      <c r="C2355">
        <v>558</v>
      </c>
    </row>
    <row r="2356" spans="1:3" x14ac:dyDescent="0.25">
      <c r="A2356">
        <v>13</v>
      </c>
      <c r="B2356">
        <v>0</v>
      </c>
      <c r="C2356">
        <v>558</v>
      </c>
    </row>
    <row r="2357" spans="1:3" x14ac:dyDescent="0.25">
      <c r="A2357">
        <v>19</v>
      </c>
      <c r="B2357">
        <v>0</v>
      </c>
      <c r="C2357">
        <v>558</v>
      </c>
    </row>
    <row r="2358" spans="1:3" x14ac:dyDescent="0.25">
      <c r="A2358">
        <v>15</v>
      </c>
      <c r="B2358">
        <v>0</v>
      </c>
      <c r="C2358">
        <v>449</v>
      </c>
    </row>
    <row r="2359" spans="1:3" x14ac:dyDescent="0.25">
      <c r="A2359">
        <v>12</v>
      </c>
      <c r="B2359">
        <v>0</v>
      </c>
      <c r="C2359">
        <v>449</v>
      </c>
    </row>
    <row r="2360" spans="1:3" x14ac:dyDescent="0.25">
      <c r="A2360">
        <v>11</v>
      </c>
      <c r="B2360">
        <v>0</v>
      </c>
      <c r="C2360">
        <v>449</v>
      </c>
    </row>
    <row r="2361" spans="1:3" x14ac:dyDescent="0.25">
      <c r="A2361">
        <v>12</v>
      </c>
      <c r="B2361">
        <v>0</v>
      </c>
      <c r="C2361">
        <v>449</v>
      </c>
    </row>
    <row r="2362" spans="1:3" x14ac:dyDescent="0.25">
      <c r="A2362">
        <v>12</v>
      </c>
      <c r="B2362">
        <v>0</v>
      </c>
      <c r="C2362">
        <v>449</v>
      </c>
    </row>
    <row r="2363" spans="1:3" x14ac:dyDescent="0.25">
      <c r="A2363">
        <v>13</v>
      </c>
      <c r="B2363">
        <v>0</v>
      </c>
      <c r="C2363">
        <v>449</v>
      </c>
    </row>
    <row r="2364" spans="1:3" x14ac:dyDescent="0.25">
      <c r="A2364">
        <v>14</v>
      </c>
      <c r="B2364">
        <v>0</v>
      </c>
      <c r="C2364">
        <v>449</v>
      </c>
    </row>
    <row r="2365" spans="1:3" x14ac:dyDescent="0.25">
      <c r="A2365">
        <v>14</v>
      </c>
      <c r="B2365">
        <v>0</v>
      </c>
      <c r="C2365">
        <v>423</v>
      </c>
    </row>
    <row r="2366" spans="1:3" x14ac:dyDescent="0.25">
      <c r="A2366">
        <v>12</v>
      </c>
      <c r="B2366">
        <v>0</v>
      </c>
      <c r="C2366">
        <v>423</v>
      </c>
    </row>
    <row r="2367" spans="1:3" x14ac:dyDescent="0.25">
      <c r="A2367">
        <v>12</v>
      </c>
      <c r="B2367">
        <v>0</v>
      </c>
      <c r="C2367">
        <v>423</v>
      </c>
    </row>
    <row r="2368" spans="1:3" x14ac:dyDescent="0.25">
      <c r="A2368">
        <v>14</v>
      </c>
      <c r="B2368">
        <v>0</v>
      </c>
      <c r="C2368">
        <v>423</v>
      </c>
    </row>
    <row r="2369" spans="1:3" x14ac:dyDescent="0.25">
      <c r="A2369">
        <v>12</v>
      </c>
      <c r="B2369">
        <v>0</v>
      </c>
      <c r="C2369">
        <v>423</v>
      </c>
    </row>
    <row r="2370" spans="1:3" x14ac:dyDescent="0.25">
      <c r="A2370">
        <v>12</v>
      </c>
      <c r="B2370">
        <v>0</v>
      </c>
      <c r="C2370">
        <v>423</v>
      </c>
    </row>
    <row r="2371" spans="1:3" x14ac:dyDescent="0.25">
      <c r="A2371">
        <v>13</v>
      </c>
      <c r="B2371">
        <v>0</v>
      </c>
      <c r="C2371">
        <v>423</v>
      </c>
    </row>
    <row r="2372" spans="1:3" x14ac:dyDescent="0.25">
      <c r="A2372">
        <v>13</v>
      </c>
      <c r="B2372">
        <v>0</v>
      </c>
      <c r="C2372">
        <v>423</v>
      </c>
    </row>
    <row r="2373" spans="1:3" x14ac:dyDescent="0.25">
      <c r="A2373">
        <v>11</v>
      </c>
      <c r="B2373">
        <v>0</v>
      </c>
      <c r="C2373">
        <v>320</v>
      </c>
    </row>
    <row r="2374" spans="1:3" x14ac:dyDescent="0.25">
      <c r="A2374">
        <v>11</v>
      </c>
      <c r="B2374">
        <v>0</v>
      </c>
      <c r="C2374">
        <v>320</v>
      </c>
    </row>
    <row r="2375" spans="1:3" x14ac:dyDescent="0.25">
      <c r="A2375">
        <v>12</v>
      </c>
      <c r="B2375">
        <v>0</v>
      </c>
      <c r="C2375">
        <v>320</v>
      </c>
    </row>
    <row r="2376" spans="1:3" x14ac:dyDescent="0.25">
      <c r="A2376">
        <v>11</v>
      </c>
      <c r="B2376">
        <v>0</v>
      </c>
      <c r="C2376">
        <v>320</v>
      </c>
    </row>
    <row r="2377" spans="1:3" x14ac:dyDescent="0.25">
      <c r="A2377">
        <v>13</v>
      </c>
      <c r="B2377">
        <v>0</v>
      </c>
      <c r="C2377">
        <v>320</v>
      </c>
    </row>
    <row r="2378" spans="1:3" x14ac:dyDescent="0.25">
      <c r="A2378">
        <v>12</v>
      </c>
      <c r="B2378">
        <v>0</v>
      </c>
      <c r="C2378">
        <v>320</v>
      </c>
    </row>
    <row r="2379" spans="1:3" x14ac:dyDescent="0.25">
      <c r="A2379">
        <v>17</v>
      </c>
      <c r="B2379">
        <v>0</v>
      </c>
      <c r="C2379">
        <v>320</v>
      </c>
    </row>
    <row r="2380" spans="1:3" x14ac:dyDescent="0.25">
      <c r="A2380">
        <v>12</v>
      </c>
      <c r="B2380">
        <v>0</v>
      </c>
      <c r="C2380">
        <v>320</v>
      </c>
    </row>
    <row r="2381" spans="1:3" x14ac:dyDescent="0.25">
      <c r="A2381">
        <v>15</v>
      </c>
      <c r="B2381">
        <v>0</v>
      </c>
      <c r="C2381">
        <v>387</v>
      </c>
    </row>
    <row r="2382" spans="1:3" x14ac:dyDescent="0.25">
      <c r="A2382">
        <v>11</v>
      </c>
      <c r="B2382">
        <v>0</v>
      </c>
      <c r="C2382">
        <v>387</v>
      </c>
    </row>
    <row r="2383" spans="1:3" x14ac:dyDescent="0.25">
      <c r="A2383">
        <v>14</v>
      </c>
      <c r="B2383">
        <v>0</v>
      </c>
      <c r="C2383">
        <v>387</v>
      </c>
    </row>
    <row r="2384" spans="1:3" x14ac:dyDescent="0.25">
      <c r="A2384">
        <v>12</v>
      </c>
      <c r="B2384">
        <v>0</v>
      </c>
      <c r="C2384">
        <v>387</v>
      </c>
    </row>
    <row r="2385" spans="1:3" x14ac:dyDescent="0.25">
      <c r="A2385">
        <v>14</v>
      </c>
      <c r="B2385">
        <v>0</v>
      </c>
      <c r="C2385">
        <v>387</v>
      </c>
    </row>
    <row r="2386" spans="1:3" x14ac:dyDescent="0.25">
      <c r="A2386">
        <v>11</v>
      </c>
      <c r="B2386">
        <v>0</v>
      </c>
      <c r="C2386">
        <v>387</v>
      </c>
    </row>
    <row r="2387" spans="1:3" x14ac:dyDescent="0.25">
      <c r="A2387">
        <v>13</v>
      </c>
      <c r="B2387">
        <v>0</v>
      </c>
      <c r="C2387">
        <v>387</v>
      </c>
    </row>
    <row r="2388" spans="1:3" x14ac:dyDescent="0.25">
      <c r="A2388">
        <v>12</v>
      </c>
      <c r="B2388">
        <v>0</v>
      </c>
      <c r="C2388">
        <v>387</v>
      </c>
    </row>
    <row r="2389" spans="1:3" x14ac:dyDescent="0.25">
      <c r="A2389">
        <v>12</v>
      </c>
      <c r="B2389">
        <v>0</v>
      </c>
      <c r="C2389">
        <v>339</v>
      </c>
    </row>
    <row r="2390" spans="1:3" x14ac:dyDescent="0.25">
      <c r="A2390">
        <v>12</v>
      </c>
      <c r="B2390">
        <v>0</v>
      </c>
      <c r="C2390">
        <v>339</v>
      </c>
    </row>
    <row r="2391" spans="1:3" x14ac:dyDescent="0.25">
      <c r="A2391">
        <v>13</v>
      </c>
      <c r="B2391">
        <v>0</v>
      </c>
      <c r="C2391">
        <v>339</v>
      </c>
    </row>
    <row r="2392" spans="1:3" x14ac:dyDescent="0.25">
      <c r="A2392">
        <v>12</v>
      </c>
      <c r="B2392">
        <v>0</v>
      </c>
      <c r="C2392">
        <v>339</v>
      </c>
    </row>
    <row r="2393" spans="1:3" x14ac:dyDescent="0.25">
      <c r="A2393">
        <v>19</v>
      </c>
      <c r="B2393">
        <v>0</v>
      </c>
      <c r="C2393">
        <v>339</v>
      </c>
    </row>
    <row r="2394" spans="1:3" x14ac:dyDescent="0.25">
      <c r="A2394">
        <v>15</v>
      </c>
      <c r="B2394">
        <v>0</v>
      </c>
      <c r="C2394">
        <v>339</v>
      </c>
    </row>
    <row r="2395" spans="1:3" x14ac:dyDescent="0.25">
      <c r="A2395">
        <v>12</v>
      </c>
      <c r="B2395">
        <v>0</v>
      </c>
      <c r="C2395">
        <v>339</v>
      </c>
    </row>
    <row r="2396" spans="1:3" x14ac:dyDescent="0.25">
      <c r="A2396">
        <v>12</v>
      </c>
      <c r="B2396">
        <v>0</v>
      </c>
      <c r="C2396">
        <v>339</v>
      </c>
    </row>
    <row r="2397" spans="1:3" x14ac:dyDescent="0.25">
      <c r="A2397">
        <v>11</v>
      </c>
      <c r="B2397">
        <v>0</v>
      </c>
      <c r="C2397">
        <v>360</v>
      </c>
    </row>
    <row r="2398" spans="1:3" x14ac:dyDescent="0.25">
      <c r="A2398">
        <v>12</v>
      </c>
      <c r="B2398">
        <v>0</v>
      </c>
      <c r="C2398">
        <v>360</v>
      </c>
    </row>
    <row r="2399" spans="1:3" x14ac:dyDescent="0.25">
      <c r="A2399">
        <v>13</v>
      </c>
      <c r="B2399">
        <v>0</v>
      </c>
      <c r="C2399">
        <v>360</v>
      </c>
    </row>
    <row r="2400" spans="1:3" x14ac:dyDescent="0.25">
      <c r="A2400">
        <v>12</v>
      </c>
      <c r="B2400">
        <v>0</v>
      </c>
      <c r="C2400">
        <v>360</v>
      </c>
    </row>
    <row r="2401" spans="1:3" x14ac:dyDescent="0.25">
      <c r="A2401">
        <v>13</v>
      </c>
      <c r="B2401">
        <v>0</v>
      </c>
      <c r="C2401">
        <v>360</v>
      </c>
    </row>
    <row r="2402" spans="1:3" x14ac:dyDescent="0.25">
      <c r="A2402">
        <v>46</v>
      </c>
      <c r="B2402">
        <v>0</v>
      </c>
      <c r="C2402">
        <v>177</v>
      </c>
    </row>
    <row r="2403" spans="1:3" x14ac:dyDescent="0.25">
      <c r="A2403">
        <v>13</v>
      </c>
      <c r="B2403">
        <v>0</v>
      </c>
      <c r="C2403">
        <v>177</v>
      </c>
    </row>
    <row r="2404" spans="1:3" x14ac:dyDescent="0.25">
      <c r="A2404">
        <v>13</v>
      </c>
      <c r="B2404">
        <v>0</v>
      </c>
      <c r="C2404">
        <v>177</v>
      </c>
    </row>
    <row r="2405" spans="1:3" x14ac:dyDescent="0.25">
      <c r="A2405">
        <v>14</v>
      </c>
      <c r="B2405">
        <v>0</v>
      </c>
      <c r="C2405">
        <v>177</v>
      </c>
    </row>
    <row r="2406" spans="1:3" x14ac:dyDescent="0.25">
      <c r="A2406">
        <v>13</v>
      </c>
      <c r="B2406">
        <v>0</v>
      </c>
      <c r="C2406">
        <v>177</v>
      </c>
    </row>
    <row r="2407" spans="1:3" x14ac:dyDescent="0.25">
      <c r="A2407">
        <v>13</v>
      </c>
      <c r="B2407">
        <v>0</v>
      </c>
      <c r="C2407">
        <v>177</v>
      </c>
    </row>
    <row r="2408" spans="1:3" x14ac:dyDescent="0.25">
      <c r="A2408">
        <v>12</v>
      </c>
      <c r="B2408">
        <v>0</v>
      </c>
      <c r="C2408">
        <v>177</v>
      </c>
    </row>
    <row r="2409" spans="1:3" x14ac:dyDescent="0.25">
      <c r="A2409">
        <v>15</v>
      </c>
      <c r="B2409">
        <v>0</v>
      </c>
      <c r="C2409">
        <v>470</v>
      </c>
    </row>
    <row r="2410" spans="1:3" x14ac:dyDescent="0.25">
      <c r="A2410">
        <v>16</v>
      </c>
      <c r="B2410">
        <v>0</v>
      </c>
      <c r="C2410">
        <v>470</v>
      </c>
    </row>
    <row r="2411" spans="1:3" x14ac:dyDescent="0.25">
      <c r="A2411">
        <v>14</v>
      </c>
      <c r="B2411">
        <v>0</v>
      </c>
      <c r="C2411">
        <v>470</v>
      </c>
    </row>
    <row r="2412" spans="1:3" x14ac:dyDescent="0.25">
      <c r="A2412">
        <v>14</v>
      </c>
      <c r="B2412">
        <v>0</v>
      </c>
      <c r="C2412">
        <v>470</v>
      </c>
    </row>
    <row r="2413" spans="1:3" x14ac:dyDescent="0.25">
      <c r="A2413">
        <v>14</v>
      </c>
      <c r="B2413">
        <v>0</v>
      </c>
      <c r="C2413">
        <v>470</v>
      </c>
    </row>
    <row r="2414" spans="1:3" x14ac:dyDescent="0.25">
      <c r="A2414">
        <v>13</v>
      </c>
      <c r="B2414">
        <v>0</v>
      </c>
      <c r="C2414">
        <v>470</v>
      </c>
    </row>
    <row r="2415" spans="1:3" x14ac:dyDescent="0.25">
      <c r="A2415">
        <v>13</v>
      </c>
      <c r="B2415">
        <v>0</v>
      </c>
      <c r="C2415">
        <v>470</v>
      </c>
    </row>
    <row r="2416" spans="1:3" x14ac:dyDescent="0.25">
      <c r="A2416">
        <v>14</v>
      </c>
      <c r="B2416">
        <v>0</v>
      </c>
      <c r="C2416">
        <v>536</v>
      </c>
    </row>
    <row r="2417" spans="1:3" x14ac:dyDescent="0.25">
      <c r="A2417">
        <v>14</v>
      </c>
      <c r="B2417">
        <v>0</v>
      </c>
      <c r="C2417">
        <v>536</v>
      </c>
    </row>
    <row r="2418" spans="1:3" x14ac:dyDescent="0.25">
      <c r="A2418">
        <v>14</v>
      </c>
      <c r="B2418">
        <v>0</v>
      </c>
      <c r="C2418">
        <v>536</v>
      </c>
    </row>
    <row r="2419" spans="1:3" x14ac:dyDescent="0.25">
      <c r="A2419">
        <v>19</v>
      </c>
      <c r="B2419">
        <v>0</v>
      </c>
      <c r="C2419">
        <v>536</v>
      </c>
    </row>
    <row r="2420" spans="1:3" x14ac:dyDescent="0.25">
      <c r="A2420">
        <v>15</v>
      </c>
      <c r="B2420">
        <v>0</v>
      </c>
      <c r="C2420">
        <v>536</v>
      </c>
    </row>
    <row r="2421" spans="1:3" x14ac:dyDescent="0.25">
      <c r="A2421">
        <v>13</v>
      </c>
      <c r="B2421">
        <v>0</v>
      </c>
      <c r="C2421">
        <v>536</v>
      </c>
    </row>
    <row r="2422" spans="1:3" x14ac:dyDescent="0.25">
      <c r="A2422">
        <v>12</v>
      </c>
      <c r="B2422">
        <v>0</v>
      </c>
      <c r="C2422">
        <v>536</v>
      </c>
    </row>
    <row r="2423" spans="1:3" x14ac:dyDescent="0.25">
      <c r="A2423">
        <v>17</v>
      </c>
      <c r="B2423">
        <v>0</v>
      </c>
      <c r="C2423">
        <v>486</v>
      </c>
    </row>
    <row r="2424" spans="1:3" x14ac:dyDescent="0.25">
      <c r="A2424">
        <v>15</v>
      </c>
      <c r="B2424">
        <v>0</v>
      </c>
      <c r="C2424">
        <v>486</v>
      </c>
    </row>
    <row r="2425" spans="1:3" x14ac:dyDescent="0.25">
      <c r="A2425">
        <v>15</v>
      </c>
      <c r="B2425">
        <v>0</v>
      </c>
      <c r="C2425">
        <v>486</v>
      </c>
    </row>
    <row r="2426" spans="1:3" x14ac:dyDescent="0.25">
      <c r="A2426">
        <v>20</v>
      </c>
      <c r="B2426">
        <v>0</v>
      </c>
      <c r="C2426">
        <v>486</v>
      </c>
    </row>
    <row r="2427" spans="1:3" x14ac:dyDescent="0.25">
      <c r="A2427">
        <v>49</v>
      </c>
      <c r="B2427">
        <v>0</v>
      </c>
      <c r="C2427">
        <v>486</v>
      </c>
    </row>
    <row r="2428" spans="1:3" x14ac:dyDescent="0.25">
      <c r="A2428">
        <v>18</v>
      </c>
      <c r="B2428">
        <v>0</v>
      </c>
      <c r="C2428">
        <v>835</v>
      </c>
    </row>
    <row r="2429" spans="1:3" x14ac:dyDescent="0.25">
      <c r="A2429">
        <v>29</v>
      </c>
      <c r="B2429">
        <v>0</v>
      </c>
      <c r="C2429">
        <v>835</v>
      </c>
    </row>
    <row r="2430" spans="1:3" x14ac:dyDescent="0.25">
      <c r="A2430">
        <v>19</v>
      </c>
      <c r="B2430">
        <v>0</v>
      </c>
      <c r="C2430">
        <v>835</v>
      </c>
    </row>
    <row r="2431" spans="1:3" x14ac:dyDescent="0.25">
      <c r="A2431">
        <v>15</v>
      </c>
      <c r="B2431">
        <v>0</v>
      </c>
      <c r="C2431">
        <v>835</v>
      </c>
    </row>
    <row r="2432" spans="1:3" x14ac:dyDescent="0.25">
      <c r="A2432">
        <v>13</v>
      </c>
      <c r="B2432">
        <v>0</v>
      </c>
      <c r="C2432">
        <v>835</v>
      </c>
    </row>
    <row r="2433" spans="1:3" x14ac:dyDescent="0.25">
      <c r="A2433">
        <v>27</v>
      </c>
      <c r="B2433">
        <v>0</v>
      </c>
      <c r="C2433">
        <v>795</v>
      </c>
    </row>
    <row r="2434" spans="1:3" x14ac:dyDescent="0.25">
      <c r="A2434">
        <v>14</v>
      </c>
      <c r="B2434">
        <v>0</v>
      </c>
      <c r="C2434">
        <v>795</v>
      </c>
    </row>
    <row r="2435" spans="1:3" x14ac:dyDescent="0.25">
      <c r="A2435">
        <v>51</v>
      </c>
      <c r="B2435">
        <v>0</v>
      </c>
      <c r="C2435">
        <v>795</v>
      </c>
    </row>
    <row r="2436" spans="1:3" x14ac:dyDescent="0.25">
      <c r="A2436">
        <v>22</v>
      </c>
      <c r="B2436">
        <v>0</v>
      </c>
      <c r="C2436">
        <v>795</v>
      </c>
    </row>
    <row r="2437" spans="1:3" x14ac:dyDescent="0.25">
      <c r="A2437">
        <v>37</v>
      </c>
      <c r="B2437">
        <v>0</v>
      </c>
      <c r="C2437">
        <v>824</v>
      </c>
    </row>
    <row r="2438" spans="1:3" x14ac:dyDescent="0.25">
      <c r="A2438">
        <v>29</v>
      </c>
      <c r="B2438">
        <v>0</v>
      </c>
      <c r="C2438">
        <v>824</v>
      </c>
    </row>
    <row r="2439" spans="1:3" x14ac:dyDescent="0.25">
      <c r="A2439">
        <v>13</v>
      </c>
      <c r="B2439">
        <v>0</v>
      </c>
      <c r="C2439">
        <v>824</v>
      </c>
    </row>
    <row r="2440" spans="1:3" x14ac:dyDescent="0.25">
      <c r="A2440">
        <v>13</v>
      </c>
      <c r="B2440">
        <v>0</v>
      </c>
      <c r="C2440">
        <v>824</v>
      </c>
    </row>
    <row r="2441" spans="1:3" x14ac:dyDescent="0.25">
      <c r="A2441">
        <v>13</v>
      </c>
      <c r="B2441">
        <v>0</v>
      </c>
      <c r="C2441">
        <v>824</v>
      </c>
    </row>
    <row r="2442" spans="1:3" x14ac:dyDescent="0.25">
      <c r="A2442">
        <v>21</v>
      </c>
      <c r="B2442">
        <v>0</v>
      </c>
      <c r="C2442">
        <v>720</v>
      </c>
    </row>
    <row r="2443" spans="1:3" x14ac:dyDescent="0.25">
      <c r="A2443">
        <v>20</v>
      </c>
      <c r="B2443">
        <v>0</v>
      </c>
      <c r="C2443">
        <v>720</v>
      </c>
    </row>
    <row r="2444" spans="1:3" x14ac:dyDescent="0.25">
      <c r="A2444">
        <v>18</v>
      </c>
      <c r="B2444">
        <v>0</v>
      </c>
      <c r="C2444">
        <v>720</v>
      </c>
    </row>
    <row r="2445" spans="1:3" x14ac:dyDescent="0.25">
      <c r="A2445">
        <v>19</v>
      </c>
      <c r="B2445">
        <v>0</v>
      </c>
      <c r="C2445">
        <v>720</v>
      </c>
    </row>
    <row r="2446" spans="1:3" x14ac:dyDescent="0.25">
      <c r="A2446">
        <v>57</v>
      </c>
      <c r="B2446">
        <v>0</v>
      </c>
      <c r="C2446">
        <v>916</v>
      </c>
    </row>
    <row r="2447" spans="1:3" x14ac:dyDescent="0.25">
      <c r="A2447">
        <v>19</v>
      </c>
      <c r="B2447">
        <v>0</v>
      </c>
      <c r="C2447">
        <v>916</v>
      </c>
    </row>
    <row r="2448" spans="1:3" x14ac:dyDescent="0.25">
      <c r="A2448">
        <v>22</v>
      </c>
      <c r="B2448">
        <v>0</v>
      </c>
      <c r="C2448">
        <v>916</v>
      </c>
    </row>
    <row r="2449" spans="1:3" x14ac:dyDescent="0.25">
      <c r="A2449">
        <v>16</v>
      </c>
      <c r="B2449">
        <v>0</v>
      </c>
      <c r="C2449">
        <v>916</v>
      </c>
    </row>
    <row r="2450" spans="1:3" x14ac:dyDescent="0.25">
      <c r="A2450">
        <v>15</v>
      </c>
      <c r="B2450">
        <v>0</v>
      </c>
      <c r="C2450">
        <v>916</v>
      </c>
    </row>
    <row r="2451" spans="1:3" x14ac:dyDescent="0.25">
      <c r="A2451">
        <v>23</v>
      </c>
      <c r="B2451">
        <v>0</v>
      </c>
      <c r="C2451">
        <v>783</v>
      </c>
    </row>
    <row r="2452" spans="1:3" x14ac:dyDescent="0.25">
      <c r="A2452">
        <v>15</v>
      </c>
      <c r="B2452">
        <v>0</v>
      </c>
      <c r="C2452">
        <v>783</v>
      </c>
    </row>
    <row r="2453" spans="1:3" x14ac:dyDescent="0.25">
      <c r="A2453">
        <v>30</v>
      </c>
      <c r="B2453">
        <v>0</v>
      </c>
      <c r="C2453">
        <v>783</v>
      </c>
    </row>
    <row r="2454" spans="1:3" x14ac:dyDescent="0.25">
      <c r="A2454">
        <v>31</v>
      </c>
      <c r="B2454">
        <v>0</v>
      </c>
      <c r="C2454">
        <v>783</v>
      </c>
    </row>
    <row r="2455" spans="1:3" x14ac:dyDescent="0.25">
      <c r="A2455">
        <v>22</v>
      </c>
      <c r="B2455">
        <v>0</v>
      </c>
      <c r="C2455">
        <v>885</v>
      </c>
    </row>
    <row r="2456" spans="1:3" x14ac:dyDescent="0.25">
      <c r="A2456">
        <v>32</v>
      </c>
      <c r="B2456">
        <v>0</v>
      </c>
      <c r="C2456">
        <v>885</v>
      </c>
    </row>
    <row r="2457" spans="1:3" x14ac:dyDescent="0.25">
      <c r="A2457">
        <v>22</v>
      </c>
      <c r="B2457">
        <v>0</v>
      </c>
      <c r="C2457">
        <v>885</v>
      </c>
    </row>
    <row r="2458" spans="1:3" x14ac:dyDescent="0.25">
      <c r="A2458">
        <v>20</v>
      </c>
      <c r="B2458">
        <v>0</v>
      </c>
      <c r="C2458">
        <v>885</v>
      </c>
    </row>
    <row r="2459" spans="1:3" x14ac:dyDescent="0.25">
      <c r="A2459">
        <v>41</v>
      </c>
      <c r="B2459">
        <v>0</v>
      </c>
      <c r="C2459">
        <v>879</v>
      </c>
    </row>
    <row r="2460" spans="1:3" x14ac:dyDescent="0.25">
      <c r="A2460">
        <v>14</v>
      </c>
      <c r="B2460">
        <v>0</v>
      </c>
      <c r="C2460">
        <v>879</v>
      </c>
    </row>
    <row r="2461" spans="1:3" x14ac:dyDescent="0.25">
      <c r="A2461">
        <v>19</v>
      </c>
      <c r="B2461">
        <v>0</v>
      </c>
      <c r="C2461">
        <v>879</v>
      </c>
    </row>
    <row r="2462" spans="1:3" x14ac:dyDescent="0.25">
      <c r="A2462">
        <v>14</v>
      </c>
      <c r="B2462">
        <v>0</v>
      </c>
      <c r="C2462">
        <v>879</v>
      </c>
    </row>
    <row r="2463" spans="1:3" x14ac:dyDescent="0.25">
      <c r="A2463">
        <v>14</v>
      </c>
      <c r="B2463">
        <v>0</v>
      </c>
      <c r="C2463">
        <v>879</v>
      </c>
    </row>
    <row r="2464" spans="1:3" x14ac:dyDescent="0.25">
      <c r="A2464">
        <v>18</v>
      </c>
      <c r="B2464">
        <v>0</v>
      </c>
      <c r="C2464">
        <v>879</v>
      </c>
    </row>
    <row r="2465" spans="1:3" x14ac:dyDescent="0.25">
      <c r="A2465">
        <v>13</v>
      </c>
      <c r="B2465">
        <v>0</v>
      </c>
      <c r="C2465">
        <v>621</v>
      </c>
    </row>
    <row r="2466" spans="1:3" x14ac:dyDescent="0.25">
      <c r="A2466">
        <v>15</v>
      </c>
      <c r="B2466">
        <v>0</v>
      </c>
      <c r="C2466">
        <v>621</v>
      </c>
    </row>
    <row r="2467" spans="1:3" x14ac:dyDescent="0.25">
      <c r="A2467">
        <v>36</v>
      </c>
      <c r="B2467">
        <v>0</v>
      </c>
      <c r="C2467">
        <v>621</v>
      </c>
    </row>
    <row r="2468" spans="1:3" x14ac:dyDescent="0.25">
      <c r="A2468">
        <v>14</v>
      </c>
      <c r="B2468">
        <v>0</v>
      </c>
      <c r="C2468">
        <v>621</v>
      </c>
    </row>
    <row r="2469" spans="1:3" x14ac:dyDescent="0.25">
      <c r="A2469">
        <v>23</v>
      </c>
      <c r="B2469">
        <v>0</v>
      </c>
      <c r="C2469">
        <v>621</v>
      </c>
    </row>
    <row r="2470" spans="1:3" x14ac:dyDescent="0.25">
      <c r="A2470">
        <v>20</v>
      </c>
      <c r="B2470">
        <v>0</v>
      </c>
      <c r="C2470">
        <v>753</v>
      </c>
    </row>
    <row r="2471" spans="1:3" x14ac:dyDescent="0.25">
      <c r="A2471">
        <v>18</v>
      </c>
      <c r="B2471">
        <v>0</v>
      </c>
      <c r="C2471">
        <v>753</v>
      </c>
    </row>
    <row r="2472" spans="1:3" x14ac:dyDescent="0.25">
      <c r="A2472">
        <v>43</v>
      </c>
      <c r="B2472">
        <v>0</v>
      </c>
      <c r="C2472">
        <v>753</v>
      </c>
    </row>
    <row r="2473" spans="1:3" x14ac:dyDescent="0.25">
      <c r="A2473">
        <v>13</v>
      </c>
      <c r="B2473">
        <v>0</v>
      </c>
      <c r="C2473">
        <v>753</v>
      </c>
    </row>
    <row r="2474" spans="1:3" x14ac:dyDescent="0.25">
      <c r="A2474">
        <v>17</v>
      </c>
      <c r="B2474">
        <v>0</v>
      </c>
      <c r="C2474">
        <v>753</v>
      </c>
    </row>
    <row r="2475" spans="1:3" x14ac:dyDescent="0.25">
      <c r="A2475">
        <v>19</v>
      </c>
      <c r="B2475">
        <v>0</v>
      </c>
      <c r="C2475">
        <v>828</v>
      </c>
    </row>
    <row r="2476" spans="1:3" x14ac:dyDescent="0.25">
      <c r="A2476">
        <v>24</v>
      </c>
      <c r="B2476">
        <v>0</v>
      </c>
      <c r="C2476">
        <v>828</v>
      </c>
    </row>
    <row r="2477" spans="1:3" x14ac:dyDescent="0.25">
      <c r="A2477">
        <v>26</v>
      </c>
      <c r="B2477">
        <v>0</v>
      </c>
      <c r="C2477">
        <v>828</v>
      </c>
    </row>
    <row r="2478" spans="1:3" x14ac:dyDescent="0.25">
      <c r="A2478">
        <v>23</v>
      </c>
      <c r="B2478">
        <v>0</v>
      </c>
      <c r="C2478">
        <v>828</v>
      </c>
    </row>
    <row r="2479" spans="1:3" x14ac:dyDescent="0.25">
      <c r="A2479">
        <v>22</v>
      </c>
      <c r="B2479">
        <v>0</v>
      </c>
      <c r="C2479">
        <v>828</v>
      </c>
    </row>
    <row r="2480" spans="1:3" x14ac:dyDescent="0.25">
      <c r="A2480">
        <v>15</v>
      </c>
      <c r="B2480">
        <v>0</v>
      </c>
      <c r="C2480">
        <v>801</v>
      </c>
    </row>
    <row r="2481" spans="1:3" x14ac:dyDescent="0.25">
      <c r="A2481">
        <v>20</v>
      </c>
      <c r="B2481">
        <v>0</v>
      </c>
      <c r="C2481">
        <v>801</v>
      </c>
    </row>
    <row r="2482" spans="1:3" x14ac:dyDescent="0.25">
      <c r="A2482">
        <v>15</v>
      </c>
      <c r="B2482">
        <v>0</v>
      </c>
      <c r="C2482">
        <v>801</v>
      </c>
    </row>
    <row r="2483" spans="1:3" x14ac:dyDescent="0.25">
      <c r="A2483">
        <v>52</v>
      </c>
      <c r="B2483">
        <v>0</v>
      </c>
      <c r="C2483">
        <v>801</v>
      </c>
    </row>
    <row r="2484" spans="1:3" x14ac:dyDescent="0.25">
      <c r="A2484">
        <v>20</v>
      </c>
      <c r="B2484">
        <v>0</v>
      </c>
      <c r="C2484">
        <v>801</v>
      </c>
    </row>
    <row r="2485" spans="1:3" x14ac:dyDescent="0.25">
      <c r="A2485">
        <v>21</v>
      </c>
      <c r="B2485">
        <v>0</v>
      </c>
      <c r="C2485">
        <v>825</v>
      </c>
    </row>
    <row r="2486" spans="1:3" x14ac:dyDescent="0.25">
      <c r="A2486">
        <v>26</v>
      </c>
      <c r="B2486">
        <v>0</v>
      </c>
      <c r="C2486">
        <v>825</v>
      </c>
    </row>
    <row r="2487" spans="1:3" x14ac:dyDescent="0.25">
      <c r="A2487">
        <v>21</v>
      </c>
      <c r="B2487">
        <v>0</v>
      </c>
      <c r="C2487">
        <v>825</v>
      </c>
    </row>
    <row r="2488" spans="1:3" x14ac:dyDescent="0.25">
      <c r="A2488">
        <v>15</v>
      </c>
      <c r="B2488">
        <v>0</v>
      </c>
      <c r="C2488">
        <v>825</v>
      </c>
    </row>
    <row r="2489" spans="1:3" x14ac:dyDescent="0.25">
      <c r="A2489">
        <v>60</v>
      </c>
      <c r="B2489">
        <v>0</v>
      </c>
      <c r="C2489">
        <v>819</v>
      </c>
    </row>
    <row r="2490" spans="1:3" x14ac:dyDescent="0.25">
      <c r="A2490">
        <v>41</v>
      </c>
      <c r="B2490">
        <v>0</v>
      </c>
      <c r="C2490">
        <v>819</v>
      </c>
    </row>
    <row r="2491" spans="1:3" x14ac:dyDescent="0.25">
      <c r="A2491">
        <v>20</v>
      </c>
      <c r="B2491">
        <v>0</v>
      </c>
      <c r="C2491">
        <v>819</v>
      </c>
    </row>
    <row r="2492" spans="1:3" x14ac:dyDescent="0.25">
      <c r="A2492">
        <v>16</v>
      </c>
      <c r="B2492">
        <v>0</v>
      </c>
      <c r="C2492">
        <v>819</v>
      </c>
    </row>
    <row r="2493" spans="1:3" x14ac:dyDescent="0.25">
      <c r="A2493">
        <v>14</v>
      </c>
      <c r="B2493">
        <v>0</v>
      </c>
      <c r="C2493">
        <v>819</v>
      </c>
    </row>
    <row r="2494" spans="1:3" x14ac:dyDescent="0.25">
      <c r="A2494">
        <v>13</v>
      </c>
      <c r="B2494">
        <v>0</v>
      </c>
      <c r="C2494">
        <v>819</v>
      </c>
    </row>
    <row r="2495" spans="1:3" x14ac:dyDescent="0.25">
      <c r="A2495">
        <v>18</v>
      </c>
      <c r="B2495">
        <v>0</v>
      </c>
      <c r="C2495">
        <v>723</v>
      </c>
    </row>
    <row r="2496" spans="1:3" x14ac:dyDescent="0.25">
      <c r="A2496">
        <v>14</v>
      </c>
      <c r="B2496">
        <v>0</v>
      </c>
      <c r="C2496">
        <v>723</v>
      </c>
    </row>
    <row r="2497" spans="1:3" x14ac:dyDescent="0.25">
      <c r="A2497">
        <v>22</v>
      </c>
      <c r="B2497">
        <v>0</v>
      </c>
      <c r="C2497">
        <v>723</v>
      </c>
    </row>
    <row r="2498" spans="1:3" x14ac:dyDescent="0.25">
      <c r="A2498">
        <v>15</v>
      </c>
      <c r="B2498">
        <v>0</v>
      </c>
      <c r="C2498">
        <v>723</v>
      </c>
    </row>
    <row r="2499" spans="1:3" x14ac:dyDescent="0.25">
      <c r="A2499">
        <v>38</v>
      </c>
      <c r="B2499">
        <v>0</v>
      </c>
      <c r="C2499">
        <v>723</v>
      </c>
    </row>
    <row r="2500" spans="1:3" x14ac:dyDescent="0.25">
      <c r="A2500">
        <v>12</v>
      </c>
      <c r="B2500">
        <v>0</v>
      </c>
      <c r="C2500">
        <v>771</v>
      </c>
    </row>
    <row r="2501" spans="1:3" x14ac:dyDescent="0.25">
      <c r="A2501">
        <v>15</v>
      </c>
      <c r="B2501">
        <v>0</v>
      </c>
      <c r="C2501">
        <v>771</v>
      </c>
    </row>
    <row r="2502" spans="1:3" x14ac:dyDescent="0.25">
      <c r="A2502">
        <v>13</v>
      </c>
      <c r="B2502">
        <v>0</v>
      </c>
      <c r="C2502">
        <v>771</v>
      </c>
    </row>
    <row r="2503" spans="1:3" x14ac:dyDescent="0.25">
      <c r="A2503">
        <v>15</v>
      </c>
      <c r="B2503">
        <v>0</v>
      </c>
      <c r="C2503">
        <v>771</v>
      </c>
    </row>
    <row r="2504" spans="1:3" x14ac:dyDescent="0.25">
      <c r="A2504">
        <v>23</v>
      </c>
      <c r="B2504">
        <v>0</v>
      </c>
      <c r="C2504">
        <v>771</v>
      </c>
    </row>
    <row r="2505" spans="1:3" x14ac:dyDescent="0.25">
      <c r="A2505">
        <v>23</v>
      </c>
      <c r="B2505">
        <v>0</v>
      </c>
      <c r="C2505">
        <v>711</v>
      </c>
    </row>
    <row r="2506" spans="1:3" x14ac:dyDescent="0.25">
      <c r="A2506">
        <v>31</v>
      </c>
      <c r="B2506">
        <v>0</v>
      </c>
      <c r="C2506">
        <v>711</v>
      </c>
    </row>
    <row r="2507" spans="1:3" x14ac:dyDescent="0.25">
      <c r="A2507">
        <v>28</v>
      </c>
      <c r="B2507">
        <v>0</v>
      </c>
      <c r="C2507">
        <v>711</v>
      </c>
    </row>
    <row r="2508" spans="1:3" x14ac:dyDescent="0.25">
      <c r="A2508">
        <v>15</v>
      </c>
      <c r="B2508">
        <v>0</v>
      </c>
      <c r="C2508">
        <v>711</v>
      </c>
    </row>
    <row r="2509" spans="1:3" x14ac:dyDescent="0.25">
      <c r="A2509">
        <v>17</v>
      </c>
      <c r="B2509">
        <v>0</v>
      </c>
      <c r="C2509">
        <v>711</v>
      </c>
    </row>
    <row r="2510" spans="1:3" x14ac:dyDescent="0.25">
      <c r="A2510">
        <v>14</v>
      </c>
      <c r="B2510">
        <v>0</v>
      </c>
      <c r="C2510">
        <v>732</v>
      </c>
    </row>
    <row r="2511" spans="1:3" x14ac:dyDescent="0.25">
      <c r="A2511">
        <v>16</v>
      </c>
      <c r="B2511">
        <v>0</v>
      </c>
      <c r="C2511">
        <v>732</v>
      </c>
    </row>
    <row r="2512" spans="1:3" x14ac:dyDescent="0.25">
      <c r="A2512">
        <v>19</v>
      </c>
      <c r="B2512">
        <v>0</v>
      </c>
      <c r="C2512">
        <v>732</v>
      </c>
    </row>
    <row r="2513" spans="1:3" x14ac:dyDescent="0.25">
      <c r="A2513">
        <v>23</v>
      </c>
      <c r="B2513">
        <v>0</v>
      </c>
      <c r="C2513">
        <v>732</v>
      </c>
    </row>
    <row r="2514" spans="1:3" x14ac:dyDescent="0.25">
      <c r="A2514">
        <v>17</v>
      </c>
      <c r="B2514">
        <v>0</v>
      </c>
      <c r="C2514">
        <v>732</v>
      </c>
    </row>
    <row r="2515" spans="1:3" x14ac:dyDescent="0.25">
      <c r="A2515">
        <v>22</v>
      </c>
      <c r="B2515">
        <v>0</v>
      </c>
      <c r="C2515">
        <v>767</v>
      </c>
    </row>
    <row r="2516" spans="1:3" x14ac:dyDescent="0.25">
      <c r="A2516">
        <v>12</v>
      </c>
      <c r="B2516">
        <v>0</v>
      </c>
      <c r="C2516">
        <v>767</v>
      </c>
    </row>
    <row r="2517" spans="1:3" x14ac:dyDescent="0.25">
      <c r="A2517">
        <v>21</v>
      </c>
      <c r="B2517">
        <v>0</v>
      </c>
      <c r="C2517">
        <v>767</v>
      </c>
    </row>
    <row r="2518" spans="1:3" x14ac:dyDescent="0.25">
      <c r="A2518">
        <v>18</v>
      </c>
      <c r="B2518">
        <v>0</v>
      </c>
      <c r="C2518">
        <v>767</v>
      </c>
    </row>
    <row r="2519" spans="1:3" x14ac:dyDescent="0.25">
      <c r="A2519">
        <v>37</v>
      </c>
      <c r="B2519">
        <v>0</v>
      </c>
      <c r="C2519">
        <v>767</v>
      </c>
    </row>
    <row r="2520" spans="1:3" x14ac:dyDescent="0.25">
      <c r="A2520">
        <v>14</v>
      </c>
      <c r="B2520">
        <v>0</v>
      </c>
      <c r="C2520">
        <v>767</v>
      </c>
    </row>
    <row r="2521" spans="1:3" x14ac:dyDescent="0.25">
      <c r="A2521">
        <v>14</v>
      </c>
      <c r="B2521">
        <v>0</v>
      </c>
      <c r="C2521">
        <v>620</v>
      </c>
    </row>
    <row r="2522" spans="1:3" x14ac:dyDescent="0.25">
      <c r="A2522">
        <v>14</v>
      </c>
      <c r="B2522">
        <v>0</v>
      </c>
      <c r="C2522">
        <v>620</v>
      </c>
    </row>
    <row r="2523" spans="1:3" x14ac:dyDescent="0.25">
      <c r="A2523">
        <v>14</v>
      </c>
      <c r="B2523">
        <v>0</v>
      </c>
      <c r="C2523">
        <v>620</v>
      </c>
    </row>
    <row r="2524" spans="1:3" x14ac:dyDescent="0.25">
      <c r="A2524">
        <v>12</v>
      </c>
      <c r="B2524">
        <v>0</v>
      </c>
      <c r="C2524">
        <v>620</v>
      </c>
    </row>
    <row r="2525" spans="1:3" x14ac:dyDescent="0.25">
      <c r="A2525">
        <v>13</v>
      </c>
      <c r="B2525">
        <v>0</v>
      </c>
      <c r="C2525">
        <v>620</v>
      </c>
    </row>
    <row r="2526" spans="1:3" x14ac:dyDescent="0.25">
      <c r="A2526">
        <v>13</v>
      </c>
      <c r="B2526">
        <v>0</v>
      </c>
      <c r="C2526">
        <v>620</v>
      </c>
    </row>
    <row r="2527" spans="1:3" x14ac:dyDescent="0.25">
      <c r="A2527">
        <v>12</v>
      </c>
      <c r="B2527">
        <v>0</v>
      </c>
      <c r="C2527">
        <v>620</v>
      </c>
    </row>
    <row r="2528" spans="1:3" x14ac:dyDescent="0.25">
      <c r="A2528">
        <v>13</v>
      </c>
      <c r="B2528">
        <v>0</v>
      </c>
      <c r="C2528">
        <v>620</v>
      </c>
    </row>
    <row r="2529" spans="1:3" x14ac:dyDescent="0.25">
      <c r="A2529">
        <v>20</v>
      </c>
      <c r="B2529">
        <v>0</v>
      </c>
      <c r="C2529">
        <v>383</v>
      </c>
    </row>
    <row r="2530" spans="1:3" x14ac:dyDescent="0.25">
      <c r="A2530">
        <v>13</v>
      </c>
      <c r="B2530">
        <v>0</v>
      </c>
      <c r="C2530">
        <v>383</v>
      </c>
    </row>
    <row r="2531" spans="1:3" x14ac:dyDescent="0.25">
      <c r="A2531">
        <v>14</v>
      </c>
      <c r="B2531">
        <v>0</v>
      </c>
      <c r="C2531">
        <v>383</v>
      </c>
    </row>
    <row r="2532" spans="1:3" x14ac:dyDescent="0.25">
      <c r="A2532">
        <v>13</v>
      </c>
      <c r="B2532">
        <v>0</v>
      </c>
      <c r="C2532">
        <v>383</v>
      </c>
    </row>
    <row r="2533" spans="1:3" x14ac:dyDescent="0.25">
      <c r="A2533">
        <v>17</v>
      </c>
      <c r="B2533">
        <v>0</v>
      </c>
      <c r="C2533">
        <v>383</v>
      </c>
    </row>
    <row r="2534" spans="1:3" x14ac:dyDescent="0.25">
      <c r="A2534">
        <v>14</v>
      </c>
      <c r="B2534">
        <v>0</v>
      </c>
      <c r="C2534">
        <v>383</v>
      </c>
    </row>
    <row r="2535" spans="1:3" x14ac:dyDescent="0.25">
      <c r="A2535">
        <v>14</v>
      </c>
      <c r="B2535">
        <v>0</v>
      </c>
      <c r="C2535">
        <v>383</v>
      </c>
    </row>
    <row r="2536" spans="1:3" x14ac:dyDescent="0.25">
      <c r="A2536">
        <v>13</v>
      </c>
      <c r="B2536">
        <v>0</v>
      </c>
      <c r="C2536">
        <v>414</v>
      </c>
    </row>
    <row r="2537" spans="1:3" x14ac:dyDescent="0.25">
      <c r="A2537">
        <v>13</v>
      </c>
      <c r="B2537">
        <v>0</v>
      </c>
      <c r="C2537">
        <v>414</v>
      </c>
    </row>
    <row r="2538" spans="1:3" x14ac:dyDescent="0.25">
      <c r="A2538">
        <v>14</v>
      </c>
      <c r="B2538">
        <v>0</v>
      </c>
      <c r="C2538">
        <v>414</v>
      </c>
    </row>
    <row r="2539" spans="1:3" x14ac:dyDescent="0.25">
      <c r="A2539">
        <v>14</v>
      </c>
      <c r="B2539">
        <v>0</v>
      </c>
      <c r="C2539">
        <v>414</v>
      </c>
    </row>
    <row r="2540" spans="1:3" x14ac:dyDescent="0.25">
      <c r="A2540">
        <v>14</v>
      </c>
      <c r="B2540">
        <v>0</v>
      </c>
      <c r="C2540">
        <v>414</v>
      </c>
    </row>
    <row r="2541" spans="1:3" x14ac:dyDescent="0.25">
      <c r="A2541">
        <v>14</v>
      </c>
      <c r="B2541">
        <v>0</v>
      </c>
      <c r="C2541">
        <v>414</v>
      </c>
    </row>
    <row r="2542" spans="1:3" x14ac:dyDescent="0.25">
      <c r="A2542">
        <v>15</v>
      </c>
      <c r="B2542">
        <v>0</v>
      </c>
      <c r="C2542">
        <v>414</v>
      </c>
    </row>
    <row r="2543" spans="1:3" x14ac:dyDescent="0.25">
      <c r="A2543">
        <v>13</v>
      </c>
      <c r="B2543">
        <v>0</v>
      </c>
      <c r="C2543">
        <v>533</v>
      </c>
    </row>
    <row r="2544" spans="1:3" x14ac:dyDescent="0.25">
      <c r="A2544">
        <v>15</v>
      </c>
      <c r="B2544">
        <v>0</v>
      </c>
      <c r="C2544">
        <v>533</v>
      </c>
    </row>
    <row r="2545" spans="1:3" x14ac:dyDescent="0.25">
      <c r="A2545">
        <v>13</v>
      </c>
      <c r="B2545">
        <v>0</v>
      </c>
      <c r="C2545">
        <v>533</v>
      </c>
    </row>
    <row r="2546" spans="1:3" x14ac:dyDescent="0.25">
      <c r="A2546">
        <v>17</v>
      </c>
      <c r="B2546">
        <v>0</v>
      </c>
      <c r="C2546">
        <v>533</v>
      </c>
    </row>
    <row r="2547" spans="1:3" x14ac:dyDescent="0.25">
      <c r="A2547">
        <v>12</v>
      </c>
      <c r="B2547">
        <v>0</v>
      </c>
      <c r="C2547">
        <v>533</v>
      </c>
    </row>
    <row r="2548" spans="1:3" x14ac:dyDescent="0.25">
      <c r="A2548">
        <v>13</v>
      </c>
      <c r="B2548">
        <v>0</v>
      </c>
      <c r="C2548">
        <v>533</v>
      </c>
    </row>
    <row r="2549" spans="1:3" x14ac:dyDescent="0.25">
      <c r="A2549">
        <v>19</v>
      </c>
      <c r="B2549">
        <v>0</v>
      </c>
      <c r="C2549">
        <v>533</v>
      </c>
    </row>
    <row r="2550" spans="1:3" x14ac:dyDescent="0.25">
      <c r="A2550">
        <v>14</v>
      </c>
      <c r="B2550">
        <v>0</v>
      </c>
      <c r="C2550">
        <v>460</v>
      </c>
    </row>
    <row r="2551" spans="1:3" x14ac:dyDescent="0.25">
      <c r="A2551">
        <v>12</v>
      </c>
      <c r="B2551">
        <v>0</v>
      </c>
      <c r="C2551">
        <v>460</v>
      </c>
    </row>
    <row r="2552" spans="1:3" x14ac:dyDescent="0.25">
      <c r="A2552">
        <v>12</v>
      </c>
      <c r="B2552">
        <v>0</v>
      </c>
      <c r="C2552">
        <v>460</v>
      </c>
    </row>
    <row r="2553" spans="1:3" x14ac:dyDescent="0.25">
      <c r="A2553">
        <v>16</v>
      </c>
      <c r="B2553">
        <v>0</v>
      </c>
      <c r="C2553">
        <v>460</v>
      </c>
    </row>
    <row r="2554" spans="1:3" x14ac:dyDescent="0.25">
      <c r="A2554">
        <v>16</v>
      </c>
      <c r="B2554">
        <v>0</v>
      </c>
      <c r="C2554">
        <v>460</v>
      </c>
    </row>
    <row r="2555" spans="1:3" x14ac:dyDescent="0.25">
      <c r="A2555">
        <v>17</v>
      </c>
      <c r="B2555">
        <v>0</v>
      </c>
      <c r="C2555">
        <v>460</v>
      </c>
    </row>
    <row r="2556" spans="1:3" x14ac:dyDescent="0.25">
      <c r="A2556">
        <v>15</v>
      </c>
      <c r="B2556">
        <v>0</v>
      </c>
      <c r="C2556">
        <v>460</v>
      </c>
    </row>
    <row r="2557" spans="1:3" x14ac:dyDescent="0.25">
      <c r="A2557">
        <v>14</v>
      </c>
      <c r="B2557">
        <v>0</v>
      </c>
      <c r="C2557">
        <v>462</v>
      </c>
    </row>
    <row r="2558" spans="1:3" x14ac:dyDescent="0.25">
      <c r="A2558">
        <v>13</v>
      </c>
      <c r="B2558">
        <v>0</v>
      </c>
      <c r="C2558">
        <v>462</v>
      </c>
    </row>
    <row r="2559" spans="1:3" x14ac:dyDescent="0.25">
      <c r="A2559">
        <v>18</v>
      </c>
      <c r="B2559">
        <v>0</v>
      </c>
      <c r="C2559">
        <v>462</v>
      </c>
    </row>
    <row r="2560" spans="1:3" x14ac:dyDescent="0.25">
      <c r="A2560">
        <v>12</v>
      </c>
      <c r="B2560">
        <v>0</v>
      </c>
      <c r="C2560">
        <v>462</v>
      </c>
    </row>
    <row r="2561" spans="1:3" x14ac:dyDescent="0.25">
      <c r="A2561">
        <v>12</v>
      </c>
      <c r="B2561">
        <v>0</v>
      </c>
      <c r="C2561">
        <v>462</v>
      </c>
    </row>
    <row r="2562" spans="1:3" x14ac:dyDescent="0.25">
      <c r="A2562">
        <v>14</v>
      </c>
      <c r="B2562">
        <v>0</v>
      </c>
      <c r="C2562">
        <v>462</v>
      </c>
    </row>
    <row r="2563" spans="1:3" x14ac:dyDescent="0.25">
      <c r="A2563">
        <v>11</v>
      </c>
      <c r="B2563">
        <v>0</v>
      </c>
      <c r="C2563">
        <v>462</v>
      </c>
    </row>
    <row r="2564" spans="1:3" x14ac:dyDescent="0.25">
      <c r="A2564">
        <v>13</v>
      </c>
      <c r="B2564">
        <v>0</v>
      </c>
      <c r="C2564">
        <v>427</v>
      </c>
    </row>
    <row r="2565" spans="1:3" x14ac:dyDescent="0.25">
      <c r="A2565">
        <v>11</v>
      </c>
      <c r="B2565">
        <v>0</v>
      </c>
      <c r="C2565">
        <v>427</v>
      </c>
    </row>
    <row r="2566" spans="1:3" x14ac:dyDescent="0.25">
      <c r="A2566">
        <v>13</v>
      </c>
      <c r="B2566">
        <v>0</v>
      </c>
      <c r="C2566">
        <v>427</v>
      </c>
    </row>
    <row r="2567" spans="1:3" x14ac:dyDescent="0.25">
      <c r="A2567">
        <v>12</v>
      </c>
      <c r="B2567">
        <v>0</v>
      </c>
      <c r="C2567">
        <v>427</v>
      </c>
    </row>
    <row r="2568" spans="1:3" x14ac:dyDescent="0.25">
      <c r="A2568">
        <v>12</v>
      </c>
      <c r="B2568">
        <v>0</v>
      </c>
      <c r="C2568">
        <v>427</v>
      </c>
    </row>
    <row r="2569" spans="1:3" x14ac:dyDescent="0.25">
      <c r="A2569">
        <v>13</v>
      </c>
      <c r="B2569">
        <v>0</v>
      </c>
      <c r="C2569">
        <v>427</v>
      </c>
    </row>
    <row r="2570" spans="1:3" x14ac:dyDescent="0.25">
      <c r="A2570">
        <v>13</v>
      </c>
      <c r="B2570">
        <v>0</v>
      </c>
      <c r="C2570">
        <v>427</v>
      </c>
    </row>
    <row r="2571" spans="1:3" x14ac:dyDescent="0.25">
      <c r="A2571">
        <v>15</v>
      </c>
      <c r="B2571">
        <v>0</v>
      </c>
      <c r="C2571">
        <v>358</v>
      </c>
    </row>
    <row r="2572" spans="1:3" x14ac:dyDescent="0.25">
      <c r="A2572">
        <v>12</v>
      </c>
      <c r="B2572">
        <v>0</v>
      </c>
      <c r="C2572">
        <v>358</v>
      </c>
    </row>
    <row r="2573" spans="1:3" x14ac:dyDescent="0.25">
      <c r="A2573">
        <v>15</v>
      </c>
      <c r="B2573">
        <v>0</v>
      </c>
      <c r="C2573">
        <v>358</v>
      </c>
    </row>
    <row r="2574" spans="1:3" x14ac:dyDescent="0.25">
      <c r="A2574">
        <v>12</v>
      </c>
      <c r="B2574">
        <v>0</v>
      </c>
      <c r="C2574">
        <v>358</v>
      </c>
    </row>
    <row r="2575" spans="1:3" x14ac:dyDescent="0.25">
      <c r="A2575">
        <v>15</v>
      </c>
      <c r="B2575">
        <v>0</v>
      </c>
      <c r="C2575">
        <v>358</v>
      </c>
    </row>
    <row r="2576" spans="1:3" x14ac:dyDescent="0.25">
      <c r="A2576">
        <v>11</v>
      </c>
      <c r="B2576">
        <v>0</v>
      </c>
      <c r="C2576">
        <v>358</v>
      </c>
    </row>
    <row r="2577" spans="1:3" x14ac:dyDescent="0.25">
      <c r="A2577">
        <v>12</v>
      </c>
      <c r="B2577">
        <v>0</v>
      </c>
      <c r="C2577">
        <v>358</v>
      </c>
    </row>
    <row r="2578" spans="1:3" x14ac:dyDescent="0.25">
      <c r="A2578">
        <v>23</v>
      </c>
      <c r="B2578">
        <v>0</v>
      </c>
      <c r="C2578">
        <v>358</v>
      </c>
    </row>
    <row r="2579" spans="1:3" x14ac:dyDescent="0.25">
      <c r="A2579">
        <v>16</v>
      </c>
      <c r="B2579">
        <v>0</v>
      </c>
      <c r="C2579">
        <v>347</v>
      </c>
    </row>
    <row r="2580" spans="1:3" x14ac:dyDescent="0.25">
      <c r="A2580">
        <v>12</v>
      </c>
      <c r="B2580">
        <v>0</v>
      </c>
      <c r="C2580">
        <v>347</v>
      </c>
    </row>
    <row r="2581" spans="1:3" x14ac:dyDescent="0.25">
      <c r="A2581">
        <v>13</v>
      </c>
      <c r="B2581">
        <v>0</v>
      </c>
      <c r="C2581">
        <v>347</v>
      </c>
    </row>
    <row r="2582" spans="1:3" x14ac:dyDescent="0.25">
      <c r="A2582">
        <v>14</v>
      </c>
      <c r="B2582">
        <v>0</v>
      </c>
      <c r="C2582">
        <v>347</v>
      </c>
    </row>
    <row r="2583" spans="1:3" x14ac:dyDescent="0.25">
      <c r="A2583">
        <v>13</v>
      </c>
      <c r="B2583">
        <v>0</v>
      </c>
      <c r="C2583">
        <v>347</v>
      </c>
    </row>
    <row r="2584" spans="1:3" x14ac:dyDescent="0.25">
      <c r="A2584">
        <v>12</v>
      </c>
      <c r="B2584">
        <v>0</v>
      </c>
      <c r="C2584">
        <v>347</v>
      </c>
    </row>
    <row r="2585" spans="1:3" x14ac:dyDescent="0.25">
      <c r="A2585">
        <v>13</v>
      </c>
      <c r="B2585">
        <v>0</v>
      </c>
      <c r="C2585">
        <v>347</v>
      </c>
    </row>
    <row r="2586" spans="1:3" x14ac:dyDescent="0.25">
      <c r="A2586">
        <v>11</v>
      </c>
      <c r="B2586">
        <v>0</v>
      </c>
      <c r="C2586">
        <v>347</v>
      </c>
    </row>
    <row r="2587" spans="1:3" x14ac:dyDescent="0.25">
      <c r="A2587">
        <v>11</v>
      </c>
      <c r="B2587">
        <v>0</v>
      </c>
      <c r="C2587">
        <v>384</v>
      </c>
    </row>
    <row r="2588" spans="1:3" x14ac:dyDescent="0.25">
      <c r="A2588">
        <v>12</v>
      </c>
      <c r="B2588">
        <v>0</v>
      </c>
      <c r="C2588">
        <v>384</v>
      </c>
    </row>
    <row r="2589" spans="1:3" x14ac:dyDescent="0.25">
      <c r="A2589">
        <v>11</v>
      </c>
      <c r="B2589">
        <v>0</v>
      </c>
      <c r="C2589">
        <v>384</v>
      </c>
    </row>
    <row r="2590" spans="1:3" x14ac:dyDescent="0.25">
      <c r="A2590">
        <v>14</v>
      </c>
      <c r="B2590">
        <v>0</v>
      </c>
      <c r="C2590">
        <v>384</v>
      </c>
    </row>
    <row r="2591" spans="1:3" x14ac:dyDescent="0.25">
      <c r="A2591">
        <v>12</v>
      </c>
      <c r="B2591">
        <v>0</v>
      </c>
      <c r="C2591">
        <v>384</v>
      </c>
    </row>
    <row r="2592" spans="1:3" x14ac:dyDescent="0.25">
      <c r="A2592">
        <v>12</v>
      </c>
      <c r="B2592">
        <v>0</v>
      </c>
      <c r="C2592">
        <v>384</v>
      </c>
    </row>
    <row r="2593" spans="1:3" x14ac:dyDescent="0.25">
      <c r="A2593">
        <v>15</v>
      </c>
      <c r="B2593">
        <v>0</v>
      </c>
      <c r="C2593">
        <v>384</v>
      </c>
    </row>
    <row r="2594" spans="1:3" x14ac:dyDescent="0.25">
      <c r="A2594">
        <v>12</v>
      </c>
      <c r="B2594">
        <v>0</v>
      </c>
      <c r="C2594">
        <v>384</v>
      </c>
    </row>
    <row r="2595" spans="1:3" x14ac:dyDescent="0.25">
      <c r="A2595">
        <v>12</v>
      </c>
      <c r="B2595">
        <v>0</v>
      </c>
      <c r="C2595">
        <v>426</v>
      </c>
    </row>
    <row r="2596" spans="1:3" x14ac:dyDescent="0.25">
      <c r="A2596">
        <v>13</v>
      </c>
      <c r="B2596">
        <v>0</v>
      </c>
      <c r="C2596">
        <v>426</v>
      </c>
    </row>
    <row r="2597" spans="1:3" x14ac:dyDescent="0.25">
      <c r="A2597">
        <v>12</v>
      </c>
      <c r="B2597">
        <v>0</v>
      </c>
      <c r="C2597">
        <v>426</v>
      </c>
    </row>
    <row r="2598" spans="1:3" x14ac:dyDescent="0.25">
      <c r="A2598">
        <v>12</v>
      </c>
      <c r="B2598">
        <v>0</v>
      </c>
      <c r="C2598">
        <v>426</v>
      </c>
    </row>
    <row r="2599" spans="1:3" x14ac:dyDescent="0.25">
      <c r="A2599">
        <v>13</v>
      </c>
      <c r="B2599">
        <v>0</v>
      </c>
      <c r="C2599">
        <v>426</v>
      </c>
    </row>
    <row r="2600" spans="1:3" x14ac:dyDescent="0.25">
      <c r="A2600">
        <v>11</v>
      </c>
      <c r="B2600">
        <v>0</v>
      </c>
      <c r="C2600">
        <v>426</v>
      </c>
    </row>
    <row r="2601" spans="1:3" x14ac:dyDescent="0.25">
      <c r="A2601">
        <v>12</v>
      </c>
      <c r="B2601">
        <v>0</v>
      </c>
      <c r="C2601">
        <v>426</v>
      </c>
    </row>
    <row r="2602" spans="1:3" x14ac:dyDescent="0.25">
      <c r="A2602">
        <v>13</v>
      </c>
      <c r="B2602">
        <v>0</v>
      </c>
      <c r="C2602">
        <v>426</v>
      </c>
    </row>
    <row r="2603" spans="1:3" x14ac:dyDescent="0.25">
      <c r="A2603">
        <v>13</v>
      </c>
      <c r="B2603">
        <v>0</v>
      </c>
      <c r="C2603">
        <v>334</v>
      </c>
    </row>
    <row r="2604" spans="1:3" x14ac:dyDescent="0.25">
      <c r="A2604">
        <v>12</v>
      </c>
      <c r="B2604">
        <v>0</v>
      </c>
      <c r="C2604">
        <v>334</v>
      </c>
    </row>
    <row r="2605" spans="1:3" x14ac:dyDescent="0.25">
      <c r="A2605">
        <v>12</v>
      </c>
      <c r="B2605">
        <v>0</v>
      </c>
      <c r="C2605">
        <v>334</v>
      </c>
    </row>
    <row r="2606" spans="1:3" x14ac:dyDescent="0.25">
      <c r="A2606">
        <v>15</v>
      </c>
      <c r="B2606">
        <v>0</v>
      </c>
      <c r="C2606">
        <v>334</v>
      </c>
    </row>
    <row r="2607" spans="1:3" x14ac:dyDescent="0.25">
      <c r="A2607">
        <v>12</v>
      </c>
      <c r="B2607">
        <v>0</v>
      </c>
      <c r="C2607">
        <v>334</v>
      </c>
    </row>
    <row r="2608" spans="1:3" x14ac:dyDescent="0.25">
      <c r="A2608">
        <v>13</v>
      </c>
      <c r="B2608">
        <v>0</v>
      </c>
      <c r="C2608">
        <v>334</v>
      </c>
    </row>
    <row r="2609" spans="1:3" x14ac:dyDescent="0.25">
      <c r="A2609">
        <v>18</v>
      </c>
      <c r="B2609">
        <v>0</v>
      </c>
      <c r="C2609">
        <v>334</v>
      </c>
    </row>
    <row r="2610" spans="1:3" x14ac:dyDescent="0.25">
      <c r="A2610">
        <v>16</v>
      </c>
      <c r="B2610">
        <v>0</v>
      </c>
      <c r="C2610">
        <v>418</v>
      </c>
    </row>
    <row r="2611" spans="1:3" x14ac:dyDescent="0.25">
      <c r="A2611">
        <v>13</v>
      </c>
      <c r="B2611">
        <v>0</v>
      </c>
      <c r="C2611">
        <v>418</v>
      </c>
    </row>
    <row r="2612" spans="1:3" x14ac:dyDescent="0.25">
      <c r="A2612">
        <v>12</v>
      </c>
      <c r="B2612">
        <v>0</v>
      </c>
      <c r="C2612">
        <v>418</v>
      </c>
    </row>
    <row r="2613" spans="1:3" x14ac:dyDescent="0.25">
      <c r="A2613">
        <v>13</v>
      </c>
      <c r="B2613">
        <v>0</v>
      </c>
      <c r="C2613">
        <v>418</v>
      </c>
    </row>
    <row r="2614" spans="1:3" x14ac:dyDescent="0.25">
      <c r="A2614">
        <v>12</v>
      </c>
      <c r="B2614">
        <v>0</v>
      </c>
      <c r="C2614">
        <v>418</v>
      </c>
    </row>
    <row r="2615" spans="1:3" x14ac:dyDescent="0.25">
      <c r="A2615">
        <v>17</v>
      </c>
      <c r="B2615">
        <v>0</v>
      </c>
      <c r="C2615">
        <v>418</v>
      </c>
    </row>
    <row r="2616" spans="1:3" x14ac:dyDescent="0.25">
      <c r="A2616">
        <v>13</v>
      </c>
      <c r="B2616">
        <v>0</v>
      </c>
      <c r="C2616">
        <v>418</v>
      </c>
    </row>
    <row r="2617" spans="1:3" x14ac:dyDescent="0.25">
      <c r="A2617">
        <v>20</v>
      </c>
      <c r="B2617">
        <v>0</v>
      </c>
      <c r="C2617">
        <v>418</v>
      </c>
    </row>
    <row r="2618" spans="1:3" x14ac:dyDescent="0.25">
      <c r="A2618">
        <v>12</v>
      </c>
      <c r="B2618">
        <v>0</v>
      </c>
      <c r="C2618">
        <v>418</v>
      </c>
    </row>
    <row r="2619" spans="1:3" x14ac:dyDescent="0.25">
      <c r="A2619">
        <v>13</v>
      </c>
      <c r="B2619">
        <v>0</v>
      </c>
      <c r="C2619">
        <v>418</v>
      </c>
    </row>
    <row r="2620" spans="1:3" x14ac:dyDescent="0.25">
      <c r="A2620">
        <v>16</v>
      </c>
      <c r="B2620">
        <v>0</v>
      </c>
      <c r="C2620">
        <v>418</v>
      </c>
    </row>
    <row r="2621" spans="1:3" x14ac:dyDescent="0.25">
      <c r="A2621">
        <v>14</v>
      </c>
      <c r="B2621">
        <v>0</v>
      </c>
      <c r="C2621">
        <v>418</v>
      </c>
    </row>
    <row r="2622" spans="1:3" x14ac:dyDescent="0.25">
      <c r="A2622">
        <v>18</v>
      </c>
      <c r="B2622">
        <v>0</v>
      </c>
      <c r="C2622">
        <v>418</v>
      </c>
    </row>
    <row r="2623" spans="1:3" x14ac:dyDescent="0.25">
      <c r="A2623">
        <v>13</v>
      </c>
      <c r="B2623">
        <v>0</v>
      </c>
      <c r="C2623">
        <v>418</v>
      </c>
    </row>
    <row r="2624" spans="1:3" x14ac:dyDescent="0.25">
      <c r="A2624">
        <v>14</v>
      </c>
      <c r="B2624">
        <v>0</v>
      </c>
      <c r="C2624">
        <v>392</v>
      </c>
    </row>
    <row r="2625" spans="1:3" x14ac:dyDescent="0.25">
      <c r="A2625">
        <v>12</v>
      </c>
      <c r="B2625">
        <v>0</v>
      </c>
      <c r="C2625">
        <v>392</v>
      </c>
    </row>
    <row r="2626" spans="1:3" x14ac:dyDescent="0.25">
      <c r="A2626">
        <v>15</v>
      </c>
      <c r="B2626">
        <v>0</v>
      </c>
      <c r="C2626">
        <v>392</v>
      </c>
    </row>
    <row r="2627" spans="1:3" x14ac:dyDescent="0.25">
      <c r="A2627">
        <v>14</v>
      </c>
      <c r="B2627">
        <v>0</v>
      </c>
      <c r="C2627">
        <v>392</v>
      </c>
    </row>
    <row r="2628" spans="1:3" x14ac:dyDescent="0.25">
      <c r="A2628">
        <v>11</v>
      </c>
      <c r="B2628">
        <v>0</v>
      </c>
      <c r="C2628">
        <v>392</v>
      </c>
    </row>
    <row r="2629" spans="1:3" x14ac:dyDescent="0.25">
      <c r="A2629">
        <v>14</v>
      </c>
      <c r="B2629">
        <v>0</v>
      </c>
      <c r="C2629">
        <v>392</v>
      </c>
    </row>
    <row r="2630" spans="1:3" x14ac:dyDescent="0.25">
      <c r="A2630">
        <v>14</v>
      </c>
      <c r="B2630">
        <v>0</v>
      </c>
      <c r="C2630">
        <v>392</v>
      </c>
    </row>
    <row r="2631" spans="1:3" x14ac:dyDescent="0.25">
      <c r="A2631">
        <v>13</v>
      </c>
      <c r="B2631">
        <v>0</v>
      </c>
      <c r="C2631">
        <v>392</v>
      </c>
    </row>
    <row r="2632" spans="1:3" x14ac:dyDescent="0.25">
      <c r="A2632">
        <v>13</v>
      </c>
      <c r="B2632">
        <v>0</v>
      </c>
      <c r="C2632">
        <v>408</v>
      </c>
    </row>
    <row r="2633" spans="1:3" x14ac:dyDescent="0.25">
      <c r="A2633">
        <v>15</v>
      </c>
      <c r="B2633">
        <v>0</v>
      </c>
      <c r="C2633">
        <v>408</v>
      </c>
    </row>
    <row r="2634" spans="1:3" x14ac:dyDescent="0.25">
      <c r="A2634">
        <v>15</v>
      </c>
      <c r="B2634">
        <v>0</v>
      </c>
      <c r="C2634">
        <v>408</v>
      </c>
    </row>
    <row r="2635" spans="1:3" x14ac:dyDescent="0.25">
      <c r="A2635">
        <v>15</v>
      </c>
      <c r="B2635">
        <v>0</v>
      </c>
      <c r="C2635">
        <v>408</v>
      </c>
    </row>
    <row r="2636" spans="1:3" x14ac:dyDescent="0.25">
      <c r="A2636">
        <v>12</v>
      </c>
      <c r="B2636">
        <v>0</v>
      </c>
      <c r="C2636">
        <v>408</v>
      </c>
    </row>
    <row r="2637" spans="1:3" x14ac:dyDescent="0.25">
      <c r="A2637">
        <v>14</v>
      </c>
      <c r="B2637">
        <v>0</v>
      </c>
      <c r="C2637">
        <v>408</v>
      </c>
    </row>
    <row r="2638" spans="1:3" x14ac:dyDescent="0.25">
      <c r="A2638">
        <v>16</v>
      </c>
      <c r="B2638">
        <v>0</v>
      </c>
      <c r="C2638">
        <v>408</v>
      </c>
    </row>
    <row r="2639" spans="1:3" x14ac:dyDescent="0.25">
      <c r="A2639">
        <v>13</v>
      </c>
      <c r="B2639">
        <v>0</v>
      </c>
      <c r="C2639">
        <v>408</v>
      </c>
    </row>
    <row r="2640" spans="1:3" x14ac:dyDescent="0.25">
      <c r="A2640">
        <v>13</v>
      </c>
      <c r="B2640">
        <v>0</v>
      </c>
      <c r="C2640">
        <v>374</v>
      </c>
    </row>
    <row r="2641" spans="1:3" x14ac:dyDescent="0.25">
      <c r="A2641">
        <v>12</v>
      </c>
      <c r="B2641">
        <v>0</v>
      </c>
      <c r="C2641">
        <v>374</v>
      </c>
    </row>
    <row r="2642" spans="1:3" x14ac:dyDescent="0.25">
      <c r="A2642">
        <v>13</v>
      </c>
      <c r="B2642">
        <v>0</v>
      </c>
      <c r="C2642">
        <v>374</v>
      </c>
    </row>
    <row r="2643" spans="1:3" x14ac:dyDescent="0.25">
      <c r="A2643">
        <v>15</v>
      </c>
      <c r="B2643">
        <v>0</v>
      </c>
      <c r="C2643">
        <v>374</v>
      </c>
    </row>
    <row r="2644" spans="1:3" x14ac:dyDescent="0.25">
      <c r="A2644">
        <v>14</v>
      </c>
      <c r="B2644">
        <v>0</v>
      </c>
      <c r="C2644">
        <v>374</v>
      </c>
    </row>
    <row r="2645" spans="1:3" x14ac:dyDescent="0.25">
      <c r="A2645">
        <v>12</v>
      </c>
      <c r="B2645">
        <v>0</v>
      </c>
      <c r="C2645">
        <v>374</v>
      </c>
    </row>
    <row r="2646" spans="1:3" x14ac:dyDescent="0.25">
      <c r="A2646">
        <v>14</v>
      </c>
      <c r="B2646">
        <v>0</v>
      </c>
      <c r="C2646">
        <v>374</v>
      </c>
    </row>
    <row r="2647" spans="1:3" x14ac:dyDescent="0.25">
      <c r="A2647">
        <v>12</v>
      </c>
      <c r="B2647">
        <v>0</v>
      </c>
      <c r="C2647">
        <v>374</v>
      </c>
    </row>
    <row r="2648" spans="1:3" x14ac:dyDescent="0.25">
      <c r="A2648">
        <v>11</v>
      </c>
      <c r="B2648">
        <v>0</v>
      </c>
      <c r="C2648">
        <v>303</v>
      </c>
    </row>
    <row r="2649" spans="1:3" x14ac:dyDescent="0.25">
      <c r="A2649">
        <v>14</v>
      </c>
      <c r="B2649">
        <v>0</v>
      </c>
      <c r="C2649">
        <v>303</v>
      </c>
    </row>
    <row r="2650" spans="1:3" x14ac:dyDescent="0.25">
      <c r="A2650">
        <v>13</v>
      </c>
      <c r="B2650">
        <v>0</v>
      </c>
      <c r="C2650">
        <v>303</v>
      </c>
    </row>
    <row r="2651" spans="1:3" x14ac:dyDescent="0.25">
      <c r="A2651">
        <v>16</v>
      </c>
      <c r="B2651">
        <v>0</v>
      </c>
      <c r="C2651">
        <v>303</v>
      </c>
    </row>
    <row r="2652" spans="1:3" x14ac:dyDescent="0.25">
      <c r="A2652">
        <v>12</v>
      </c>
      <c r="B2652">
        <v>0</v>
      </c>
      <c r="C2652">
        <v>303</v>
      </c>
    </row>
    <row r="2653" spans="1:3" x14ac:dyDescent="0.25">
      <c r="A2653">
        <v>12</v>
      </c>
      <c r="B2653">
        <v>0</v>
      </c>
      <c r="C2653">
        <v>303</v>
      </c>
    </row>
    <row r="2654" spans="1:3" x14ac:dyDescent="0.25">
      <c r="A2654">
        <v>14</v>
      </c>
      <c r="B2654">
        <v>0</v>
      </c>
      <c r="C2654">
        <v>303</v>
      </c>
    </row>
    <row r="2655" spans="1:3" x14ac:dyDescent="0.25">
      <c r="A2655">
        <v>11</v>
      </c>
      <c r="B2655">
        <v>0</v>
      </c>
      <c r="C2655">
        <v>418</v>
      </c>
    </row>
    <row r="2656" spans="1:3" x14ac:dyDescent="0.25">
      <c r="A2656">
        <v>13</v>
      </c>
      <c r="B2656">
        <v>0</v>
      </c>
      <c r="C2656">
        <v>418</v>
      </c>
    </row>
    <row r="2657" spans="1:3" x14ac:dyDescent="0.25">
      <c r="A2657">
        <v>11</v>
      </c>
      <c r="B2657">
        <v>0</v>
      </c>
      <c r="C2657">
        <v>418</v>
      </c>
    </row>
    <row r="2658" spans="1:3" x14ac:dyDescent="0.25">
      <c r="A2658">
        <v>12</v>
      </c>
      <c r="B2658">
        <v>0</v>
      </c>
      <c r="C2658">
        <v>418</v>
      </c>
    </row>
    <row r="2659" spans="1:3" x14ac:dyDescent="0.25">
      <c r="A2659">
        <v>14</v>
      </c>
      <c r="B2659">
        <v>0</v>
      </c>
      <c r="C2659">
        <v>418</v>
      </c>
    </row>
    <row r="2660" spans="1:3" x14ac:dyDescent="0.25">
      <c r="A2660">
        <v>13</v>
      </c>
      <c r="B2660">
        <v>0</v>
      </c>
      <c r="C2660">
        <v>418</v>
      </c>
    </row>
    <row r="2661" spans="1:3" x14ac:dyDescent="0.25">
      <c r="A2661">
        <v>14</v>
      </c>
      <c r="B2661">
        <v>0</v>
      </c>
      <c r="C2661">
        <v>418</v>
      </c>
    </row>
    <row r="2662" spans="1:3" x14ac:dyDescent="0.25">
      <c r="A2662">
        <v>21</v>
      </c>
      <c r="B2662">
        <v>0</v>
      </c>
      <c r="C2662">
        <v>418</v>
      </c>
    </row>
    <row r="2663" spans="1:3" x14ac:dyDescent="0.25">
      <c r="A2663">
        <v>12</v>
      </c>
      <c r="B2663">
        <v>0</v>
      </c>
      <c r="C2663">
        <v>337</v>
      </c>
    </row>
    <row r="2664" spans="1:3" x14ac:dyDescent="0.25">
      <c r="A2664">
        <v>13</v>
      </c>
      <c r="B2664">
        <v>0</v>
      </c>
      <c r="C2664">
        <v>337</v>
      </c>
    </row>
    <row r="2665" spans="1:3" x14ac:dyDescent="0.25">
      <c r="A2665">
        <v>13</v>
      </c>
      <c r="B2665">
        <v>0</v>
      </c>
      <c r="C2665">
        <v>337</v>
      </c>
    </row>
    <row r="2666" spans="1:3" x14ac:dyDescent="0.25">
      <c r="A2666">
        <v>17</v>
      </c>
      <c r="B2666">
        <v>0</v>
      </c>
      <c r="C2666">
        <v>337</v>
      </c>
    </row>
    <row r="2667" spans="1:3" x14ac:dyDescent="0.25">
      <c r="A2667">
        <v>12</v>
      </c>
      <c r="B2667">
        <v>0</v>
      </c>
      <c r="C2667">
        <v>337</v>
      </c>
    </row>
    <row r="2668" spans="1:3" x14ac:dyDescent="0.25">
      <c r="A2668">
        <v>12</v>
      </c>
      <c r="B2668">
        <v>0</v>
      </c>
      <c r="C2668">
        <v>337</v>
      </c>
    </row>
    <row r="2669" spans="1:3" x14ac:dyDescent="0.25">
      <c r="A2669">
        <v>11</v>
      </c>
      <c r="B2669">
        <v>0</v>
      </c>
      <c r="C2669">
        <v>337</v>
      </c>
    </row>
    <row r="2670" spans="1:3" x14ac:dyDescent="0.25">
      <c r="A2670">
        <v>13</v>
      </c>
      <c r="B2670">
        <v>0</v>
      </c>
      <c r="C2670">
        <v>357</v>
      </c>
    </row>
    <row r="2671" spans="1:3" x14ac:dyDescent="0.25">
      <c r="A2671">
        <v>11</v>
      </c>
      <c r="B2671">
        <v>0</v>
      </c>
      <c r="C2671">
        <v>357</v>
      </c>
    </row>
    <row r="2672" spans="1:3" x14ac:dyDescent="0.25">
      <c r="A2672">
        <v>12</v>
      </c>
      <c r="B2672">
        <v>0</v>
      </c>
      <c r="C2672">
        <v>357</v>
      </c>
    </row>
    <row r="2673" spans="1:3" x14ac:dyDescent="0.25">
      <c r="A2673">
        <v>11</v>
      </c>
      <c r="B2673">
        <v>0</v>
      </c>
      <c r="C2673">
        <v>357</v>
      </c>
    </row>
    <row r="2674" spans="1:3" x14ac:dyDescent="0.25">
      <c r="A2674">
        <v>11</v>
      </c>
      <c r="B2674">
        <v>0</v>
      </c>
      <c r="C2674">
        <v>357</v>
      </c>
    </row>
    <row r="2675" spans="1:3" x14ac:dyDescent="0.25">
      <c r="A2675">
        <v>14</v>
      </c>
      <c r="B2675">
        <v>0</v>
      </c>
      <c r="C2675">
        <v>357</v>
      </c>
    </row>
    <row r="2676" spans="1:3" x14ac:dyDescent="0.25">
      <c r="A2676">
        <v>13</v>
      </c>
      <c r="B2676">
        <v>0</v>
      </c>
      <c r="C2676">
        <v>357</v>
      </c>
    </row>
    <row r="2677" spans="1:3" x14ac:dyDescent="0.25">
      <c r="A2677">
        <v>12</v>
      </c>
      <c r="B2677">
        <v>0</v>
      </c>
      <c r="C2677">
        <v>377</v>
      </c>
    </row>
    <row r="2678" spans="1:3" x14ac:dyDescent="0.25">
      <c r="A2678">
        <v>12</v>
      </c>
      <c r="B2678">
        <v>0</v>
      </c>
      <c r="C2678">
        <v>377</v>
      </c>
    </row>
    <row r="2679" spans="1:3" x14ac:dyDescent="0.25">
      <c r="A2679">
        <v>23</v>
      </c>
      <c r="B2679">
        <v>0</v>
      </c>
      <c r="C2679">
        <v>377</v>
      </c>
    </row>
    <row r="2680" spans="1:3" x14ac:dyDescent="0.25">
      <c r="A2680">
        <v>14</v>
      </c>
      <c r="B2680">
        <v>0</v>
      </c>
      <c r="C2680">
        <v>377</v>
      </c>
    </row>
    <row r="2681" spans="1:3" x14ac:dyDescent="0.25">
      <c r="A2681">
        <v>14</v>
      </c>
      <c r="B2681">
        <v>0</v>
      </c>
      <c r="C2681">
        <v>377</v>
      </c>
    </row>
    <row r="2682" spans="1:3" x14ac:dyDescent="0.25">
      <c r="A2682">
        <v>13</v>
      </c>
      <c r="B2682">
        <v>0</v>
      </c>
      <c r="C2682">
        <v>377</v>
      </c>
    </row>
    <row r="2683" spans="1:3" x14ac:dyDescent="0.25">
      <c r="A2683">
        <v>11</v>
      </c>
      <c r="B2683">
        <v>0</v>
      </c>
      <c r="C2683">
        <v>377</v>
      </c>
    </row>
    <row r="2684" spans="1:3" x14ac:dyDescent="0.25">
      <c r="A2684">
        <v>13</v>
      </c>
      <c r="B2684">
        <v>0</v>
      </c>
      <c r="C2684">
        <v>414</v>
      </c>
    </row>
    <row r="2685" spans="1:3" x14ac:dyDescent="0.25">
      <c r="A2685">
        <v>12</v>
      </c>
      <c r="B2685">
        <v>0</v>
      </c>
      <c r="C2685">
        <v>414</v>
      </c>
    </row>
    <row r="2686" spans="1:3" x14ac:dyDescent="0.25">
      <c r="A2686">
        <v>12</v>
      </c>
      <c r="B2686">
        <v>0</v>
      </c>
      <c r="C2686">
        <v>414</v>
      </c>
    </row>
    <row r="2687" spans="1:3" x14ac:dyDescent="0.25">
      <c r="A2687">
        <v>12</v>
      </c>
      <c r="B2687">
        <v>0</v>
      </c>
      <c r="C2687">
        <v>414</v>
      </c>
    </row>
    <row r="2688" spans="1:3" x14ac:dyDescent="0.25">
      <c r="A2688">
        <v>15</v>
      </c>
      <c r="B2688">
        <v>0</v>
      </c>
      <c r="C2688">
        <v>414</v>
      </c>
    </row>
    <row r="2689" spans="1:3" x14ac:dyDescent="0.25">
      <c r="A2689">
        <v>14</v>
      </c>
      <c r="B2689">
        <v>0</v>
      </c>
      <c r="C2689">
        <v>414</v>
      </c>
    </row>
    <row r="2690" spans="1:3" x14ac:dyDescent="0.25">
      <c r="A2690">
        <v>13</v>
      </c>
      <c r="B2690">
        <v>0</v>
      </c>
      <c r="C2690">
        <v>414</v>
      </c>
    </row>
    <row r="2691" spans="1:3" x14ac:dyDescent="0.25">
      <c r="A2691">
        <v>13</v>
      </c>
      <c r="B2691">
        <v>0</v>
      </c>
      <c r="C2691">
        <v>507</v>
      </c>
    </row>
    <row r="2692" spans="1:3" x14ac:dyDescent="0.25">
      <c r="A2692">
        <v>14</v>
      </c>
      <c r="B2692">
        <v>0</v>
      </c>
      <c r="C2692">
        <v>507</v>
      </c>
    </row>
    <row r="2693" spans="1:3" x14ac:dyDescent="0.25">
      <c r="A2693">
        <v>13</v>
      </c>
      <c r="B2693">
        <v>0</v>
      </c>
      <c r="C2693">
        <v>507</v>
      </c>
    </row>
    <row r="2694" spans="1:3" x14ac:dyDescent="0.25">
      <c r="A2694">
        <v>12</v>
      </c>
      <c r="B2694">
        <v>0</v>
      </c>
      <c r="C2694">
        <v>507</v>
      </c>
    </row>
    <row r="2695" spans="1:3" x14ac:dyDescent="0.25">
      <c r="A2695">
        <v>10</v>
      </c>
      <c r="B2695">
        <v>0</v>
      </c>
      <c r="C2695">
        <v>507</v>
      </c>
    </row>
    <row r="2696" spans="1:3" x14ac:dyDescent="0.25">
      <c r="A2696">
        <v>14</v>
      </c>
      <c r="B2696">
        <v>0</v>
      </c>
      <c r="C2696">
        <v>507</v>
      </c>
    </row>
    <row r="2697" spans="1:3" x14ac:dyDescent="0.25">
      <c r="A2697">
        <v>11</v>
      </c>
      <c r="B2697">
        <v>0</v>
      </c>
      <c r="C2697">
        <v>507</v>
      </c>
    </row>
    <row r="2698" spans="1:3" x14ac:dyDescent="0.25">
      <c r="A2698">
        <v>12</v>
      </c>
      <c r="B2698">
        <v>0</v>
      </c>
      <c r="C2698">
        <v>507</v>
      </c>
    </row>
    <row r="2699" spans="1:3" x14ac:dyDescent="0.25">
      <c r="A2699">
        <v>10</v>
      </c>
      <c r="B2699">
        <v>0</v>
      </c>
      <c r="C2699">
        <v>363</v>
      </c>
    </row>
    <row r="2700" spans="1:3" x14ac:dyDescent="0.25">
      <c r="A2700">
        <v>13</v>
      </c>
      <c r="B2700">
        <v>0</v>
      </c>
      <c r="C2700">
        <v>363</v>
      </c>
    </row>
    <row r="2701" spans="1:3" x14ac:dyDescent="0.25">
      <c r="A2701">
        <v>11</v>
      </c>
      <c r="B2701">
        <v>0</v>
      </c>
      <c r="C2701">
        <v>363</v>
      </c>
    </row>
    <row r="2702" spans="1:3" x14ac:dyDescent="0.25">
      <c r="A2702">
        <v>16</v>
      </c>
      <c r="B2702">
        <v>0</v>
      </c>
      <c r="C2702">
        <v>363</v>
      </c>
    </row>
    <row r="2703" spans="1:3" x14ac:dyDescent="0.25">
      <c r="A2703">
        <v>13</v>
      </c>
      <c r="B2703">
        <v>0</v>
      </c>
      <c r="C2703">
        <v>363</v>
      </c>
    </row>
    <row r="2704" spans="1:3" x14ac:dyDescent="0.25">
      <c r="A2704">
        <v>14</v>
      </c>
      <c r="B2704">
        <v>0</v>
      </c>
      <c r="C2704">
        <v>363</v>
      </c>
    </row>
    <row r="2705" spans="1:3" x14ac:dyDescent="0.25">
      <c r="A2705">
        <v>21</v>
      </c>
      <c r="B2705">
        <v>0</v>
      </c>
      <c r="C2705">
        <v>586</v>
      </c>
    </row>
    <row r="2706" spans="1:3" x14ac:dyDescent="0.25">
      <c r="A2706">
        <v>15</v>
      </c>
      <c r="B2706">
        <v>0</v>
      </c>
      <c r="C2706">
        <v>586</v>
      </c>
    </row>
    <row r="2707" spans="1:3" x14ac:dyDescent="0.25">
      <c r="A2707">
        <v>12</v>
      </c>
      <c r="B2707">
        <v>0</v>
      </c>
      <c r="C2707">
        <v>586</v>
      </c>
    </row>
    <row r="2708" spans="1:3" x14ac:dyDescent="0.25">
      <c r="A2708">
        <v>14</v>
      </c>
      <c r="B2708">
        <v>0</v>
      </c>
      <c r="C2708">
        <v>586</v>
      </c>
    </row>
    <row r="2709" spans="1:3" x14ac:dyDescent="0.25">
      <c r="A2709">
        <v>11</v>
      </c>
      <c r="B2709">
        <v>0</v>
      </c>
      <c r="C2709">
        <v>586</v>
      </c>
    </row>
    <row r="2710" spans="1:3" x14ac:dyDescent="0.25">
      <c r="A2710">
        <v>18</v>
      </c>
      <c r="B2710">
        <v>0</v>
      </c>
      <c r="C2710">
        <v>586</v>
      </c>
    </row>
    <row r="2711" spans="1:3" x14ac:dyDescent="0.25">
      <c r="A2711">
        <v>15</v>
      </c>
      <c r="B2711">
        <v>0</v>
      </c>
      <c r="C2711">
        <v>586</v>
      </c>
    </row>
    <row r="2712" spans="1:3" x14ac:dyDescent="0.25">
      <c r="A2712">
        <v>16</v>
      </c>
      <c r="B2712">
        <v>0</v>
      </c>
      <c r="C2712">
        <v>464</v>
      </c>
    </row>
    <row r="2713" spans="1:3" x14ac:dyDescent="0.25">
      <c r="A2713">
        <v>14</v>
      </c>
      <c r="B2713">
        <v>0</v>
      </c>
      <c r="C2713">
        <v>464</v>
      </c>
    </row>
    <row r="2714" spans="1:3" x14ac:dyDescent="0.25">
      <c r="A2714">
        <v>13</v>
      </c>
      <c r="B2714">
        <v>0</v>
      </c>
      <c r="C2714">
        <v>464</v>
      </c>
    </row>
    <row r="2715" spans="1:3" x14ac:dyDescent="0.25">
      <c r="A2715">
        <v>18</v>
      </c>
      <c r="B2715">
        <v>0</v>
      </c>
      <c r="C2715">
        <v>464</v>
      </c>
    </row>
    <row r="2716" spans="1:3" x14ac:dyDescent="0.25">
      <c r="A2716">
        <v>12</v>
      </c>
      <c r="B2716">
        <v>0</v>
      </c>
      <c r="C2716">
        <v>464</v>
      </c>
    </row>
    <row r="2717" spans="1:3" x14ac:dyDescent="0.25">
      <c r="A2717">
        <v>11</v>
      </c>
      <c r="B2717">
        <v>0</v>
      </c>
      <c r="C2717">
        <v>464</v>
      </c>
    </row>
    <row r="2718" spans="1:3" x14ac:dyDescent="0.25">
      <c r="A2718">
        <v>12</v>
      </c>
      <c r="B2718">
        <v>0</v>
      </c>
      <c r="C2718">
        <v>464</v>
      </c>
    </row>
    <row r="2719" spans="1:3" x14ac:dyDescent="0.25">
      <c r="A2719">
        <v>23</v>
      </c>
      <c r="B2719">
        <v>0</v>
      </c>
      <c r="C2719">
        <v>429</v>
      </c>
    </row>
    <row r="2720" spans="1:3" x14ac:dyDescent="0.25">
      <c r="A2720">
        <v>16</v>
      </c>
      <c r="B2720">
        <v>0</v>
      </c>
      <c r="C2720">
        <v>429</v>
      </c>
    </row>
    <row r="2721" spans="1:3" x14ac:dyDescent="0.25">
      <c r="A2721">
        <v>19</v>
      </c>
      <c r="B2721">
        <v>0</v>
      </c>
      <c r="C2721">
        <v>429</v>
      </c>
    </row>
    <row r="2722" spans="1:3" x14ac:dyDescent="0.25">
      <c r="A2722">
        <v>13</v>
      </c>
      <c r="B2722">
        <v>0</v>
      </c>
      <c r="C2722">
        <v>429</v>
      </c>
    </row>
    <row r="2723" spans="1:3" x14ac:dyDescent="0.25">
      <c r="A2723">
        <v>12</v>
      </c>
      <c r="B2723">
        <v>0</v>
      </c>
      <c r="C2723">
        <v>429</v>
      </c>
    </row>
    <row r="2724" spans="1:3" x14ac:dyDescent="0.25">
      <c r="A2724">
        <v>12</v>
      </c>
      <c r="B2724">
        <v>0</v>
      </c>
      <c r="C2724">
        <v>429</v>
      </c>
    </row>
    <row r="2725" spans="1:3" x14ac:dyDescent="0.25">
      <c r="A2725">
        <v>13</v>
      </c>
      <c r="B2725">
        <v>0</v>
      </c>
      <c r="C2725">
        <v>429</v>
      </c>
    </row>
    <row r="2726" spans="1:3" x14ac:dyDescent="0.25">
      <c r="A2726">
        <v>12</v>
      </c>
      <c r="B2726">
        <v>0</v>
      </c>
      <c r="C2726">
        <v>394</v>
      </c>
    </row>
    <row r="2727" spans="1:3" x14ac:dyDescent="0.25">
      <c r="A2727">
        <v>14</v>
      </c>
      <c r="B2727">
        <v>0</v>
      </c>
      <c r="C2727">
        <v>394</v>
      </c>
    </row>
    <row r="2728" spans="1:3" x14ac:dyDescent="0.25">
      <c r="A2728">
        <v>15</v>
      </c>
      <c r="B2728">
        <v>0</v>
      </c>
      <c r="C2728">
        <v>394</v>
      </c>
    </row>
    <row r="2729" spans="1:3" x14ac:dyDescent="0.25">
      <c r="A2729">
        <v>12</v>
      </c>
      <c r="B2729">
        <v>0</v>
      </c>
      <c r="C2729">
        <v>394</v>
      </c>
    </row>
    <row r="2730" spans="1:3" x14ac:dyDescent="0.25">
      <c r="A2730">
        <v>13</v>
      </c>
      <c r="B2730">
        <v>0</v>
      </c>
      <c r="C2730">
        <v>394</v>
      </c>
    </row>
    <row r="2731" spans="1:3" x14ac:dyDescent="0.25">
      <c r="A2731">
        <v>13</v>
      </c>
      <c r="B2731">
        <v>0</v>
      </c>
      <c r="C2731">
        <v>394</v>
      </c>
    </row>
    <row r="2732" spans="1:3" x14ac:dyDescent="0.25">
      <c r="A2732">
        <v>15</v>
      </c>
      <c r="B2732">
        <v>0</v>
      </c>
      <c r="C2732">
        <v>394</v>
      </c>
    </row>
    <row r="2733" spans="1:3" x14ac:dyDescent="0.25">
      <c r="A2733">
        <v>16</v>
      </c>
      <c r="B2733">
        <v>0</v>
      </c>
      <c r="C2733">
        <v>425</v>
      </c>
    </row>
    <row r="2734" spans="1:3" x14ac:dyDescent="0.25">
      <c r="A2734">
        <v>15</v>
      </c>
      <c r="B2734">
        <v>0</v>
      </c>
      <c r="C2734">
        <v>425</v>
      </c>
    </row>
    <row r="2735" spans="1:3" x14ac:dyDescent="0.25">
      <c r="A2735">
        <v>12</v>
      </c>
      <c r="B2735">
        <v>0</v>
      </c>
      <c r="C2735">
        <v>425</v>
      </c>
    </row>
    <row r="2736" spans="1:3" x14ac:dyDescent="0.25">
      <c r="A2736">
        <v>12</v>
      </c>
      <c r="B2736">
        <v>0</v>
      </c>
      <c r="C2736">
        <v>425</v>
      </c>
    </row>
    <row r="2737" spans="1:3" x14ac:dyDescent="0.25">
      <c r="A2737">
        <v>13</v>
      </c>
      <c r="B2737">
        <v>0</v>
      </c>
      <c r="C2737">
        <v>425</v>
      </c>
    </row>
    <row r="2738" spans="1:3" x14ac:dyDescent="0.25">
      <c r="A2738">
        <v>11</v>
      </c>
      <c r="B2738">
        <v>0</v>
      </c>
      <c r="C2738">
        <v>425</v>
      </c>
    </row>
    <row r="2739" spans="1:3" x14ac:dyDescent="0.25">
      <c r="A2739">
        <v>11</v>
      </c>
      <c r="B2739">
        <v>0</v>
      </c>
      <c r="C2739">
        <v>425</v>
      </c>
    </row>
    <row r="2740" spans="1:3" x14ac:dyDescent="0.25">
      <c r="A2740">
        <v>11</v>
      </c>
      <c r="B2740">
        <v>0</v>
      </c>
      <c r="C2740">
        <v>425</v>
      </c>
    </row>
    <row r="2741" spans="1:3" x14ac:dyDescent="0.25">
      <c r="A2741">
        <v>13</v>
      </c>
      <c r="B2741">
        <v>0</v>
      </c>
      <c r="C2741">
        <v>424</v>
      </c>
    </row>
    <row r="2742" spans="1:3" x14ac:dyDescent="0.25">
      <c r="A2742">
        <v>16</v>
      </c>
      <c r="B2742">
        <v>0</v>
      </c>
      <c r="C2742">
        <v>424</v>
      </c>
    </row>
    <row r="2743" spans="1:3" x14ac:dyDescent="0.25">
      <c r="A2743">
        <v>12</v>
      </c>
      <c r="B2743">
        <v>0</v>
      </c>
      <c r="C2743">
        <v>424</v>
      </c>
    </row>
    <row r="2744" spans="1:3" x14ac:dyDescent="0.25">
      <c r="A2744">
        <v>13</v>
      </c>
      <c r="B2744">
        <v>0</v>
      </c>
      <c r="C2744">
        <v>424</v>
      </c>
    </row>
    <row r="2745" spans="1:3" x14ac:dyDescent="0.25">
      <c r="A2745">
        <v>15</v>
      </c>
      <c r="B2745">
        <v>0</v>
      </c>
      <c r="C2745">
        <v>424</v>
      </c>
    </row>
    <row r="2746" spans="1:3" x14ac:dyDescent="0.25">
      <c r="A2746">
        <v>17</v>
      </c>
      <c r="B2746">
        <v>0</v>
      </c>
      <c r="C2746">
        <v>424</v>
      </c>
    </row>
    <row r="2747" spans="1:3" x14ac:dyDescent="0.25">
      <c r="A2747">
        <v>12</v>
      </c>
      <c r="B2747">
        <v>0</v>
      </c>
      <c r="C2747">
        <v>424</v>
      </c>
    </row>
    <row r="2748" spans="1:3" x14ac:dyDescent="0.25">
      <c r="A2748">
        <v>16</v>
      </c>
      <c r="B2748">
        <v>0</v>
      </c>
      <c r="C2748">
        <v>401</v>
      </c>
    </row>
    <row r="2749" spans="1:3" x14ac:dyDescent="0.25">
      <c r="A2749">
        <v>12</v>
      </c>
      <c r="B2749">
        <v>0</v>
      </c>
      <c r="C2749">
        <v>401</v>
      </c>
    </row>
    <row r="2750" spans="1:3" x14ac:dyDescent="0.25">
      <c r="A2750">
        <v>19</v>
      </c>
      <c r="B2750">
        <v>0</v>
      </c>
      <c r="C2750">
        <v>401</v>
      </c>
    </row>
    <row r="2751" spans="1:3" x14ac:dyDescent="0.25">
      <c r="A2751">
        <v>12</v>
      </c>
      <c r="B2751">
        <v>0</v>
      </c>
      <c r="C2751">
        <v>401</v>
      </c>
    </row>
    <row r="2752" spans="1:3" x14ac:dyDescent="0.25">
      <c r="A2752">
        <v>13</v>
      </c>
      <c r="B2752">
        <v>0</v>
      </c>
      <c r="C2752">
        <v>401</v>
      </c>
    </row>
    <row r="2753" spans="1:3" x14ac:dyDescent="0.25">
      <c r="A2753">
        <v>11</v>
      </c>
      <c r="B2753">
        <v>0</v>
      </c>
      <c r="C2753">
        <v>401</v>
      </c>
    </row>
    <row r="2754" spans="1:3" x14ac:dyDescent="0.25">
      <c r="A2754">
        <v>11</v>
      </c>
      <c r="B2754">
        <v>0</v>
      </c>
      <c r="C2754">
        <v>401</v>
      </c>
    </row>
    <row r="2755" spans="1:3" x14ac:dyDescent="0.25">
      <c r="A2755">
        <v>12</v>
      </c>
      <c r="B2755">
        <v>0</v>
      </c>
      <c r="C2755">
        <v>401</v>
      </c>
    </row>
    <row r="2756" spans="1:3" x14ac:dyDescent="0.25">
      <c r="A2756">
        <v>16</v>
      </c>
      <c r="B2756">
        <v>0</v>
      </c>
      <c r="C2756">
        <v>406</v>
      </c>
    </row>
    <row r="2757" spans="1:3" x14ac:dyDescent="0.25">
      <c r="A2757">
        <v>20</v>
      </c>
      <c r="B2757">
        <v>0</v>
      </c>
      <c r="C2757">
        <v>406</v>
      </c>
    </row>
    <row r="2758" spans="1:3" x14ac:dyDescent="0.25">
      <c r="A2758">
        <v>13</v>
      </c>
      <c r="B2758">
        <v>0</v>
      </c>
      <c r="C2758">
        <v>406</v>
      </c>
    </row>
    <row r="2759" spans="1:3" x14ac:dyDescent="0.25">
      <c r="A2759">
        <v>13</v>
      </c>
      <c r="B2759">
        <v>0</v>
      </c>
      <c r="C2759">
        <v>406</v>
      </c>
    </row>
    <row r="2760" spans="1:3" x14ac:dyDescent="0.25">
      <c r="A2760">
        <v>11</v>
      </c>
      <c r="B2760">
        <v>0</v>
      </c>
      <c r="C2760">
        <v>406</v>
      </c>
    </row>
    <row r="2761" spans="1:3" x14ac:dyDescent="0.25">
      <c r="A2761">
        <v>14</v>
      </c>
      <c r="B2761">
        <v>0</v>
      </c>
      <c r="C2761">
        <v>406</v>
      </c>
    </row>
    <row r="2762" spans="1:3" x14ac:dyDescent="0.25">
      <c r="A2762">
        <v>12</v>
      </c>
      <c r="B2762">
        <v>0</v>
      </c>
      <c r="C2762">
        <v>406</v>
      </c>
    </row>
    <row r="2763" spans="1:3" x14ac:dyDescent="0.25">
      <c r="A2763">
        <v>17</v>
      </c>
      <c r="B2763">
        <v>0</v>
      </c>
      <c r="C2763">
        <v>385</v>
      </c>
    </row>
    <row r="2764" spans="1:3" x14ac:dyDescent="0.25">
      <c r="A2764">
        <v>13</v>
      </c>
      <c r="B2764">
        <v>0</v>
      </c>
      <c r="C2764">
        <v>385</v>
      </c>
    </row>
    <row r="2765" spans="1:3" x14ac:dyDescent="0.25">
      <c r="A2765">
        <v>13</v>
      </c>
      <c r="B2765">
        <v>0</v>
      </c>
      <c r="C2765">
        <v>385</v>
      </c>
    </row>
    <row r="2766" spans="1:3" x14ac:dyDescent="0.25">
      <c r="A2766">
        <v>11</v>
      </c>
      <c r="B2766">
        <v>0</v>
      </c>
      <c r="C2766">
        <v>385</v>
      </c>
    </row>
    <row r="2767" spans="1:3" x14ac:dyDescent="0.25">
      <c r="A2767">
        <v>13</v>
      </c>
      <c r="B2767">
        <v>0</v>
      </c>
      <c r="C2767">
        <v>385</v>
      </c>
    </row>
    <row r="2768" spans="1:3" x14ac:dyDescent="0.25">
      <c r="A2768">
        <v>13</v>
      </c>
      <c r="B2768">
        <v>0</v>
      </c>
      <c r="C2768">
        <v>385</v>
      </c>
    </row>
    <row r="2769" spans="1:3" x14ac:dyDescent="0.25">
      <c r="A2769">
        <v>13</v>
      </c>
      <c r="B2769">
        <v>0</v>
      </c>
      <c r="C2769">
        <v>385</v>
      </c>
    </row>
    <row r="2770" spans="1:3" x14ac:dyDescent="0.25">
      <c r="A2770">
        <v>13</v>
      </c>
      <c r="B2770">
        <v>0</v>
      </c>
      <c r="C2770">
        <v>439</v>
      </c>
    </row>
    <row r="2771" spans="1:3" x14ac:dyDescent="0.25">
      <c r="A2771">
        <v>15</v>
      </c>
      <c r="B2771">
        <v>0</v>
      </c>
      <c r="C2771">
        <v>439</v>
      </c>
    </row>
    <row r="2772" spans="1:3" x14ac:dyDescent="0.25">
      <c r="A2772">
        <v>14</v>
      </c>
      <c r="B2772">
        <v>0</v>
      </c>
      <c r="C2772">
        <v>439</v>
      </c>
    </row>
    <row r="2773" spans="1:3" x14ac:dyDescent="0.25">
      <c r="A2773">
        <v>14</v>
      </c>
      <c r="B2773">
        <v>0</v>
      </c>
      <c r="C2773">
        <v>439</v>
      </c>
    </row>
    <row r="2774" spans="1:3" x14ac:dyDescent="0.25">
      <c r="A2774">
        <v>13</v>
      </c>
      <c r="B2774">
        <v>0</v>
      </c>
      <c r="C2774">
        <v>439</v>
      </c>
    </row>
    <row r="2775" spans="1:3" x14ac:dyDescent="0.25">
      <c r="A2775">
        <v>12</v>
      </c>
      <c r="B2775">
        <v>0</v>
      </c>
      <c r="C2775">
        <v>439</v>
      </c>
    </row>
    <row r="2776" spans="1:3" x14ac:dyDescent="0.25">
      <c r="A2776">
        <v>12</v>
      </c>
      <c r="B2776">
        <v>0</v>
      </c>
      <c r="C2776">
        <v>425</v>
      </c>
    </row>
    <row r="2777" spans="1:3" x14ac:dyDescent="0.25">
      <c r="A2777">
        <v>13</v>
      </c>
      <c r="B2777">
        <v>0</v>
      </c>
      <c r="C2777">
        <v>425</v>
      </c>
    </row>
    <row r="2778" spans="1:3" x14ac:dyDescent="0.25">
      <c r="A2778">
        <v>11</v>
      </c>
      <c r="B2778">
        <v>0</v>
      </c>
      <c r="C2778">
        <v>425</v>
      </c>
    </row>
    <row r="2779" spans="1:3" x14ac:dyDescent="0.25">
      <c r="A2779">
        <v>13</v>
      </c>
      <c r="B2779">
        <v>0</v>
      </c>
      <c r="C2779">
        <v>425</v>
      </c>
    </row>
    <row r="2780" spans="1:3" x14ac:dyDescent="0.25">
      <c r="A2780">
        <v>12</v>
      </c>
      <c r="B2780">
        <v>0</v>
      </c>
      <c r="C2780">
        <v>425</v>
      </c>
    </row>
    <row r="2781" spans="1:3" x14ac:dyDescent="0.25">
      <c r="A2781">
        <v>14</v>
      </c>
      <c r="B2781">
        <v>0</v>
      </c>
      <c r="C2781">
        <v>425</v>
      </c>
    </row>
    <row r="2782" spans="1:3" x14ac:dyDescent="0.25">
      <c r="A2782">
        <v>18</v>
      </c>
      <c r="B2782">
        <v>0</v>
      </c>
      <c r="C2782">
        <v>425</v>
      </c>
    </row>
    <row r="2783" spans="1:3" x14ac:dyDescent="0.25">
      <c r="A2783">
        <v>12</v>
      </c>
      <c r="B2783">
        <v>0</v>
      </c>
      <c r="C2783">
        <v>400</v>
      </c>
    </row>
    <row r="2784" spans="1:3" x14ac:dyDescent="0.25">
      <c r="A2784">
        <v>13</v>
      </c>
      <c r="B2784">
        <v>0</v>
      </c>
      <c r="C2784">
        <v>400</v>
      </c>
    </row>
    <row r="2785" spans="1:3" x14ac:dyDescent="0.25">
      <c r="A2785">
        <v>14</v>
      </c>
      <c r="B2785">
        <v>0</v>
      </c>
      <c r="C2785">
        <v>400</v>
      </c>
    </row>
    <row r="2786" spans="1:3" x14ac:dyDescent="0.25">
      <c r="A2786">
        <v>14</v>
      </c>
      <c r="B2786">
        <v>0</v>
      </c>
      <c r="C2786">
        <v>400</v>
      </c>
    </row>
    <row r="2787" spans="1:3" x14ac:dyDescent="0.25">
      <c r="A2787">
        <v>13</v>
      </c>
      <c r="B2787">
        <v>0</v>
      </c>
      <c r="C2787">
        <v>400</v>
      </c>
    </row>
    <row r="2788" spans="1:3" x14ac:dyDescent="0.25">
      <c r="A2788">
        <v>15</v>
      </c>
      <c r="B2788">
        <v>0</v>
      </c>
      <c r="C2788">
        <v>400</v>
      </c>
    </row>
    <row r="2789" spans="1:3" x14ac:dyDescent="0.25">
      <c r="A2789">
        <v>16</v>
      </c>
      <c r="B2789">
        <v>0</v>
      </c>
      <c r="C2789">
        <v>400</v>
      </c>
    </row>
    <row r="2790" spans="1:3" x14ac:dyDescent="0.25">
      <c r="A2790">
        <v>12</v>
      </c>
      <c r="B2790">
        <v>0</v>
      </c>
      <c r="C2790">
        <v>429</v>
      </c>
    </row>
    <row r="2791" spans="1:3" x14ac:dyDescent="0.25">
      <c r="A2791">
        <v>13</v>
      </c>
      <c r="B2791">
        <v>0</v>
      </c>
      <c r="C2791">
        <v>429</v>
      </c>
    </row>
    <row r="2792" spans="1:3" x14ac:dyDescent="0.25">
      <c r="A2792">
        <v>12</v>
      </c>
      <c r="B2792">
        <v>0</v>
      </c>
      <c r="C2792">
        <v>429</v>
      </c>
    </row>
    <row r="2793" spans="1:3" x14ac:dyDescent="0.25">
      <c r="A2793">
        <v>15</v>
      </c>
      <c r="B2793">
        <v>0</v>
      </c>
      <c r="C2793">
        <v>429</v>
      </c>
    </row>
    <row r="2794" spans="1:3" x14ac:dyDescent="0.25">
      <c r="A2794">
        <v>15</v>
      </c>
      <c r="B2794">
        <v>0</v>
      </c>
      <c r="C2794">
        <v>429</v>
      </c>
    </row>
    <row r="2795" spans="1:3" x14ac:dyDescent="0.25">
      <c r="A2795">
        <v>12</v>
      </c>
      <c r="B2795">
        <v>0</v>
      </c>
      <c r="C2795">
        <v>429</v>
      </c>
    </row>
    <row r="2796" spans="1:3" x14ac:dyDescent="0.25">
      <c r="A2796">
        <v>14</v>
      </c>
      <c r="B2796">
        <v>0</v>
      </c>
      <c r="C2796">
        <v>429</v>
      </c>
    </row>
    <row r="2797" spans="1:3" x14ac:dyDescent="0.25">
      <c r="A2797">
        <v>15</v>
      </c>
      <c r="B2797">
        <v>0</v>
      </c>
      <c r="C2797">
        <v>393</v>
      </c>
    </row>
    <row r="2798" spans="1:3" x14ac:dyDescent="0.25">
      <c r="A2798">
        <v>11</v>
      </c>
      <c r="B2798">
        <v>0</v>
      </c>
      <c r="C2798">
        <v>393</v>
      </c>
    </row>
    <row r="2799" spans="1:3" x14ac:dyDescent="0.25">
      <c r="A2799">
        <v>11</v>
      </c>
      <c r="B2799">
        <v>0</v>
      </c>
      <c r="C2799">
        <v>393</v>
      </c>
    </row>
    <row r="2800" spans="1:3" x14ac:dyDescent="0.25">
      <c r="A2800">
        <v>16</v>
      </c>
      <c r="B2800">
        <v>0</v>
      </c>
      <c r="C2800">
        <v>393</v>
      </c>
    </row>
    <row r="2801" spans="1:3" x14ac:dyDescent="0.25">
      <c r="A2801">
        <v>15</v>
      </c>
      <c r="B2801">
        <v>0</v>
      </c>
      <c r="C2801">
        <v>393</v>
      </c>
    </row>
    <row r="2802" spans="1:3" x14ac:dyDescent="0.25">
      <c r="A2802">
        <v>43</v>
      </c>
      <c r="B2802">
        <v>0</v>
      </c>
      <c r="C2802">
        <v>142</v>
      </c>
    </row>
    <row r="2803" spans="1:3" x14ac:dyDescent="0.25">
      <c r="A2803">
        <v>12</v>
      </c>
      <c r="B2803">
        <v>0</v>
      </c>
      <c r="C2803">
        <v>142</v>
      </c>
    </row>
    <row r="2804" spans="1:3" x14ac:dyDescent="0.25">
      <c r="A2804">
        <v>13</v>
      </c>
      <c r="B2804">
        <v>0</v>
      </c>
      <c r="C2804">
        <v>142</v>
      </c>
    </row>
    <row r="2805" spans="1:3" x14ac:dyDescent="0.25">
      <c r="A2805">
        <v>13</v>
      </c>
      <c r="B2805">
        <v>0</v>
      </c>
      <c r="C2805">
        <v>142</v>
      </c>
    </row>
    <row r="2806" spans="1:3" x14ac:dyDescent="0.25">
      <c r="A2806">
        <v>13</v>
      </c>
      <c r="B2806">
        <v>0</v>
      </c>
      <c r="C2806">
        <v>142</v>
      </c>
    </row>
    <row r="2807" spans="1:3" x14ac:dyDescent="0.25">
      <c r="A2807">
        <v>13</v>
      </c>
      <c r="B2807">
        <v>0</v>
      </c>
      <c r="C2807">
        <v>142</v>
      </c>
    </row>
    <row r="2808" spans="1:3" x14ac:dyDescent="0.25">
      <c r="A2808">
        <v>12</v>
      </c>
      <c r="B2808">
        <v>0</v>
      </c>
      <c r="C2808">
        <v>142</v>
      </c>
    </row>
    <row r="2809" spans="1:3" x14ac:dyDescent="0.25">
      <c r="A2809">
        <v>12</v>
      </c>
      <c r="B2809">
        <v>0</v>
      </c>
      <c r="C2809">
        <v>142</v>
      </c>
    </row>
    <row r="2810" spans="1:3" x14ac:dyDescent="0.25">
      <c r="A2810">
        <v>12</v>
      </c>
      <c r="B2810">
        <v>0</v>
      </c>
      <c r="C2810">
        <v>429</v>
      </c>
    </row>
    <row r="2811" spans="1:3" x14ac:dyDescent="0.25">
      <c r="A2811">
        <v>13</v>
      </c>
      <c r="B2811">
        <v>0</v>
      </c>
      <c r="C2811">
        <v>429</v>
      </c>
    </row>
    <row r="2812" spans="1:3" x14ac:dyDescent="0.25">
      <c r="A2812">
        <v>13</v>
      </c>
      <c r="B2812">
        <v>0</v>
      </c>
      <c r="C2812">
        <v>429</v>
      </c>
    </row>
    <row r="2813" spans="1:3" x14ac:dyDescent="0.25">
      <c r="A2813">
        <v>13</v>
      </c>
      <c r="B2813">
        <v>0</v>
      </c>
      <c r="C2813">
        <v>429</v>
      </c>
    </row>
    <row r="2814" spans="1:3" x14ac:dyDescent="0.25">
      <c r="A2814">
        <v>12</v>
      </c>
      <c r="B2814">
        <v>0</v>
      </c>
      <c r="C2814">
        <v>429</v>
      </c>
    </row>
    <row r="2815" spans="1:3" x14ac:dyDescent="0.25">
      <c r="A2815">
        <v>12</v>
      </c>
      <c r="B2815">
        <v>0</v>
      </c>
      <c r="C2815">
        <v>429</v>
      </c>
    </row>
    <row r="2816" spans="1:3" x14ac:dyDescent="0.25">
      <c r="A2816">
        <v>31</v>
      </c>
      <c r="B2816">
        <v>0</v>
      </c>
      <c r="C2816">
        <v>429</v>
      </c>
    </row>
    <row r="2817" spans="1:3" x14ac:dyDescent="0.25">
      <c r="A2817">
        <v>15</v>
      </c>
      <c r="B2817">
        <v>0</v>
      </c>
      <c r="C2817">
        <v>376</v>
      </c>
    </row>
    <row r="2818" spans="1:3" x14ac:dyDescent="0.25">
      <c r="A2818">
        <v>13</v>
      </c>
      <c r="B2818">
        <v>0</v>
      </c>
      <c r="C2818">
        <v>376</v>
      </c>
    </row>
    <row r="2819" spans="1:3" x14ac:dyDescent="0.25">
      <c r="A2819">
        <v>13</v>
      </c>
      <c r="B2819">
        <v>0</v>
      </c>
      <c r="C2819">
        <v>376</v>
      </c>
    </row>
    <row r="2820" spans="1:3" x14ac:dyDescent="0.25">
      <c r="A2820">
        <v>13</v>
      </c>
      <c r="B2820">
        <v>0</v>
      </c>
      <c r="C2820">
        <v>376</v>
      </c>
    </row>
    <row r="2821" spans="1:3" x14ac:dyDescent="0.25">
      <c r="A2821">
        <v>16</v>
      </c>
      <c r="B2821">
        <v>0</v>
      </c>
      <c r="C2821">
        <v>376</v>
      </c>
    </row>
    <row r="2822" spans="1:3" x14ac:dyDescent="0.25">
      <c r="A2822">
        <v>13</v>
      </c>
      <c r="B2822">
        <v>0</v>
      </c>
      <c r="C2822">
        <v>376</v>
      </c>
    </row>
    <row r="2823" spans="1:3" x14ac:dyDescent="0.25">
      <c r="A2823">
        <v>12</v>
      </c>
      <c r="B2823">
        <v>0</v>
      </c>
      <c r="C2823">
        <v>376</v>
      </c>
    </row>
    <row r="2824" spans="1:3" x14ac:dyDescent="0.25">
      <c r="A2824">
        <v>12</v>
      </c>
      <c r="B2824">
        <v>0</v>
      </c>
      <c r="C2824">
        <v>376</v>
      </c>
    </row>
    <row r="2825" spans="1:3" x14ac:dyDescent="0.25">
      <c r="A2825">
        <v>12</v>
      </c>
      <c r="B2825">
        <v>0</v>
      </c>
      <c r="C2825">
        <v>412</v>
      </c>
    </row>
    <row r="2826" spans="1:3" x14ac:dyDescent="0.25">
      <c r="A2826">
        <v>13</v>
      </c>
      <c r="B2826">
        <v>0</v>
      </c>
      <c r="C2826">
        <v>412</v>
      </c>
    </row>
    <row r="2827" spans="1:3" x14ac:dyDescent="0.25">
      <c r="A2827">
        <v>13</v>
      </c>
      <c r="B2827">
        <v>0</v>
      </c>
      <c r="C2827">
        <v>412</v>
      </c>
    </row>
    <row r="2828" spans="1:3" x14ac:dyDescent="0.25">
      <c r="A2828">
        <v>13</v>
      </c>
      <c r="B2828">
        <v>0</v>
      </c>
      <c r="C2828">
        <v>412</v>
      </c>
    </row>
    <row r="2829" spans="1:3" x14ac:dyDescent="0.25">
      <c r="A2829">
        <v>12</v>
      </c>
      <c r="B2829">
        <v>0</v>
      </c>
      <c r="C2829">
        <v>412</v>
      </c>
    </row>
    <row r="2830" spans="1:3" x14ac:dyDescent="0.25">
      <c r="A2830">
        <v>12</v>
      </c>
      <c r="B2830">
        <v>0</v>
      </c>
      <c r="C2830">
        <v>412</v>
      </c>
    </row>
    <row r="2831" spans="1:3" x14ac:dyDescent="0.25">
      <c r="A2831">
        <v>13</v>
      </c>
      <c r="B2831">
        <v>0</v>
      </c>
      <c r="C2831">
        <v>412</v>
      </c>
    </row>
    <row r="2832" spans="1:3" x14ac:dyDescent="0.25">
      <c r="A2832">
        <v>16</v>
      </c>
      <c r="B2832">
        <v>0</v>
      </c>
      <c r="C2832">
        <v>412</v>
      </c>
    </row>
    <row r="2833" spans="1:3" x14ac:dyDescent="0.25">
      <c r="A2833">
        <v>12</v>
      </c>
      <c r="B2833">
        <v>0</v>
      </c>
      <c r="C2833">
        <v>416</v>
      </c>
    </row>
    <row r="2834" spans="1:3" x14ac:dyDescent="0.25">
      <c r="A2834">
        <v>11</v>
      </c>
      <c r="B2834">
        <v>0</v>
      </c>
      <c r="C2834">
        <v>416</v>
      </c>
    </row>
    <row r="2835" spans="1:3" x14ac:dyDescent="0.25">
      <c r="A2835">
        <v>21</v>
      </c>
      <c r="B2835">
        <v>0</v>
      </c>
      <c r="C2835">
        <v>416</v>
      </c>
    </row>
    <row r="2836" spans="1:3" x14ac:dyDescent="0.25">
      <c r="A2836">
        <v>16</v>
      </c>
      <c r="B2836">
        <v>0</v>
      </c>
      <c r="C2836">
        <v>416</v>
      </c>
    </row>
    <row r="2837" spans="1:3" x14ac:dyDescent="0.25">
      <c r="A2837">
        <v>14</v>
      </c>
      <c r="B2837">
        <v>0</v>
      </c>
      <c r="C2837">
        <v>416</v>
      </c>
    </row>
    <row r="2838" spans="1:3" x14ac:dyDescent="0.25">
      <c r="A2838">
        <v>13</v>
      </c>
      <c r="B2838">
        <v>0</v>
      </c>
      <c r="C2838">
        <v>416</v>
      </c>
    </row>
    <row r="2839" spans="1:3" x14ac:dyDescent="0.25">
      <c r="A2839">
        <v>12</v>
      </c>
      <c r="B2839">
        <v>0</v>
      </c>
      <c r="C2839">
        <v>416</v>
      </c>
    </row>
    <row r="2840" spans="1:3" x14ac:dyDescent="0.25">
      <c r="A2840">
        <v>12</v>
      </c>
      <c r="B2840">
        <v>0</v>
      </c>
      <c r="C2840">
        <v>416</v>
      </c>
    </row>
    <row r="2841" spans="1:3" x14ac:dyDescent="0.25">
      <c r="A2841">
        <v>13</v>
      </c>
      <c r="B2841">
        <v>0</v>
      </c>
      <c r="C2841">
        <v>330</v>
      </c>
    </row>
    <row r="2842" spans="1:3" x14ac:dyDescent="0.25">
      <c r="A2842">
        <v>12</v>
      </c>
      <c r="B2842">
        <v>0</v>
      </c>
      <c r="C2842">
        <v>330</v>
      </c>
    </row>
    <row r="2843" spans="1:3" x14ac:dyDescent="0.25">
      <c r="A2843">
        <v>12</v>
      </c>
      <c r="B2843">
        <v>0</v>
      </c>
      <c r="C2843">
        <v>330</v>
      </c>
    </row>
    <row r="2844" spans="1:3" x14ac:dyDescent="0.25">
      <c r="A2844">
        <v>13</v>
      </c>
      <c r="B2844">
        <v>0</v>
      </c>
      <c r="C2844">
        <v>330</v>
      </c>
    </row>
    <row r="2845" spans="1:3" x14ac:dyDescent="0.25">
      <c r="A2845">
        <v>11</v>
      </c>
      <c r="B2845">
        <v>0</v>
      </c>
      <c r="C2845">
        <v>330</v>
      </c>
    </row>
    <row r="2846" spans="1:3" x14ac:dyDescent="0.25">
      <c r="A2846">
        <v>13</v>
      </c>
      <c r="B2846">
        <v>0</v>
      </c>
      <c r="C2846">
        <v>330</v>
      </c>
    </row>
    <row r="2847" spans="1:3" x14ac:dyDescent="0.25">
      <c r="A2847">
        <v>13</v>
      </c>
      <c r="B2847">
        <v>0</v>
      </c>
      <c r="C2847">
        <v>330</v>
      </c>
    </row>
    <row r="2848" spans="1:3" x14ac:dyDescent="0.25">
      <c r="A2848">
        <v>12</v>
      </c>
      <c r="B2848">
        <v>0</v>
      </c>
      <c r="C2848">
        <v>330</v>
      </c>
    </row>
    <row r="2849" spans="1:3" x14ac:dyDescent="0.25">
      <c r="A2849">
        <v>13</v>
      </c>
      <c r="B2849">
        <v>0</v>
      </c>
      <c r="C2849">
        <v>404</v>
      </c>
    </row>
    <row r="2850" spans="1:3" x14ac:dyDescent="0.25">
      <c r="A2850">
        <v>12</v>
      </c>
      <c r="B2850">
        <v>0</v>
      </c>
      <c r="C2850">
        <v>404</v>
      </c>
    </row>
    <row r="2851" spans="1:3" x14ac:dyDescent="0.25">
      <c r="A2851">
        <v>12</v>
      </c>
      <c r="B2851">
        <v>0</v>
      </c>
      <c r="C2851">
        <v>404</v>
      </c>
    </row>
    <row r="2852" spans="1:3" x14ac:dyDescent="0.25">
      <c r="A2852">
        <v>14</v>
      </c>
      <c r="B2852">
        <v>0</v>
      </c>
      <c r="C2852">
        <v>404</v>
      </c>
    </row>
    <row r="2853" spans="1:3" x14ac:dyDescent="0.25">
      <c r="A2853">
        <v>12</v>
      </c>
      <c r="B2853">
        <v>0</v>
      </c>
      <c r="C2853">
        <v>404</v>
      </c>
    </row>
    <row r="2854" spans="1:3" x14ac:dyDescent="0.25">
      <c r="A2854">
        <v>13</v>
      </c>
      <c r="B2854">
        <v>0</v>
      </c>
      <c r="C2854">
        <v>404</v>
      </c>
    </row>
    <row r="2855" spans="1:3" x14ac:dyDescent="0.25">
      <c r="A2855">
        <v>12</v>
      </c>
      <c r="B2855">
        <v>0</v>
      </c>
      <c r="C2855">
        <v>404</v>
      </c>
    </row>
    <row r="2856" spans="1:3" x14ac:dyDescent="0.25">
      <c r="A2856">
        <v>13</v>
      </c>
      <c r="B2856">
        <v>0</v>
      </c>
      <c r="C2856">
        <v>404</v>
      </c>
    </row>
    <row r="2857" spans="1:3" x14ac:dyDescent="0.25">
      <c r="A2857">
        <v>12</v>
      </c>
      <c r="B2857">
        <v>0</v>
      </c>
      <c r="C2857">
        <v>330</v>
      </c>
    </row>
    <row r="2858" spans="1:3" x14ac:dyDescent="0.25">
      <c r="A2858">
        <v>14</v>
      </c>
      <c r="B2858">
        <v>0</v>
      </c>
      <c r="C2858">
        <v>330</v>
      </c>
    </row>
    <row r="2859" spans="1:3" x14ac:dyDescent="0.25">
      <c r="A2859">
        <v>14</v>
      </c>
      <c r="B2859">
        <v>0</v>
      </c>
      <c r="C2859">
        <v>330</v>
      </c>
    </row>
    <row r="2860" spans="1:3" x14ac:dyDescent="0.25">
      <c r="A2860">
        <v>12</v>
      </c>
      <c r="B2860">
        <v>0</v>
      </c>
      <c r="C2860">
        <v>330</v>
      </c>
    </row>
    <row r="2861" spans="1:3" x14ac:dyDescent="0.25">
      <c r="A2861">
        <v>13</v>
      </c>
      <c r="B2861">
        <v>0</v>
      </c>
      <c r="C2861">
        <v>330</v>
      </c>
    </row>
    <row r="2862" spans="1:3" x14ac:dyDescent="0.25">
      <c r="A2862">
        <v>12</v>
      </c>
      <c r="B2862">
        <v>0</v>
      </c>
      <c r="C2862">
        <v>330</v>
      </c>
    </row>
    <row r="2863" spans="1:3" x14ac:dyDescent="0.25">
      <c r="A2863">
        <v>11</v>
      </c>
      <c r="B2863">
        <v>0</v>
      </c>
      <c r="C2863">
        <v>330</v>
      </c>
    </row>
    <row r="2864" spans="1:3" x14ac:dyDescent="0.25">
      <c r="A2864">
        <v>14</v>
      </c>
      <c r="B2864">
        <v>0</v>
      </c>
      <c r="C2864">
        <v>330</v>
      </c>
    </row>
    <row r="2865" spans="1:3" x14ac:dyDescent="0.25">
      <c r="A2865">
        <v>13</v>
      </c>
      <c r="B2865">
        <v>0</v>
      </c>
      <c r="C2865">
        <v>366</v>
      </c>
    </row>
    <row r="2866" spans="1:3" x14ac:dyDescent="0.25">
      <c r="A2866">
        <v>14</v>
      </c>
      <c r="B2866">
        <v>0</v>
      </c>
      <c r="C2866">
        <v>366</v>
      </c>
    </row>
    <row r="2867" spans="1:3" x14ac:dyDescent="0.25">
      <c r="A2867">
        <v>11</v>
      </c>
      <c r="B2867">
        <v>0</v>
      </c>
      <c r="C2867">
        <v>366</v>
      </c>
    </row>
    <row r="2868" spans="1:3" x14ac:dyDescent="0.25">
      <c r="A2868">
        <v>14</v>
      </c>
      <c r="B2868">
        <v>0</v>
      </c>
      <c r="C2868">
        <v>366</v>
      </c>
    </row>
    <row r="2869" spans="1:3" x14ac:dyDescent="0.25">
      <c r="A2869">
        <v>13</v>
      </c>
      <c r="B2869">
        <v>0</v>
      </c>
      <c r="C2869">
        <v>366</v>
      </c>
    </row>
    <row r="2870" spans="1:3" x14ac:dyDescent="0.25">
      <c r="A2870">
        <v>12</v>
      </c>
      <c r="B2870">
        <v>0</v>
      </c>
      <c r="C2870">
        <v>366</v>
      </c>
    </row>
    <row r="2871" spans="1:3" x14ac:dyDescent="0.25">
      <c r="A2871">
        <v>15</v>
      </c>
      <c r="B2871">
        <v>0</v>
      </c>
      <c r="C2871">
        <v>366</v>
      </c>
    </row>
    <row r="2872" spans="1:3" x14ac:dyDescent="0.25">
      <c r="A2872">
        <v>13</v>
      </c>
      <c r="B2872">
        <v>0</v>
      </c>
      <c r="C2872">
        <v>356</v>
      </c>
    </row>
    <row r="2873" spans="1:3" x14ac:dyDescent="0.25">
      <c r="A2873">
        <v>15</v>
      </c>
      <c r="B2873">
        <v>0</v>
      </c>
      <c r="C2873">
        <v>356</v>
      </c>
    </row>
    <row r="2874" spans="1:3" x14ac:dyDescent="0.25">
      <c r="A2874">
        <v>12</v>
      </c>
      <c r="B2874">
        <v>0</v>
      </c>
      <c r="C2874">
        <v>356</v>
      </c>
    </row>
    <row r="2875" spans="1:3" x14ac:dyDescent="0.25">
      <c r="A2875">
        <v>12</v>
      </c>
      <c r="B2875">
        <v>0</v>
      </c>
      <c r="C2875">
        <v>356</v>
      </c>
    </row>
    <row r="2876" spans="1:3" x14ac:dyDescent="0.25">
      <c r="A2876">
        <v>12</v>
      </c>
      <c r="B2876">
        <v>0</v>
      </c>
      <c r="C2876">
        <v>356</v>
      </c>
    </row>
    <row r="2877" spans="1:3" x14ac:dyDescent="0.25">
      <c r="A2877">
        <v>14</v>
      </c>
      <c r="B2877">
        <v>0</v>
      </c>
      <c r="C2877">
        <v>356</v>
      </c>
    </row>
    <row r="2878" spans="1:3" x14ac:dyDescent="0.25">
      <c r="A2878">
        <v>12</v>
      </c>
      <c r="B2878">
        <v>0</v>
      </c>
      <c r="C2878">
        <v>356</v>
      </c>
    </row>
    <row r="2879" spans="1:3" x14ac:dyDescent="0.25">
      <c r="A2879">
        <v>13</v>
      </c>
      <c r="B2879">
        <v>0</v>
      </c>
      <c r="C2879">
        <v>361</v>
      </c>
    </row>
    <row r="2880" spans="1:3" x14ac:dyDescent="0.25">
      <c r="A2880">
        <v>12</v>
      </c>
      <c r="B2880">
        <v>0</v>
      </c>
      <c r="C2880">
        <v>361</v>
      </c>
    </row>
    <row r="2881" spans="1:3" x14ac:dyDescent="0.25">
      <c r="A2881">
        <v>12</v>
      </c>
      <c r="B2881">
        <v>0</v>
      </c>
      <c r="C2881">
        <v>361</v>
      </c>
    </row>
    <row r="2882" spans="1:3" x14ac:dyDescent="0.25">
      <c r="A2882">
        <v>13</v>
      </c>
      <c r="B2882">
        <v>0</v>
      </c>
      <c r="C2882">
        <v>361</v>
      </c>
    </row>
    <row r="2883" spans="1:3" x14ac:dyDescent="0.25">
      <c r="A2883">
        <v>12</v>
      </c>
      <c r="B2883">
        <v>0</v>
      </c>
      <c r="C2883">
        <v>361</v>
      </c>
    </row>
    <row r="2884" spans="1:3" x14ac:dyDescent="0.25">
      <c r="A2884">
        <v>13</v>
      </c>
      <c r="B2884">
        <v>0</v>
      </c>
      <c r="C2884">
        <v>361</v>
      </c>
    </row>
    <row r="2885" spans="1:3" x14ac:dyDescent="0.25">
      <c r="A2885">
        <v>12</v>
      </c>
      <c r="B2885">
        <v>0</v>
      </c>
      <c r="C2885">
        <v>361</v>
      </c>
    </row>
    <row r="2886" spans="1:3" x14ac:dyDescent="0.25">
      <c r="A2886">
        <v>13</v>
      </c>
      <c r="B2886">
        <v>0</v>
      </c>
      <c r="C2886">
        <v>361</v>
      </c>
    </row>
    <row r="2887" spans="1:3" x14ac:dyDescent="0.25">
      <c r="A2887">
        <v>14</v>
      </c>
      <c r="B2887">
        <v>0</v>
      </c>
      <c r="C2887">
        <v>345</v>
      </c>
    </row>
    <row r="2888" spans="1:3" x14ac:dyDescent="0.25">
      <c r="A2888">
        <v>14</v>
      </c>
      <c r="B2888">
        <v>0</v>
      </c>
      <c r="C2888">
        <v>345</v>
      </c>
    </row>
    <row r="2889" spans="1:3" x14ac:dyDescent="0.25">
      <c r="A2889">
        <v>12</v>
      </c>
      <c r="B2889">
        <v>0</v>
      </c>
      <c r="C2889">
        <v>345</v>
      </c>
    </row>
    <row r="2890" spans="1:3" x14ac:dyDescent="0.25">
      <c r="A2890">
        <v>13</v>
      </c>
      <c r="B2890">
        <v>0</v>
      </c>
      <c r="C2890">
        <v>345</v>
      </c>
    </row>
    <row r="2891" spans="1:3" x14ac:dyDescent="0.25">
      <c r="A2891">
        <v>15</v>
      </c>
      <c r="B2891">
        <v>0</v>
      </c>
      <c r="C2891">
        <v>345</v>
      </c>
    </row>
    <row r="2892" spans="1:3" x14ac:dyDescent="0.25">
      <c r="A2892">
        <v>14</v>
      </c>
      <c r="B2892">
        <v>0</v>
      </c>
      <c r="C2892">
        <v>345</v>
      </c>
    </row>
    <row r="2893" spans="1:3" x14ac:dyDescent="0.25">
      <c r="A2893">
        <v>12</v>
      </c>
      <c r="B2893">
        <v>0</v>
      </c>
      <c r="C2893">
        <v>345</v>
      </c>
    </row>
    <row r="2894" spans="1:3" x14ac:dyDescent="0.25">
      <c r="A2894">
        <v>12</v>
      </c>
      <c r="B2894">
        <v>0</v>
      </c>
      <c r="C2894">
        <v>421</v>
      </c>
    </row>
    <row r="2895" spans="1:3" x14ac:dyDescent="0.25">
      <c r="A2895">
        <v>13</v>
      </c>
      <c r="B2895">
        <v>0</v>
      </c>
      <c r="C2895">
        <v>421</v>
      </c>
    </row>
    <row r="2896" spans="1:3" x14ac:dyDescent="0.25">
      <c r="A2896">
        <v>11</v>
      </c>
      <c r="B2896">
        <v>0</v>
      </c>
      <c r="C2896">
        <v>421</v>
      </c>
    </row>
    <row r="2897" spans="1:3" x14ac:dyDescent="0.25">
      <c r="A2897">
        <v>13</v>
      </c>
      <c r="B2897">
        <v>0</v>
      </c>
      <c r="C2897">
        <v>421</v>
      </c>
    </row>
    <row r="2898" spans="1:3" x14ac:dyDescent="0.25">
      <c r="A2898">
        <v>12</v>
      </c>
      <c r="B2898">
        <v>0</v>
      </c>
      <c r="C2898">
        <v>421</v>
      </c>
    </row>
    <row r="2899" spans="1:3" x14ac:dyDescent="0.25">
      <c r="A2899">
        <v>13</v>
      </c>
      <c r="B2899">
        <v>0</v>
      </c>
      <c r="C2899">
        <v>421</v>
      </c>
    </row>
    <row r="2900" spans="1:3" x14ac:dyDescent="0.25">
      <c r="A2900">
        <v>13</v>
      </c>
      <c r="B2900">
        <v>0</v>
      </c>
      <c r="C2900">
        <v>421</v>
      </c>
    </row>
    <row r="2901" spans="1:3" x14ac:dyDescent="0.25">
      <c r="A2901">
        <v>14</v>
      </c>
      <c r="B2901">
        <v>0</v>
      </c>
      <c r="C2901">
        <v>421</v>
      </c>
    </row>
    <row r="2902" spans="1:3" x14ac:dyDescent="0.25">
      <c r="A2902">
        <v>13</v>
      </c>
      <c r="B2902">
        <v>0</v>
      </c>
      <c r="C2902">
        <v>404</v>
      </c>
    </row>
    <row r="2903" spans="1:3" x14ac:dyDescent="0.25">
      <c r="A2903">
        <v>12</v>
      </c>
      <c r="B2903">
        <v>0</v>
      </c>
      <c r="C2903">
        <v>404</v>
      </c>
    </row>
    <row r="2904" spans="1:3" x14ac:dyDescent="0.25">
      <c r="A2904">
        <v>12</v>
      </c>
      <c r="B2904">
        <v>0</v>
      </c>
      <c r="C2904">
        <v>404</v>
      </c>
    </row>
    <row r="2905" spans="1:3" x14ac:dyDescent="0.25">
      <c r="A2905">
        <v>14</v>
      </c>
      <c r="B2905">
        <v>0</v>
      </c>
      <c r="C2905">
        <v>404</v>
      </c>
    </row>
    <row r="2906" spans="1:3" x14ac:dyDescent="0.25">
      <c r="A2906">
        <v>12</v>
      </c>
      <c r="B2906">
        <v>0</v>
      </c>
      <c r="C2906">
        <v>404</v>
      </c>
    </row>
    <row r="2907" spans="1:3" x14ac:dyDescent="0.25">
      <c r="A2907">
        <v>12</v>
      </c>
      <c r="B2907">
        <v>0</v>
      </c>
      <c r="C2907">
        <v>404</v>
      </c>
    </row>
    <row r="2908" spans="1:3" x14ac:dyDescent="0.25">
      <c r="A2908">
        <v>13</v>
      </c>
      <c r="B2908">
        <v>0</v>
      </c>
      <c r="C2908">
        <v>404</v>
      </c>
    </row>
    <row r="2909" spans="1:3" x14ac:dyDescent="0.25">
      <c r="A2909">
        <v>12</v>
      </c>
      <c r="B2909">
        <v>0</v>
      </c>
      <c r="C2909">
        <v>404</v>
      </c>
    </row>
    <row r="2910" spans="1:3" x14ac:dyDescent="0.25">
      <c r="A2910">
        <v>12</v>
      </c>
      <c r="B2910">
        <v>0</v>
      </c>
      <c r="C2910">
        <v>323</v>
      </c>
    </row>
    <row r="2911" spans="1:3" x14ac:dyDescent="0.25">
      <c r="A2911">
        <v>12</v>
      </c>
      <c r="B2911">
        <v>0</v>
      </c>
      <c r="C2911">
        <v>323</v>
      </c>
    </row>
    <row r="2912" spans="1:3" x14ac:dyDescent="0.25">
      <c r="A2912">
        <v>14</v>
      </c>
      <c r="B2912">
        <v>0</v>
      </c>
      <c r="C2912">
        <v>323</v>
      </c>
    </row>
    <row r="2913" spans="1:3" x14ac:dyDescent="0.25">
      <c r="A2913">
        <v>12</v>
      </c>
      <c r="B2913">
        <v>0</v>
      </c>
      <c r="C2913">
        <v>323</v>
      </c>
    </row>
    <row r="2914" spans="1:3" x14ac:dyDescent="0.25">
      <c r="A2914">
        <v>13</v>
      </c>
      <c r="B2914">
        <v>0</v>
      </c>
      <c r="C2914">
        <v>323</v>
      </c>
    </row>
    <row r="2915" spans="1:3" x14ac:dyDescent="0.25">
      <c r="A2915">
        <v>13</v>
      </c>
      <c r="B2915">
        <v>0</v>
      </c>
      <c r="C2915">
        <v>323</v>
      </c>
    </row>
    <row r="2916" spans="1:3" x14ac:dyDescent="0.25">
      <c r="A2916">
        <v>13</v>
      </c>
      <c r="B2916">
        <v>0</v>
      </c>
      <c r="C2916">
        <v>323</v>
      </c>
    </row>
    <row r="2917" spans="1:3" x14ac:dyDescent="0.25">
      <c r="A2917">
        <v>12</v>
      </c>
      <c r="B2917">
        <v>0</v>
      </c>
      <c r="C2917">
        <v>323</v>
      </c>
    </row>
    <row r="2918" spans="1:3" x14ac:dyDescent="0.25">
      <c r="A2918">
        <v>12</v>
      </c>
      <c r="B2918">
        <v>0</v>
      </c>
      <c r="C2918">
        <v>316</v>
      </c>
    </row>
    <row r="2919" spans="1:3" x14ac:dyDescent="0.25">
      <c r="A2919">
        <v>11</v>
      </c>
      <c r="B2919">
        <v>0</v>
      </c>
      <c r="C2919">
        <v>316</v>
      </c>
    </row>
    <row r="2920" spans="1:3" x14ac:dyDescent="0.25">
      <c r="A2920">
        <v>15</v>
      </c>
      <c r="B2920">
        <v>0</v>
      </c>
      <c r="C2920">
        <v>316</v>
      </c>
    </row>
    <row r="2921" spans="1:3" x14ac:dyDescent="0.25">
      <c r="A2921">
        <v>11</v>
      </c>
      <c r="B2921">
        <v>0</v>
      </c>
      <c r="C2921">
        <v>316</v>
      </c>
    </row>
    <row r="2922" spans="1:3" x14ac:dyDescent="0.25">
      <c r="A2922">
        <v>12</v>
      </c>
      <c r="B2922">
        <v>0</v>
      </c>
      <c r="C2922">
        <v>316</v>
      </c>
    </row>
    <row r="2923" spans="1:3" x14ac:dyDescent="0.25">
      <c r="A2923">
        <v>13</v>
      </c>
      <c r="B2923">
        <v>0</v>
      </c>
      <c r="C2923">
        <v>316</v>
      </c>
    </row>
    <row r="2924" spans="1:3" x14ac:dyDescent="0.25">
      <c r="A2924">
        <v>12</v>
      </c>
      <c r="B2924">
        <v>0</v>
      </c>
      <c r="C2924">
        <v>316</v>
      </c>
    </row>
    <row r="2925" spans="1:3" x14ac:dyDescent="0.25">
      <c r="A2925">
        <v>11</v>
      </c>
      <c r="B2925">
        <v>0</v>
      </c>
      <c r="C2925">
        <v>316</v>
      </c>
    </row>
    <row r="2926" spans="1:3" x14ac:dyDescent="0.25">
      <c r="A2926">
        <v>14</v>
      </c>
      <c r="B2926">
        <v>0</v>
      </c>
      <c r="C2926">
        <v>307</v>
      </c>
    </row>
    <row r="2927" spans="1:3" x14ac:dyDescent="0.25">
      <c r="A2927">
        <v>12</v>
      </c>
      <c r="B2927">
        <v>0</v>
      </c>
      <c r="C2927">
        <v>307</v>
      </c>
    </row>
    <row r="2928" spans="1:3" x14ac:dyDescent="0.25">
      <c r="A2928">
        <v>12</v>
      </c>
      <c r="B2928">
        <v>0</v>
      </c>
      <c r="C2928">
        <v>307</v>
      </c>
    </row>
    <row r="2929" spans="1:3" x14ac:dyDescent="0.25">
      <c r="A2929">
        <v>12</v>
      </c>
      <c r="B2929">
        <v>0</v>
      </c>
      <c r="C2929">
        <v>307</v>
      </c>
    </row>
    <row r="2930" spans="1:3" x14ac:dyDescent="0.25">
      <c r="A2930">
        <v>11</v>
      </c>
      <c r="B2930">
        <v>0</v>
      </c>
      <c r="C2930">
        <v>307</v>
      </c>
    </row>
    <row r="2931" spans="1:3" x14ac:dyDescent="0.25">
      <c r="A2931">
        <v>12</v>
      </c>
      <c r="B2931">
        <v>0</v>
      </c>
      <c r="C2931">
        <v>307</v>
      </c>
    </row>
    <row r="2932" spans="1:3" x14ac:dyDescent="0.25">
      <c r="A2932">
        <v>12</v>
      </c>
      <c r="B2932">
        <v>0</v>
      </c>
      <c r="C2932">
        <v>307</v>
      </c>
    </row>
    <row r="2933" spans="1:3" x14ac:dyDescent="0.25">
      <c r="A2933">
        <v>12</v>
      </c>
      <c r="B2933">
        <v>0</v>
      </c>
      <c r="C2933">
        <v>307</v>
      </c>
    </row>
    <row r="2934" spans="1:3" x14ac:dyDescent="0.25">
      <c r="A2934">
        <v>13</v>
      </c>
      <c r="B2934">
        <v>0</v>
      </c>
      <c r="C2934">
        <v>328</v>
      </c>
    </row>
    <row r="2935" spans="1:3" x14ac:dyDescent="0.25">
      <c r="A2935">
        <v>13</v>
      </c>
      <c r="B2935">
        <v>0</v>
      </c>
      <c r="C2935">
        <v>328</v>
      </c>
    </row>
    <row r="2936" spans="1:3" x14ac:dyDescent="0.25">
      <c r="A2936">
        <v>13</v>
      </c>
      <c r="B2936">
        <v>0</v>
      </c>
      <c r="C2936">
        <v>328</v>
      </c>
    </row>
    <row r="2937" spans="1:3" x14ac:dyDescent="0.25">
      <c r="A2937">
        <v>13</v>
      </c>
      <c r="B2937">
        <v>0</v>
      </c>
      <c r="C2937">
        <v>328</v>
      </c>
    </row>
    <row r="2938" spans="1:3" x14ac:dyDescent="0.25">
      <c r="A2938">
        <v>11</v>
      </c>
      <c r="B2938">
        <v>0</v>
      </c>
      <c r="C2938">
        <v>328</v>
      </c>
    </row>
    <row r="2939" spans="1:3" x14ac:dyDescent="0.25">
      <c r="A2939">
        <v>11</v>
      </c>
      <c r="B2939">
        <v>0</v>
      </c>
      <c r="C2939">
        <v>328</v>
      </c>
    </row>
    <row r="2940" spans="1:3" x14ac:dyDescent="0.25">
      <c r="A2940">
        <v>12</v>
      </c>
      <c r="B2940">
        <v>0</v>
      </c>
      <c r="C2940">
        <v>328</v>
      </c>
    </row>
    <row r="2941" spans="1:3" x14ac:dyDescent="0.25">
      <c r="A2941">
        <v>15</v>
      </c>
      <c r="B2941">
        <v>0</v>
      </c>
      <c r="C2941">
        <v>328</v>
      </c>
    </row>
    <row r="2942" spans="1:3" x14ac:dyDescent="0.25">
      <c r="A2942">
        <v>12</v>
      </c>
      <c r="B2942">
        <v>0</v>
      </c>
      <c r="C2942">
        <v>344</v>
      </c>
    </row>
    <row r="2943" spans="1:3" x14ac:dyDescent="0.25">
      <c r="A2943">
        <v>13</v>
      </c>
      <c r="B2943">
        <v>0</v>
      </c>
      <c r="C2943">
        <v>344</v>
      </c>
    </row>
    <row r="2944" spans="1:3" x14ac:dyDescent="0.25">
      <c r="A2944">
        <v>12</v>
      </c>
      <c r="B2944">
        <v>0</v>
      </c>
      <c r="C2944">
        <v>344</v>
      </c>
    </row>
    <row r="2945" spans="1:3" x14ac:dyDescent="0.25">
      <c r="A2945">
        <v>13</v>
      </c>
      <c r="B2945">
        <v>0</v>
      </c>
      <c r="C2945">
        <v>344</v>
      </c>
    </row>
    <row r="2946" spans="1:3" x14ac:dyDescent="0.25">
      <c r="A2946">
        <v>14</v>
      </c>
      <c r="B2946">
        <v>0</v>
      </c>
      <c r="C2946">
        <v>344</v>
      </c>
    </row>
    <row r="2947" spans="1:3" x14ac:dyDescent="0.25">
      <c r="A2947">
        <v>12</v>
      </c>
      <c r="B2947">
        <v>0</v>
      </c>
      <c r="C2947">
        <v>344</v>
      </c>
    </row>
    <row r="2948" spans="1:3" x14ac:dyDescent="0.25">
      <c r="A2948">
        <v>13</v>
      </c>
      <c r="B2948">
        <v>0</v>
      </c>
      <c r="C2948">
        <v>344</v>
      </c>
    </row>
    <row r="2949" spans="1:3" x14ac:dyDescent="0.25">
      <c r="A2949">
        <v>11</v>
      </c>
      <c r="B2949">
        <v>0</v>
      </c>
      <c r="C2949">
        <v>344</v>
      </c>
    </row>
    <row r="2950" spans="1:3" x14ac:dyDescent="0.25">
      <c r="A2950">
        <v>14</v>
      </c>
      <c r="B2950">
        <v>0</v>
      </c>
      <c r="C2950">
        <v>360</v>
      </c>
    </row>
    <row r="2951" spans="1:3" x14ac:dyDescent="0.25">
      <c r="A2951">
        <v>14</v>
      </c>
      <c r="B2951">
        <v>0</v>
      </c>
      <c r="C2951">
        <v>360</v>
      </c>
    </row>
    <row r="2952" spans="1:3" x14ac:dyDescent="0.25">
      <c r="A2952">
        <v>12</v>
      </c>
      <c r="B2952">
        <v>0</v>
      </c>
      <c r="C2952">
        <v>360</v>
      </c>
    </row>
    <row r="2953" spans="1:3" x14ac:dyDescent="0.25">
      <c r="A2953">
        <v>12</v>
      </c>
      <c r="B2953">
        <v>0</v>
      </c>
      <c r="C2953">
        <v>360</v>
      </c>
    </row>
    <row r="2954" spans="1:3" x14ac:dyDescent="0.25">
      <c r="A2954">
        <v>12</v>
      </c>
      <c r="B2954">
        <v>0</v>
      </c>
      <c r="C2954">
        <v>360</v>
      </c>
    </row>
    <row r="2955" spans="1:3" x14ac:dyDescent="0.25">
      <c r="A2955">
        <v>12</v>
      </c>
      <c r="B2955">
        <v>0</v>
      </c>
      <c r="C2955">
        <v>360</v>
      </c>
    </row>
    <row r="2956" spans="1:3" x14ac:dyDescent="0.25">
      <c r="A2956">
        <v>11</v>
      </c>
      <c r="B2956">
        <v>0</v>
      </c>
      <c r="C2956">
        <v>360</v>
      </c>
    </row>
    <row r="2957" spans="1:3" x14ac:dyDescent="0.25">
      <c r="A2957">
        <v>14</v>
      </c>
      <c r="B2957">
        <v>0</v>
      </c>
      <c r="C2957">
        <v>360</v>
      </c>
    </row>
    <row r="2958" spans="1:3" x14ac:dyDescent="0.25">
      <c r="A2958">
        <v>15</v>
      </c>
      <c r="B2958">
        <v>0</v>
      </c>
      <c r="C2958">
        <v>395</v>
      </c>
    </row>
    <row r="2959" spans="1:3" x14ac:dyDescent="0.25">
      <c r="A2959">
        <v>13</v>
      </c>
      <c r="B2959">
        <v>0</v>
      </c>
      <c r="C2959">
        <v>395</v>
      </c>
    </row>
    <row r="2960" spans="1:3" x14ac:dyDescent="0.25">
      <c r="A2960">
        <v>12</v>
      </c>
      <c r="B2960">
        <v>0</v>
      </c>
      <c r="C2960">
        <v>395</v>
      </c>
    </row>
    <row r="2961" spans="1:3" x14ac:dyDescent="0.25">
      <c r="A2961">
        <v>13</v>
      </c>
      <c r="B2961">
        <v>0</v>
      </c>
      <c r="C2961">
        <v>395</v>
      </c>
    </row>
    <row r="2962" spans="1:3" x14ac:dyDescent="0.25">
      <c r="A2962">
        <v>13</v>
      </c>
      <c r="B2962">
        <v>0</v>
      </c>
      <c r="C2962">
        <v>395</v>
      </c>
    </row>
    <row r="2963" spans="1:3" x14ac:dyDescent="0.25">
      <c r="A2963">
        <v>14</v>
      </c>
      <c r="B2963">
        <v>0</v>
      </c>
      <c r="C2963">
        <v>395</v>
      </c>
    </row>
    <row r="2964" spans="1:3" x14ac:dyDescent="0.25">
      <c r="A2964">
        <v>12</v>
      </c>
      <c r="B2964">
        <v>0</v>
      </c>
      <c r="C2964">
        <v>395</v>
      </c>
    </row>
    <row r="2965" spans="1:3" x14ac:dyDescent="0.25">
      <c r="A2965">
        <v>12</v>
      </c>
      <c r="B2965">
        <v>0</v>
      </c>
      <c r="C2965">
        <v>395</v>
      </c>
    </row>
    <row r="2966" spans="1:3" x14ac:dyDescent="0.25">
      <c r="A2966">
        <v>13</v>
      </c>
      <c r="B2966">
        <v>0</v>
      </c>
      <c r="C2966">
        <v>321</v>
      </c>
    </row>
    <row r="2967" spans="1:3" x14ac:dyDescent="0.25">
      <c r="A2967">
        <v>13</v>
      </c>
      <c r="B2967">
        <v>0</v>
      </c>
      <c r="C2967">
        <v>321</v>
      </c>
    </row>
    <row r="2968" spans="1:3" x14ac:dyDescent="0.25">
      <c r="A2968">
        <v>12</v>
      </c>
      <c r="B2968">
        <v>0</v>
      </c>
      <c r="C2968">
        <v>321</v>
      </c>
    </row>
    <row r="2969" spans="1:3" x14ac:dyDescent="0.25">
      <c r="A2969">
        <v>12</v>
      </c>
      <c r="B2969">
        <v>0</v>
      </c>
      <c r="C2969">
        <v>321</v>
      </c>
    </row>
    <row r="2970" spans="1:3" x14ac:dyDescent="0.25">
      <c r="A2970">
        <v>12</v>
      </c>
      <c r="B2970">
        <v>0</v>
      </c>
      <c r="C2970">
        <v>321</v>
      </c>
    </row>
    <row r="2971" spans="1:3" x14ac:dyDescent="0.25">
      <c r="A2971">
        <v>13</v>
      </c>
      <c r="B2971">
        <v>0</v>
      </c>
      <c r="C2971">
        <v>321</v>
      </c>
    </row>
    <row r="2972" spans="1:3" x14ac:dyDescent="0.25">
      <c r="A2972">
        <v>12</v>
      </c>
      <c r="B2972">
        <v>0</v>
      </c>
      <c r="C2972">
        <v>321</v>
      </c>
    </row>
    <row r="2973" spans="1:3" x14ac:dyDescent="0.25">
      <c r="A2973">
        <v>13</v>
      </c>
      <c r="B2973">
        <v>0</v>
      </c>
      <c r="C2973">
        <v>321</v>
      </c>
    </row>
    <row r="2974" spans="1:3" x14ac:dyDescent="0.25">
      <c r="A2974">
        <v>12</v>
      </c>
      <c r="B2974">
        <v>0</v>
      </c>
      <c r="C2974">
        <v>336</v>
      </c>
    </row>
    <row r="2975" spans="1:3" x14ac:dyDescent="0.25">
      <c r="A2975">
        <v>16</v>
      </c>
      <c r="B2975">
        <v>0</v>
      </c>
      <c r="C2975">
        <v>336</v>
      </c>
    </row>
    <row r="2976" spans="1:3" x14ac:dyDescent="0.25">
      <c r="A2976">
        <v>12</v>
      </c>
      <c r="B2976">
        <v>0</v>
      </c>
      <c r="C2976">
        <v>336</v>
      </c>
    </row>
    <row r="2977" spans="1:3" x14ac:dyDescent="0.25">
      <c r="A2977">
        <v>14</v>
      </c>
      <c r="B2977">
        <v>0</v>
      </c>
      <c r="C2977">
        <v>336</v>
      </c>
    </row>
    <row r="2978" spans="1:3" x14ac:dyDescent="0.25">
      <c r="A2978">
        <v>11</v>
      </c>
      <c r="B2978">
        <v>0</v>
      </c>
      <c r="C2978">
        <v>336</v>
      </c>
    </row>
    <row r="2979" spans="1:3" x14ac:dyDescent="0.25">
      <c r="A2979">
        <v>13</v>
      </c>
      <c r="B2979">
        <v>0</v>
      </c>
      <c r="C2979">
        <v>336</v>
      </c>
    </row>
    <row r="2980" spans="1:3" x14ac:dyDescent="0.25">
      <c r="A2980">
        <v>11</v>
      </c>
      <c r="B2980">
        <v>0</v>
      </c>
      <c r="C2980">
        <v>336</v>
      </c>
    </row>
    <row r="2981" spans="1:3" x14ac:dyDescent="0.25">
      <c r="A2981">
        <v>11</v>
      </c>
      <c r="B2981">
        <v>0</v>
      </c>
      <c r="C2981">
        <v>336</v>
      </c>
    </row>
    <row r="2982" spans="1:3" x14ac:dyDescent="0.25">
      <c r="A2982">
        <v>12</v>
      </c>
      <c r="B2982">
        <v>0</v>
      </c>
      <c r="C2982">
        <v>334</v>
      </c>
    </row>
    <row r="2983" spans="1:3" x14ac:dyDescent="0.25">
      <c r="A2983">
        <v>12</v>
      </c>
      <c r="B2983">
        <v>0</v>
      </c>
      <c r="C2983">
        <v>334</v>
      </c>
    </row>
    <row r="2984" spans="1:3" x14ac:dyDescent="0.25">
      <c r="A2984">
        <v>13</v>
      </c>
      <c r="B2984">
        <v>0</v>
      </c>
      <c r="C2984">
        <v>334</v>
      </c>
    </row>
    <row r="2985" spans="1:3" x14ac:dyDescent="0.25">
      <c r="A2985">
        <v>14</v>
      </c>
      <c r="B2985">
        <v>0</v>
      </c>
      <c r="C2985">
        <v>334</v>
      </c>
    </row>
    <row r="2986" spans="1:3" x14ac:dyDescent="0.25">
      <c r="A2986">
        <v>14</v>
      </c>
      <c r="B2986">
        <v>0</v>
      </c>
      <c r="C2986">
        <v>334</v>
      </c>
    </row>
    <row r="2987" spans="1:3" x14ac:dyDescent="0.25">
      <c r="A2987">
        <v>13</v>
      </c>
      <c r="B2987">
        <v>0</v>
      </c>
      <c r="C2987">
        <v>334</v>
      </c>
    </row>
    <row r="2988" spans="1:3" x14ac:dyDescent="0.25">
      <c r="A2988">
        <v>12</v>
      </c>
      <c r="B2988">
        <v>0</v>
      </c>
      <c r="C2988">
        <v>334</v>
      </c>
    </row>
    <row r="2989" spans="1:3" x14ac:dyDescent="0.25">
      <c r="A2989">
        <v>13</v>
      </c>
      <c r="B2989">
        <v>0</v>
      </c>
      <c r="C2989">
        <v>334</v>
      </c>
    </row>
    <row r="2990" spans="1:3" x14ac:dyDescent="0.25">
      <c r="A2990">
        <v>16</v>
      </c>
      <c r="B2990">
        <v>0</v>
      </c>
      <c r="C2990">
        <v>324</v>
      </c>
    </row>
    <row r="2991" spans="1:3" x14ac:dyDescent="0.25">
      <c r="A2991">
        <v>12</v>
      </c>
      <c r="B2991">
        <v>0</v>
      </c>
      <c r="C2991">
        <v>324</v>
      </c>
    </row>
    <row r="2992" spans="1:3" x14ac:dyDescent="0.25">
      <c r="A2992">
        <v>12</v>
      </c>
      <c r="B2992">
        <v>0</v>
      </c>
      <c r="C2992">
        <v>324</v>
      </c>
    </row>
    <row r="2993" spans="1:3" x14ac:dyDescent="0.25">
      <c r="A2993">
        <v>12</v>
      </c>
      <c r="B2993">
        <v>0</v>
      </c>
      <c r="C2993">
        <v>324</v>
      </c>
    </row>
    <row r="2994" spans="1:3" x14ac:dyDescent="0.25">
      <c r="A2994">
        <v>13</v>
      </c>
      <c r="B2994">
        <v>0</v>
      </c>
      <c r="C2994">
        <v>324</v>
      </c>
    </row>
    <row r="2995" spans="1:3" x14ac:dyDescent="0.25">
      <c r="A2995">
        <v>11</v>
      </c>
      <c r="B2995">
        <v>0</v>
      </c>
      <c r="C2995">
        <v>324</v>
      </c>
    </row>
    <row r="2996" spans="1:3" x14ac:dyDescent="0.25">
      <c r="A2996">
        <v>12</v>
      </c>
      <c r="B2996">
        <v>0</v>
      </c>
      <c r="C2996">
        <v>324</v>
      </c>
    </row>
    <row r="2997" spans="1:3" x14ac:dyDescent="0.25">
      <c r="A2997">
        <v>14</v>
      </c>
      <c r="B2997">
        <v>0</v>
      </c>
      <c r="C2997">
        <v>324</v>
      </c>
    </row>
    <row r="2998" spans="1:3" x14ac:dyDescent="0.25">
      <c r="A2998">
        <v>12</v>
      </c>
      <c r="B2998">
        <v>0</v>
      </c>
      <c r="C2998">
        <v>302</v>
      </c>
    </row>
    <row r="2999" spans="1:3" x14ac:dyDescent="0.25">
      <c r="A2999">
        <v>15</v>
      </c>
      <c r="B2999">
        <v>0</v>
      </c>
      <c r="C2999">
        <v>302</v>
      </c>
    </row>
    <row r="3000" spans="1:3" x14ac:dyDescent="0.25">
      <c r="A3000">
        <v>11</v>
      </c>
      <c r="B3000">
        <v>0</v>
      </c>
      <c r="C3000">
        <v>302</v>
      </c>
    </row>
    <row r="3001" spans="1:3" x14ac:dyDescent="0.25">
      <c r="A3001">
        <v>11</v>
      </c>
      <c r="B3001">
        <v>0</v>
      </c>
      <c r="C3001">
        <v>302</v>
      </c>
    </row>
    <row r="3002" spans="1:3" x14ac:dyDescent="0.25">
      <c r="A3002">
        <v>15</v>
      </c>
      <c r="B3002">
        <v>0</v>
      </c>
      <c r="C3002">
        <v>302</v>
      </c>
    </row>
    <row r="3003" spans="1:3" x14ac:dyDescent="0.25">
      <c r="A3003">
        <v>13</v>
      </c>
      <c r="B3003">
        <v>0</v>
      </c>
      <c r="C3003">
        <v>302</v>
      </c>
    </row>
    <row r="3004" spans="1:3" x14ac:dyDescent="0.25">
      <c r="A3004">
        <v>13</v>
      </c>
      <c r="B3004">
        <v>0</v>
      </c>
      <c r="C3004">
        <v>302</v>
      </c>
    </row>
    <row r="3005" spans="1:3" x14ac:dyDescent="0.25">
      <c r="A3005">
        <v>13</v>
      </c>
      <c r="B3005">
        <v>0</v>
      </c>
      <c r="C3005">
        <v>301</v>
      </c>
    </row>
    <row r="3006" spans="1:3" x14ac:dyDescent="0.25">
      <c r="A3006">
        <v>12</v>
      </c>
      <c r="B3006">
        <v>0</v>
      </c>
      <c r="C3006">
        <v>301</v>
      </c>
    </row>
    <row r="3007" spans="1:3" x14ac:dyDescent="0.25">
      <c r="A3007">
        <v>16</v>
      </c>
      <c r="B3007">
        <v>0</v>
      </c>
      <c r="C3007">
        <v>301</v>
      </c>
    </row>
    <row r="3008" spans="1:3" x14ac:dyDescent="0.25">
      <c r="A3008">
        <v>12</v>
      </c>
      <c r="B3008">
        <v>0</v>
      </c>
      <c r="C3008">
        <v>301</v>
      </c>
    </row>
    <row r="3009" spans="1:3" x14ac:dyDescent="0.25">
      <c r="A3009">
        <v>13</v>
      </c>
      <c r="B3009">
        <v>0</v>
      </c>
      <c r="C3009">
        <v>301</v>
      </c>
    </row>
    <row r="3010" spans="1:3" x14ac:dyDescent="0.25">
      <c r="A3010">
        <v>12</v>
      </c>
      <c r="B3010">
        <v>0</v>
      </c>
      <c r="C3010">
        <v>301</v>
      </c>
    </row>
    <row r="3011" spans="1:3" x14ac:dyDescent="0.25">
      <c r="A3011">
        <v>13</v>
      </c>
      <c r="B3011">
        <v>0</v>
      </c>
      <c r="C3011">
        <v>301</v>
      </c>
    </row>
    <row r="3012" spans="1:3" x14ac:dyDescent="0.25">
      <c r="A3012">
        <v>13</v>
      </c>
      <c r="B3012">
        <v>0</v>
      </c>
      <c r="C3012">
        <v>301</v>
      </c>
    </row>
    <row r="3013" spans="1:3" x14ac:dyDescent="0.25">
      <c r="A3013">
        <v>12</v>
      </c>
      <c r="B3013">
        <v>0</v>
      </c>
      <c r="C3013">
        <v>313</v>
      </c>
    </row>
    <row r="3014" spans="1:3" x14ac:dyDescent="0.25">
      <c r="A3014">
        <v>13</v>
      </c>
      <c r="B3014">
        <v>0</v>
      </c>
      <c r="C3014">
        <v>313</v>
      </c>
    </row>
    <row r="3015" spans="1:3" x14ac:dyDescent="0.25">
      <c r="A3015">
        <v>12</v>
      </c>
      <c r="B3015">
        <v>0</v>
      </c>
      <c r="C3015">
        <v>313</v>
      </c>
    </row>
    <row r="3016" spans="1:3" x14ac:dyDescent="0.25">
      <c r="A3016">
        <v>13</v>
      </c>
      <c r="B3016">
        <v>0</v>
      </c>
      <c r="C3016">
        <v>313</v>
      </c>
    </row>
    <row r="3017" spans="1:3" x14ac:dyDescent="0.25">
      <c r="A3017">
        <v>11</v>
      </c>
      <c r="B3017">
        <v>0</v>
      </c>
      <c r="C3017">
        <v>313</v>
      </c>
    </row>
    <row r="3018" spans="1:3" x14ac:dyDescent="0.25">
      <c r="A3018">
        <v>14</v>
      </c>
      <c r="B3018">
        <v>0</v>
      </c>
      <c r="C3018">
        <v>313</v>
      </c>
    </row>
    <row r="3019" spans="1:3" x14ac:dyDescent="0.25">
      <c r="A3019">
        <v>13</v>
      </c>
      <c r="B3019">
        <v>0</v>
      </c>
      <c r="C3019">
        <v>313</v>
      </c>
    </row>
    <row r="3020" spans="1:3" x14ac:dyDescent="0.25">
      <c r="A3020">
        <v>12</v>
      </c>
      <c r="B3020">
        <v>0</v>
      </c>
      <c r="C3020">
        <v>313</v>
      </c>
    </row>
    <row r="3021" spans="1:3" x14ac:dyDescent="0.25">
      <c r="A3021">
        <v>11</v>
      </c>
      <c r="B3021">
        <v>0</v>
      </c>
      <c r="C3021">
        <v>354</v>
      </c>
    </row>
    <row r="3022" spans="1:3" x14ac:dyDescent="0.25">
      <c r="A3022">
        <v>12</v>
      </c>
      <c r="B3022">
        <v>0</v>
      </c>
      <c r="C3022">
        <v>354</v>
      </c>
    </row>
    <row r="3023" spans="1:3" x14ac:dyDescent="0.25">
      <c r="A3023">
        <v>12</v>
      </c>
      <c r="B3023">
        <v>0</v>
      </c>
      <c r="C3023">
        <v>354</v>
      </c>
    </row>
    <row r="3024" spans="1:3" x14ac:dyDescent="0.25">
      <c r="A3024">
        <v>12</v>
      </c>
      <c r="B3024">
        <v>0</v>
      </c>
      <c r="C3024">
        <v>354</v>
      </c>
    </row>
    <row r="3025" spans="1:3" x14ac:dyDescent="0.25">
      <c r="A3025">
        <v>13</v>
      </c>
      <c r="B3025">
        <v>0</v>
      </c>
      <c r="C3025">
        <v>354</v>
      </c>
    </row>
    <row r="3026" spans="1:3" x14ac:dyDescent="0.25">
      <c r="A3026">
        <v>11</v>
      </c>
      <c r="B3026">
        <v>0</v>
      </c>
      <c r="C3026">
        <v>354</v>
      </c>
    </row>
    <row r="3027" spans="1:3" x14ac:dyDescent="0.25">
      <c r="A3027">
        <v>11</v>
      </c>
      <c r="B3027">
        <v>0</v>
      </c>
      <c r="C3027">
        <v>354</v>
      </c>
    </row>
    <row r="3028" spans="1:3" x14ac:dyDescent="0.25">
      <c r="A3028">
        <v>12</v>
      </c>
      <c r="B3028">
        <v>0</v>
      </c>
      <c r="C3028">
        <v>354</v>
      </c>
    </row>
    <row r="3029" spans="1:3" x14ac:dyDescent="0.25">
      <c r="A3029">
        <v>12</v>
      </c>
      <c r="B3029">
        <v>0</v>
      </c>
      <c r="C3029">
        <v>369</v>
      </c>
    </row>
    <row r="3030" spans="1:3" x14ac:dyDescent="0.25">
      <c r="A3030">
        <v>12</v>
      </c>
      <c r="B3030">
        <v>0</v>
      </c>
      <c r="C3030">
        <v>369</v>
      </c>
    </row>
    <row r="3031" spans="1:3" x14ac:dyDescent="0.25">
      <c r="A3031">
        <v>14</v>
      </c>
      <c r="B3031">
        <v>0</v>
      </c>
      <c r="C3031">
        <v>369</v>
      </c>
    </row>
    <row r="3032" spans="1:3" x14ac:dyDescent="0.25">
      <c r="A3032">
        <v>12</v>
      </c>
      <c r="B3032">
        <v>0</v>
      </c>
      <c r="C3032">
        <v>369</v>
      </c>
    </row>
    <row r="3033" spans="1:3" x14ac:dyDescent="0.25">
      <c r="A3033">
        <v>12</v>
      </c>
      <c r="B3033">
        <v>0</v>
      </c>
      <c r="C3033">
        <v>369</v>
      </c>
    </row>
    <row r="3034" spans="1:3" x14ac:dyDescent="0.25">
      <c r="A3034">
        <v>13</v>
      </c>
      <c r="B3034">
        <v>0</v>
      </c>
      <c r="C3034">
        <v>369</v>
      </c>
    </row>
    <row r="3035" spans="1:3" x14ac:dyDescent="0.25">
      <c r="A3035">
        <v>12</v>
      </c>
      <c r="B3035">
        <v>0</v>
      </c>
      <c r="C3035">
        <v>369</v>
      </c>
    </row>
    <row r="3036" spans="1:3" x14ac:dyDescent="0.25">
      <c r="A3036">
        <v>13</v>
      </c>
      <c r="B3036">
        <v>0</v>
      </c>
      <c r="C3036">
        <v>369</v>
      </c>
    </row>
    <row r="3037" spans="1:3" x14ac:dyDescent="0.25">
      <c r="A3037">
        <v>19</v>
      </c>
      <c r="B3037">
        <v>0</v>
      </c>
      <c r="C3037">
        <v>313</v>
      </c>
    </row>
    <row r="3038" spans="1:3" x14ac:dyDescent="0.25">
      <c r="A3038">
        <v>11</v>
      </c>
      <c r="B3038">
        <v>0</v>
      </c>
      <c r="C3038">
        <v>313</v>
      </c>
    </row>
    <row r="3039" spans="1:3" x14ac:dyDescent="0.25">
      <c r="A3039">
        <v>12</v>
      </c>
      <c r="B3039">
        <v>0</v>
      </c>
      <c r="C3039">
        <v>313</v>
      </c>
    </row>
    <row r="3040" spans="1:3" x14ac:dyDescent="0.25">
      <c r="A3040">
        <v>11</v>
      </c>
      <c r="B3040">
        <v>0</v>
      </c>
      <c r="C3040">
        <v>313</v>
      </c>
    </row>
    <row r="3041" spans="1:3" x14ac:dyDescent="0.25">
      <c r="A3041">
        <v>12</v>
      </c>
      <c r="B3041">
        <v>0</v>
      </c>
      <c r="C3041">
        <v>313</v>
      </c>
    </row>
    <row r="3042" spans="1:3" x14ac:dyDescent="0.25">
      <c r="A3042">
        <v>12</v>
      </c>
      <c r="B3042">
        <v>0</v>
      </c>
      <c r="C3042">
        <v>313</v>
      </c>
    </row>
    <row r="3043" spans="1:3" x14ac:dyDescent="0.25">
      <c r="A3043">
        <v>12</v>
      </c>
      <c r="B3043">
        <v>0</v>
      </c>
      <c r="C3043">
        <v>313</v>
      </c>
    </row>
    <row r="3044" spans="1:3" x14ac:dyDescent="0.25">
      <c r="A3044">
        <v>12</v>
      </c>
      <c r="B3044">
        <v>0</v>
      </c>
      <c r="C3044">
        <v>313</v>
      </c>
    </row>
    <row r="3045" spans="1:3" x14ac:dyDescent="0.25">
      <c r="A3045">
        <v>13</v>
      </c>
      <c r="B3045">
        <v>0</v>
      </c>
      <c r="C3045">
        <v>340</v>
      </c>
    </row>
    <row r="3046" spans="1:3" x14ac:dyDescent="0.25">
      <c r="A3046">
        <v>12</v>
      </c>
      <c r="B3046">
        <v>0</v>
      </c>
      <c r="C3046">
        <v>340</v>
      </c>
    </row>
    <row r="3047" spans="1:3" x14ac:dyDescent="0.25">
      <c r="A3047">
        <v>11</v>
      </c>
      <c r="B3047">
        <v>0</v>
      </c>
      <c r="C3047">
        <v>340</v>
      </c>
    </row>
    <row r="3048" spans="1:3" x14ac:dyDescent="0.25">
      <c r="A3048">
        <v>13</v>
      </c>
      <c r="B3048">
        <v>0</v>
      </c>
      <c r="C3048">
        <v>340</v>
      </c>
    </row>
    <row r="3049" spans="1:3" x14ac:dyDescent="0.25">
      <c r="A3049">
        <v>12</v>
      </c>
      <c r="B3049">
        <v>0</v>
      </c>
      <c r="C3049">
        <v>340</v>
      </c>
    </row>
    <row r="3050" spans="1:3" x14ac:dyDescent="0.25">
      <c r="A3050">
        <v>13</v>
      </c>
      <c r="B3050">
        <v>0</v>
      </c>
      <c r="C3050">
        <v>340</v>
      </c>
    </row>
    <row r="3051" spans="1:3" x14ac:dyDescent="0.25">
      <c r="A3051">
        <v>12</v>
      </c>
      <c r="B3051">
        <v>0</v>
      </c>
      <c r="C3051">
        <v>340</v>
      </c>
    </row>
    <row r="3052" spans="1:3" x14ac:dyDescent="0.25">
      <c r="A3052">
        <v>12</v>
      </c>
      <c r="B3052">
        <v>0</v>
      </c>
      <c r="C3052">
        <v>282</v>
      </c>
    </row>
    <row r="3053" spans="1:3" x14ac:dyDescent="0.25">
      <c r="A3053">
        <v>13</v>
      </c>
      <c r="B3053">
        <v>0</v>
      </c>
      <c r="C3053">
        <v>282</v>
      </c>
    </row>
    <row r="3054" spans="1:3" x14ac:dyDescent="0.25">
      <c r="A3054">
        <v>13</v>
      </c>
      <c r="B3054">
        <v>0</v>
      </c>
      <c r="C3054">
        <v>282</v>
      </c>
    </row>
    <row r="3055" spans="1:3" x14ac:dyDescent="0.25">
      <c r="A3055">
        <v>13</v>
      </c>
      <c r="B3055">
        <v>0</v>
      </c>
      <c r="C3055">
        <v>282</v>
      </c>
    </row>
    <row r="3056" spans="1:3" x14ac:dyDescent="0.25">
      <c r="A3056">
        <v>13</v>
      </c>
      <c r="B3056">
        <v>0</v>
      </c>
      <c r="C3056">
        <v>282</v>
      </c>
    </row>
    <row r="3057" spans="1:3" x14ac:dyDescent="0.25">
      <c r="A3057">
        <v>11</v>
      </c>
      <c r="B3057">
        <v>0</v>
      </c>
      <c r="C3057">
        <v>282</v>
      </c>
    </row>
    <row r="3058" spans="1:3" x14ac:dyDescent="0.25">
      <c r="A3058">
        <v>12</v>
      </c>
      <c r="B3058">
        <v>0</v>
      </c>
      <c r="C3058">
        <v>282</v>
      </c>
    </row>
    <row r="3059" spans="1:3" x14ac:dyDescent="0.25">
      <c r="A3059">
        <v>11</v>
      </c>
      <c r="B3059">
        <v>0</v>
      </c>
      <c r="C3059">
        <v>282</v>
      </c>
    </row>
    <row r="3060" spans="1:3" x14ac:dyDescent="0.25">
      <c r="A3060">
        <v>12</v>
      </c>
      <c r="B3060">
        <v>0</v>
      </c>
      <c r="C3060">
        <v>314</v>
      </c>
    </row>
    <row r="3061" spans="1:3" x14ac:dyDescent="0.25">
      <c r="A3061">
        <v>11</v>
      </c>
      <c r="B3061">
        <v>0</v>
      </c>
      <c r="C3061">
        <v>314</v>
      </c>
    </row>
    <row r="3062" spans="1:3" x14ac:dyDescent="0.25">
      <c r="A3062">
        <v>13</v>
      </c>
      <c r="B3062">
        <v>0</v>
      </c>
      <c r="C3062">
        <v>314</v>
      </c>
    </row>
    <row r="3063" spans="1:3" x14ac:dyDescent="0.25">
      <c r="A3063">
        <v>15</v>
      </c>
      <c r="B3063">
        <v>0</v>
      </c>
      <c r="C3063">
        <v>314</v>
      </c>
    </row>
    <row r="3064" spans="1:3" x14ac:dyDescent="0.25">
      <c r="A3064">
        <v>11</v>
      </c>
      <c r="B3064">
        <v>0</v>
      </c>
      <c r="C3064">
        <v>314</v>
      </c>
    </row>
    <row r="3065" spans="1:3" x14ac:dyDescent="0.25">
      <c r="A3065">
        <v>12</v>
      </c>
      <c r="B3065">
        <v>0</v>
      </c>
      <c r="C3065">
        <v>314</v>
      </c>
    </row>
    <row r="3066" spans="1:3" x14ac:dyDescent="0.25">
      <c r="A3066">
        <v>13</v>
      </c>
      <c r="B3066">
        <v>0</v>
      </c>
      <c r="C3066">
        <v>314</v>
      </c>
    </row>
    <row r="3067" spans="1:3" x14ac:dyDescent="0.25">
      <c r="A3067">
        <v>12</v>
      </c>
      <c r="B3067">
        <v>0</v>
      </c>
      <c r="C3067">
        <v>314</v>
      </c>
    </row>
    <row r="3068" spans="1:3" x14ac:dyDescent="0.25">
      <c r="A3068">
        <v>11</v>
      </c>
      <c r="B3068">
        <v>0</v>
      </c>
      <c r="C3068">
        <v>340</v>
      </c>
    </row>
    <row r="3069" spans="1:3" x14ac:dyDescent="0.25">
      <c r="A3069">
        <v>12</v>
      </c>
      <c r="B3069">
        <v>0</v>
      </c>
      <c r="C3069">
        <v>340</v>
      </c>
    </row>
    <row r="3070" spans="1:3" x14ac:dyDescent="0.25">
      <c r="A3070">
        <v>12</v>
      </c>
      <c r="B3070">
        <v>0</v>
      </c>
      <c r="C3070">
        <v>340</v>
      </c>
    </row>
    <row r="3071" spans="1:3" x14ac:dyDescent="0.25">
      <c r="A3071">
        <v>11</v>
      </c>
      <c r="B3071">
        <v>0</v>
      </c>
      <c r="C3071">
        <v>340</v>
      </c>
    </row>
    <row r="3072" spans="1:3" x14ac:dyDescent="0.25">
      <c r="A3072">
        <v>14</v>
      </c>
      <c r="B3072">
        <v>0</v>
      </c>
      <c r="C3072">
        <v>340</v>
      </c>
    </row>
    <row r="3073" spans="1:3" x14ac:dyDescent="0.25">
      <c r="A3073">
        <v>12</v>
      </c>
      <c r="B3073">
        <v>0</v>
      </c>
      <c r="C3073">
        <v>340</v>
      </c>
    </row>
    <row r="3074" spans="1:3" x14ac:dyDescent="0.25">
      <c r="A3074">
        <v>11</v>
      </c>
      <c r="B3074">
        <v>0</v>
      </c>
      <c r="C3074">
        <v>340</v>
      </c>
    </row>
    <row r="3075" spans="1:3" x14ac:dyDescent="0.25">
      <c r="A3075">
        <v>11</v>
      </c>
      <c r="B3075">
        <v>0</v>
      </c>
      <c r="C3075">
        <v>340</v>
      </c>
    </row>
    <row r="3076" spans="1:3" x14ac:dyDescent="0.25">
      <c r="A3076">
        <v>12</v>
      </c>
      <c r="B3076">
        <v>0</v>
      </c>
      <c r="C3076">
        <v>288</v>
      </c>
    </row>
    <row r="3077" spans="1:3" x14ac:dyDescent="0.25">
      <c r="A3077">
        <v>12</v>
      </c>
      <c r="B3077">
        <v>0</v>
      </c>
      <c r="C3077">
        <v>288</v>
      </c>
    </row>
    <row r="3078" spans="1:3" x14ac:dyDescent="0.25">
      <c r="A3078">
        <v>12</v>
      </c>
      <c r="B3078">
        <v>0</v>
      </c>
      <c r="C3078">
        <v>288</v>
      </c>
    </row>
    <row r="3079" spans="1:3" x14ac:dyDescent="0.25">
      <c r="A3079">
        <v>11</v>
      </c>
      <c r="B3079">
        <v>0</v>
      </c>
      <c r="C3079">
        <v>288</v>
      </c>
    </row>
    <row r="3080" spans="1:3" x14ac:dyDescent="0.25">
      <c r="A3080">
        <v>11</v>
      </c>
      <c r="B3080">
        <v>0</v>
      </c>
      <c r="C3080">
        <v>288</v>
      </c>
    </row>
    <row r="3081" spans="1:3" x14ac:dyDescent="0.25">
      <c r="A3081">
        <v>13</v>
      </c>
      <c r="B3081">
        <v>0</v>
      </c>
      <c r="C3081">
        <v>288</v>
      </c>
    </row>
    <row r="3082" spans="1:3" x14ac:dyDescent="0.25">
      <c r="A3082">
        <v>14</v>
      </c>
      <c r="B3082">
        <v>0</v>
      </c>
      <c r="C3082">
        <v>288</v>
      </c>
    </row>
    <row r="3083" spans="1:3" x14ac:dyDescent="0.25">
      <c r="A3083">
        <v>12</v>
      </c>
      <c r="B3083">
        <v>0</v>
      </c>
      <c r="C3083">
        <v>288</v>
      </c>
    </row>
    <row r="3084" spans="1:3" x14ac:dyDescent="0.25">
      <c r="A3084">
        <v>12</v>
      </c>
      <c r="B3084">
        <v>0</v>
      </c>
      <c r="C3084">
        <v>352</v>
      </c>
    </row>
    <row r="3085" spans="1:3" x14ac:dyDescent="0.25">
      <c r="A3085">
        <v>13</v>
      </c>
      <c r="B3085">
        <v>0</v>
      </c>
      <c r="C3085">
        <v>352</v>
      </c>
    </row>
    <row r="3086" spans="1:3" x14ac:dyDescent="0.25">
      <c r="A3086">
        <v>12</v>
      </c>
      <c r="B3086">
        <v>0</v>
      </c>
      <c r="C3086">
        <v>352</v>
      </c>
    </row>
    <row r="3087" spans="1:3" x14ac:dyDescent="0.25">
      <c r="A3087">
        <v>11</v>
      </c>
      <c r="B3087">
        <v>0</v>
      </c>
      <c r="C3087">
        <v>352</v>
      </c>
    </row>
    <row r="3088" spans="1:3" x14ac:dyDescent="0.25">
      <c r="A3088">
        <v>13</v>
      </c>
      <c r="B3088">
        <v>0</v>
      </c>
      <c r="C3088">
        <v>352</v>
      </c>
    </row>
    <row r="3089" spans="1:3" x14ac:dyDescent="0.25">
      <c r="A3089">
        <v>11</v>
      </c>
      <c r="B3089">
        <v>0</v>
      </c>
      <c r="C3089">
        <v>352</v>
      </c>
    </row>
    <row r="3090" spans="1:3" x14ac:dyDescent="0.25">
      <c r="A3090">
        <v>11</v>
      </c>
      <c r="B3090">
        <v>0</v>
      </c>
      <c r="C3090">
        <v>352</v>
      </c>
    </row>
    <row r="3091" spans="1:3" x14ac:dyDescent="0.25">
      <c r="A3091">
        <v>11</v>
      </c>
      <c r="B3091">
        <v>0</v>
      </c>
      <c r="C3091">
        <v>352</v>
      </c>
    </row>
    <row r="3092" spans="1:3" x14ac:dyDescent="0.25">
      <c r="A3092">
        <v>13</v>
      </c>
      <c r="B3092">
        <v>0</v>
      </c>
      <c r="C3092">
        <v>296</v>
      </c>
    </row>
    <row r="3093" spans="1:3" x14ac:dyDescent="0.25">
      <c r="A3093">
        <v>11</v>
      </c>
      <c r="B3093">
        <v>0</v>
      </c>
      <c r="C3093">
        <v>296</v>
      </c>
    </row>
    <row r="3094" spans="1:3" x14ac:dyDescent="0.25">
      <c r="A3094">
        <v>14</v>
      </c>
      <c r="B3094">
        <v>0</v>
      </c>
      <c r="C3094">
        <v>296</v>
      </c>
    </row>
    <row r="3095" spans="1:3" x14ac:dyDescent="0.25">
      <c r="A3095">
        <v>11</v>
      </c>
      <c r="B3095">
        <v>0</v>
      </c>
      <c r="C3095">
        <v>296</v>
      </c>
    </row>
    <row r="3096" spans="1:3" x14ac:dyDescent="0.25">
      <c r="A3096">
        <v>12</v>
      </c>
      <c r="B3096">
        <v>0</v>
      </c>
      <c r="C3096">
        <v>296</v>
      </c>
    </row>
    <row r="3097" spans="1:3" x14ac:dyDescent="0.25">
      <c r="A3097">
        <v>13</v>
      </c>
      <c r="B3097">
        <v>0</v>
      </c>
      <c r="C3097">
        <v>296</v>
      </c>
    </row>
    <row r="3098" spans="1:3" x14ac:dyDescent="0.25">
      <c r="A3098">
        <v>12</v>
      </c>
      <c r="B3098">
        <v>0</v>
      </c>
      <c r="C3098">
        <v>296</v>
      </c>
    </row>
    <row r="3099" spans="1:3" x14ac:dyDescent="0.25">
      <c r="A3099">
        <v>16</v>
      </c>
      <c r="B3099">
        <v>0</v>
      </c>
      <c r="C3099">
        <v>296</v>
      </c>
    </row>
    <row r="3100" spans="1:3" x14ac:dyDescent="0.25">
      <c r="A3100">
        <v>13</v>
      </c>
      <c r="B3100">
        <v>0</v>
      </c>
      <c r="C3100">
        <v>379</v>
      </c>
    </row>
    <row r="3101" spans="1:3" x14ac:dyDescent="0.25">
      <c r="A3101">
        <v>11</v>
      </c>
      <c r="B3101">
        <v>0</v>
      </c>
      <c r="C3101">
        <v>379</v>
      </c>
    </row>
    <row r="3102" spans="1:3" x14ac:dyDescent="0.25">
      <c r="A3102">
        <v>12</v>
      </c>
      <c r="B3102">
        <v>0</v>
      </c>
      <c r="C3102">
        <v>379</v>
      </c>
    </row>
    <row r="3103" spans="1:3" x14ac:dyDescent="0.25">
      <c r="A3103">
        <v>12</v>
      </c>
      <c r="B3103">
        <v>0</v>
      </c>
      <c r="C3103">
        <v>379</v>
      </c>
    </row>
    <row r="3104" spans="1:3" x14ac:dyDescent="0.25">
      <c r="A3104">
        <v>11</v>
      </c>
      <c r="B3104">
        <v>0</v>
      </c>
      <c r="C3104">
        <v>379</v>
      </c>
    </row>
    <row r="3105" spans="1:3" x14ac:dyDescent="0.25">
      <c r="A3105">
        <v>12</v>
      </c>
      <c r="B3105">
        <v>0</v>
      </c>
      <c r="C3105">
        <v>379</v>
      </c>
    </row>
    <row r="3106" spans="1:3" x14ac:dyDescent="0.25">
      <c r="A3106">
        <v>12</v>
      </c>
      <c r="B3106">
        <v>0</v>
      </c>
      <c r="C3106">
        <v>379</v>
      </c>
    </row>
    <row r="3107" spans="1:3" x14ac:dyDescent="0.25">
      <c r="A3107">
        <v>12</v>
      </c>
      <c r="B3107">
        <v>0</v>
      </c>
      <c r="C3107">
        <v>379</v>
      </c>
    </row>
    <row r="3108" spans="1:3" x14ac:dyDescent="0.25">
      <c r="A3108">
        <v>12</v>
      </c>
      <c r="B3108">
        <v>0</v>
      </c>
      <c r="C3108">
        <v>287</v>
      </c>
    </row>
    <row r="3109" spans="1:3" x14ac:dyDescent="0.25">
      <c r="A3109">
        <v>11</v>
      </c>
      <c r="B3109">
        <v>0</v>
      </c>
      <c r="C3109">
        <v>287</v>
      </c>
    </row>
    <row r="3110" spans="1:3" x14ac:dyDescent="0.25">
      <c r="A3110">
        <v>12</v>
      </c>
      <c r="B3110">
        <v>0</v>
      </c>
      <c r="C3110">
        <v>287</v>
      </c>
    </row>
    <row r="3111" spans="1:3" x14ac:dyDescent="0.25">
      <c r="A3111">
        <v>13</v>
      </c>
      <c r="B3111">
        <v>0</v>
      </c>
      <c r="C3111">
        <v>287</v>
      </c>
    </row>
    <row r="3112" spans="1:3" x14ac:dyDescent="0.25">
      <c r="A3112">
        <v>11</v>
      </c>
      <c r="B3112">
        <v>0</v>
      </c>
      <c r="C3112">
        <v>287</v>
      </c>
    </row>
    <row r="3113" spans="1:3" x14ac:dyDescent="0.25">
      <c r="A3113">
        <v>13</v>
      </c>
      <c r="B3113">
        <v>0</v>
      </c>
      <c r="C3113">
        <v>287</v>
      </c>
    </row>
    <row r="3114" spans="1:3" x14ac:dyDescent="0.25">
      <c r="A3114">
        <v>14</v>
      </c>
      <c r="B3114">
        <v>0</v>
      </c>
      <c r="C3114">
        <v>287</v>
      </c>
    </row>
    <row r="3115" spans="1:3" x14ac:dyDescent="0.25">
      <c r="A3115">
        <v>15</v>
      </c>
      <c r="B3115">
        <v>0</v>
      </c>
      <c r="C3115">
        <v>287</v>
      </c>
    </row>
    <row r="3116" spans="1:3" x14ac:dyDescent="0.25">
      <c r="A3116">
        <v>14</v>
      </c>
      <c r="B3116">
        <v>0</v>
      </c>
      <c r="C3116">
        <v>345</v>
      </c>
    </row>
    <row r="3117" spans="1:3" x14ac:dyDescent="0.25">
      <c r="A3117">
        <v>13</v>
      </c>
      <c r="B3117">
        <v>0</v>
      </c>
      <c r="C3117">
        <v>345</v>
      </c>
    </row>
    <row r="3118" spans="1:3" x14ac:dyDescent="0.25">
      <c r="A3118">
        <v>12</v>
      </c>
      <c r="B3118">
        <v>0</v>
      </c>
      <c r="C3118">
        <v>345</v>
      </c>
    </row>
    <row r="3119" spans="1:3" x14ac:dyDescent="0.25">
      <c r="A3119">
        <v>12</v>
      </c>
      <c r="B3119">
        <v>0</v>
      </c>
      <c r="C3119">
        <v>345</v>
      </c>
    </row>
    <row r="3120" spans="1:3" x14ac:dyDescent="0.25">
      <c r="A3120">
        <v>14</v>
      </c>
      <c r="B3120">
        <v>0</v>
      </c>
      <c r="C3120">
        <v>345</v>
      </c>
    </row>
    <row r="3121" spans="1:3" x14ac:dyDescent="0.25">
      <c r="A3121">
        <v>13</v>
      </c>
      <c r="B3121">
        <v>0</v>
      </c>
      <c r="C3121">
        <v>345</v>
      </c>
    </row>
    <row r="3122" spans="1:3" x14ac:dyDescent="0.25">
      <c r="A3122">
        <v>15</v>
      </c>
      <c r="B3122">
        <v>0</v>
      </c>
      <c r="C3122">
        <v>345</v>
      </c>
    </row>
    <row r="3123" spans="1:3" x14ac:dyDescent="0.25">
      <c r="A3123">
        <v>11</v>
      </c>
      <c r="B3123">
        <v>0</v>
      </c>
      <c r="C3123">
        <v>345</v>
      </c>
    </row>
    <row r="3124" spans="1:3" x14ac:dyDescent="0.25">
      <c r="A3124">
        <v>12</v>
      </c>
      <c r="B3124">
        <v>0</v>
      </c>
      <c r="C3124">
        <v>335</v>
      </c>
    </row>
    <row r="3125" spans="1:3" x14ac:dyDescent="0.25">
      <c r="A3125">
        <v>12</v>
      </c>
      <c r="B3125">
        <v>0</v>
      </c>
      <c r="C3125">
        <v>335</v>
      </c>
    </row>
    <row r="3126" spans="1:3" x14ac:dyDescent="0.25">
      <c r="A3126">
        <v>12</v>
      </c>
      <c r="B3126">
        <v>0</v>
      </c>
      <c r="C3126">
        <v>335</v>
      </c>
    </row>
    <row r="3127" spans="1:3" x14ac:dyDescent="0.25">
      <c r="A3127">
        <v>12</v>
      </c>
      <c r="B3127">
        <v>0</v>
      </c>
      <c r="C3127">
        <v>335</v>
      </c>
    </row>
    <row r="3128" spans="1:3" x14ac:dyDescent="0.25">
      <c r="A3128">
        <v>12</v>
      </c>
      <c r="B3128">
        <v>0</v>
      </c>
      <c r="C3128">
        <v>335</v>
      </c>
    </row>
    <row r="3129" spans="1:3" x14ac:dyDescent="0.25">
      <c r="A3129">
        <v>13</v>
      </c>
      <c r="B3129">
        <v>0</v>
      </c>
      <c r="C3129">
        <v>335</v>
      </c>
    </row>
    <row r="3130" spans="1:3" x14ac:dyDescent="0.25">
      <c r="A3130">
        <v>11</v>
      </c>
      <c r="B3130">
        <v>0</v>
      </c>
      <c r="C3130">
        <v>335</v>
      </c>
    </row>
    <row r="3131" spans="1:3" x14ac:dyDescent="0.25">
      <c r="A3131">
        <v>12</v>
      </c>
      <c r="B3131">
        <v>0</v>
      </c>
      <c r="C3131">
        <v>335</v>
      </c>
    </row>
    <row r="3132" spans="1:3" x14ac:dyDescent="0.25">
      <c r="A3132">
        <v>13</v>
      </c>
      <c r="B3132">
        <v>0</v>
      </c>
      <c r="C3132">
        <v>329</v>
      </c>
    </row>
    <row r="3133" spans="1:3" x14ac:dyDescent="0.25">
      <c r="A3133">
        <v>12</v>
      </c>
      <c r="B3133">
        <v>0</v>
      </c>
      <c r="C3133">
        <v>329</v>
      </c>
    </row>
    <row r="3134" spans="1:3" x14ac:dyDescent="0.25">
      <c r="A3134">
        <v>11</v>
      </c>
      <c r="B3134">
        <v>0</v>
      </c>
      <c r="C3134">
        <v>329</v>
      </c>
    </row>
    <row r="3135" spans="1:3" x14ac:dyDescent="0.25">
      <c r="A3135">
        <v>12</v>
      </c>
      <c r="B3135">
        <v>0</v>
      </c>
      <c r="C3135">
        <v>329</v>
      </c>
    </row>
    <row r="3136" spans="1:3" x14ac:dyDescent="0.25">
      <c r="A3136">
        <v>11</v>
      </c>
      <c r="B3136">
        <v>0</v>
      </c>
      <c r="C3136">
        <v>329</v>
      </c>
    </row>
    <row r="3137" spans="1:3" x14ac:dyDescent="0.25">
      <c r="A3137">
        <v>11</v>
      </c>
      <c r="B3137">
        <v>0</v>
      </c>
      <c r="C3137">
        <v>329</v>
      </c>
    </row>
    <row r="3138" spans="1:3" x14ac:dyDescent="0.25">
      <c r="A3138">
        <v>11</v>
      </c>
      <c r="B3138">
        <v>0</v>
      </c>
      <c r="C3138">
        <v>329</v>
      </c>
    </row>
    <row r="3139" spans="1:3" x14ac:dyDescent="0.25">
      <c r="A3139">
        <v>11</v>
      </c>
      <c r="B3139">
        <v>0</v>
      </c>
      <c r="C3139">
        <v>329</v>
      </c>
    </row>
    <row r="3140" spans="1:3" x14ac:dyDescent="0.25">
      <c r="A3140">
        <v>13</v>
      </c>
      <c r="B3140">
        <v>0</v>
      </c>
      <c r="C3140">
        <v>328</v>
      </c>
    </row>
    <row r="3141" spans="1:3" x14ac:dyDescent="0.25">
      <c r="A3141">
        <v>11</v>
      </c>
      <c r="B3141">
        <v>0</v>
      </c>
      <c r="C3141">
        <v>328</v>
      </c>
    </row>
    <row r="3142" spans="1:3" x14ac:dyDescent="0.25">
      <c r="A3142">
        <v>12</v>
      </c>
      <c r="B3142">
        <v>0</v>
      </c>
      <c r="C3142">
        <v>328</v>
      </c>
    </row>
    <row r="3143" spans="1:3" x14ac:dyDescent="0.25">
      <c r="A3143">
        <v>11</v>
      </c>
      <c r="B3143">
        <v>0</v>
      </c>
      <c r="C3143">
        <v>328</v>
      </c>
    </row>
    <row r="3144" spans="1:3" x14ac:dyDescent="0.25">
      <c r="A3144">
        <v>14</v>
      </c>
      <c r="B3144">
        <v>0</v>
      </c>
      <c r="C3144">
        <v>328</v>
      </c>
    </row>
    <row r="3145" spans="1:3" x14ac:dyDescent="0.25">
      <c r="A3145">
        <v>12</v>
      </c>
      <c r="B3145">
        <v>0</v>
      </c>
      <c r="C3145">
        <v>328</v>
      </c>
    </row>
    <row r="3146" spans="1:3" x14ac:dyDescent="0.25">
      <c r="A3146">
        <v>11</v>
      </c>
      <c r="B3146">
        <v>0</v>
      </c>
      <c r="C3146">
        <v>328</v>
      </c>
    </row>
    <row r="3147" spans="1:3" x14ac:dyDescent="0.25">
      <c r="A3147">
        <v>12</v>
      </c>
      <c r="B3147">
        <v>0</v>
      </c>
      <c r="C3147">
        <v>328</v>
      </c>
    </row>
    <row r="3148" spans="1:3" x14ac:dyDescent="0.25">
      <c r="A3148">
        <v>13</v>
      </c>
      <c r="B3148">
        <v>0</v>
      </c>
      <c r="C3148">
        <v>358</v>
      </c>
    </row>
    <row r="3149" spans="1:3" x14ac:dyDescent="0.25">
      <c r="A3149">
        <v>11</v>
      </c>
      <c r="B3149">
        <v>0</v>
      </c>
      <c r="C3149">
        <v>358</v>
      </c>
    </row>
    <row r="3150" spans="1:3" x14ac:dyDescent="0.25">
      <c r="A3150">
        <v>18</v>
      </c>
      <c r="B3150">
        <v>0</v>
      </c>
      <c r="C3150">
        <v>358</v>
      </c>
    </row>
    <row r="3151" spans="1:3" x14ac:dyDescent="0.25">
      <c r="A3151">
        <v>12</v>
      </c>
      <c r="B3151">
        <v>0</v>
      </c>
      <c r="C3151">
        <v>358</v>
      </c>
    </row>
    <row r="3152" spans="1:3" x14ac:dyDescent="0.25">
      <c r="A3152">
        <v>12</v>
      </c>
      <c r="B3152">
        <v>0</v>
      </c>
      <c r="C3152">
        <v>358</v>
      </c>
    </row>
    <row r="3153" spans="1:3" x14ac:dyDescent="0.25">
      <c r="A3153">
        <v>11</v>
      </c>
      <c r="B3153">
        <v>0</v>
      </c>
      <c r="C3153">
        <v>358</v>
      </c>
    </row>
    <row r="3154" spans="1:3" x14ac:dyDescent="0.25">
      <c r="A3154">
        <v>14</v>
      </c>
      <c r="B3154">
        <v>0</v>
      </c>
      <c r="C3154">
        <v>358</v>
      </c>
    </row>
    <row r="3155" spans="1:3" x14ac:dyDescent="0.25">
      <c r="A3155">
        <v>12</v>
      </c>
      <c r="B3155">
        <v>0</v>
      </c>
      <c r="C3155">
        <v>358</v>
      </c>
    </row>
    <row r="3156" spans="1:3" x14ac:dyDescent="0.25">
      <c r="A3156">
        <v>12</v>
      </c>
      <c r="B3156">
        <v>0</v>
      </c>
      <c r="C3156">
        <v>363</v>
      </c>
    </row>
    <row r="3157" spans="1:3" x14ac:dyDescent="0.25">
      <c r="A3157">
        <v>12</v>
      </c>
      <c r="B3157">
        <v>0</v>
      </c>
      <c r="C3157">
        <v>363</v>
      </c>
    </row>
    <row r="3158" spans="1:3" x14ac:dyDescent="0.25">
      <c r="A3158">
        <v>12</v>
      </c>
      <c r="B3158">
        <v>0</v>
      </c>
      <c r="C3158">
        <v>363</v>
      </c>
    </row>
    <row r="3159" spans="1:3" x14ac:dyDescent="0.25">
      <c r="A3159">
        <v>13</v>
      </c>
      <c r="B3159">
        <v>0</v>
      </c>
      <c r="C3159">
        <v>363</v>
      </c>
    </row>
    <row r="3160" spans="1:3" x14ac:dyDescent="0.25">
      <c r="A3160">
        <v>12</v>
      </c>
      <c r="B3160">
        <v>0</v>
      </c>
      <c r="C3160">
        <v>363</v>
      </c>
    </row>
    <row r="3161" spans="1:3" x14ac:dyDescent="0.25">
      <c r="A3161">
        <v>12</v>
      </c>
      <c r="B3161">
        <v>0</v>
      </c>
      <c r="C3161">
        <v>363</v>
      </c>
    </row>
    <row r="3162" spans="1:3" x14ac:dyDescent="0.25">
      <c r="A3162">
        <v>12</v>
      </c>
      <c r="B3162">
        <v>0</v>
      </c>
      <c r="C3162">
        <v>363</v>
      </c>
    </row>
    <row r="3163" spans="1:3" x14ac:dyDescent="0.25">
      <c r="A3163">
        <v>11</v>
      </c>
      <c r="B3163">
        <v>0</v>
      </c>
      <c r="C3163">
        <v>363</v>
      </c>
    </row>
    <row r="3164" spans="1:3" x14ac:dyDescent="0.25">
      <c r="A3164">
        <v>12</v>
      </c>
      <c r="B3164">
        <v>0</v>
      </c>
      <c r="C3164">
        <v>328</v>
      </c>
    </row>
    <row r="3165" spans="1:3" x14ac:dyDescent="0.25">
      <c r="A3165">
        <v>14</v>
      </c>
      <c r="B3165">
        <v>0</v>
      </c>
      <c r="C3165">
        <v>328</v>
      </c>
    </row>
    <row r="3166" spans="1:3" x14ac:dyDescent="0.25">
      <c r="A3166">
        <v>12</v>
      </c>
      <c r="B3166">
        <v>0</v>
      </c>
      <c r="C3166">
        <v>328</v>
      </c>
    </row>
    <row r="3167" spans="1:3" x14ac:dyDescent="0.25">
      <c r="A3167">
        <v>11</v>
      </c>
      <c r="B3167">
        <v>0</v>
      </c>
      <c r="C3167">
        <v>328</v>
      </c>
    </row>
    <row r="3168" spans="1:3" x14ac:dyDescent="0.25">
      <c r="A3168">
        <v>12</v>
      </c>
      <c r="B3168">
        <v>0</v>
      </c>
      <c r="C3168">
        <v>328</v>
      </c>
    </row>
    <row r="3169" spans="1:3" x14ac:dyDescent="0.25">
      <c r="A3169">
        <v>12</v>
      </c>
      <c r="B3169">
        <v>0</v>
      </c>
      <c r="C3169">
        <v>328</v>
      </c>
    </row>
    <row r="3170" spans="1:3" x14ac:dyDescent="0.25">
      <c r="A3170">
        <v>12</v>
      </c>
      <c r="B3170">
        <v>0</v>
      </c>
      <c r="C3170">
        <v>328</v>
      </c>
    </row>
    <row r="3171" spans="1:3" x14ac:dyDescent="0.25">
      <c r="A3171">
        <v>13</v>
      </c>
      <c r="B3171">
        <v>0</v>
      </c>
      <c r="C3171">
        <v>328</v>
      </c>
    </row>
    <row r="3172" spans="1:3" x14ac:dyDescent="0.25">
      <c r="A3172">
        <v>11</v>
      </c>
      <c r="B3172">
        <v>0</v>
      </c>
      <c r="C3172">
        <v>328</v>
      </c>
    </row>
    <row r="3173" spans="1:3" x14ac:dyDescent="0.25">
      <c r="A3173">
        <v>12</v>
      </c>
      <c r="B3173">
        <v>0</v>
      </c>
      <c r="C3173">
        <v>328</v>
      </c>
    </row>
    <row r="3174" spans="1:3" x14ac:dyDescent="0.25">
      <c r="A3174">
        <v>14</v>
      </c>
      <c r="B3174">
        <v>0</v>
      </c>
      <c r="C3174">
        <v>328</v>
      </c>
    </row>
    <row r="3175" spans="1:3" x14ac:dyDescent="0.25">
      <c r="A3175">
        <v>12</v>
      </c>
      <c r="B3175">
        <v>0</v>
      </c>
      <c r="C3175">
        <v>328</v>
      </c>
    </row>
    <row r="3176" spans="1:3" x14ac:dyDescent="0.25">
      <c r="A3176">
        <v>12</v>
      </c>
      <c r="B3176">
        <v>0</v>
      </c>
      <c r="C3176">
        <v>328</v>
      </c>
    </row>
    <row r="3177" spans="1:3" x14ac:dyDescent="0.25">
      <c r="A3177">
        <v>12</v>
      </c>
      <c r="B3177">
        <v>0</v>
      </c>
      <c r="C3177">
        <v>328</v>
      </c>
    </row>
    <row r="3178" spans="1:3" x14ac:dyDescent="0.25">
      <c r="A3178">
        <v>12</v>
      </c>
      <c r="B3178">
        <v>0</v>
      </c>
      <c r="C3178">
        <v>328</v>
      </c>
    </row>
    <row r="3179" spans="1:3" x14ac:dyDescent="0.25">
      <c r="A3179">
        <v>11</v>
      </c>
      <c r="B3179">
        <v>0</v>
      </c>
      <c r="C3179">
        <v>343</v>
      </c>
    </row>
    <row r="3180" spans="1:3" x14ac:dyDescent="0.25">
      <c r="A3180">
        <v>11</v>
      </c>
      <c r="B3180">
        <v>0</v>
      </c>
      <c r="C3180">
        <v>343</v>
      </c>
    </row>
    <row r="3181" spans="1:3" x14ac:dyDescent="0.25">
      <c r="A3181">
        <v>14</v>
      </c>
      <c r="B3181">
        <v>0</v>
      </c>
      <c r="C3181">
        <v>343</v>
      </c>
    </row>
    <row r="3182" spans="1:3" x14ac:dyDescent="0.25">
      <c r="A3182">
        <v>12</v>
      </c>
      <c r="B3182">
        <v>0</v>
      </c>
      <c r="C3182">
        <v>343</v>
      </c>
    </row>
    <row r="3183" spans="1:3" x14ac:dyDescent="0.25">
      <c r="A3183">
        <v>13</v>
      </c>
      <c r="B3183">
        <v>0</v>
      </c>
      <c r="C3183">
        <v>343</v>
      </c>
    </row>
    <row r="3184" spans="1:3" x14ac:dyDescent="0.25">
      <c r="A3184">
        <v>14</v>
      </c>
      <c r="B3184">
        <v>0</v>
      </c>
      <c r="C3184">
        <v>343</v>
      </c>
    </row>
    <row r="3185" spans="1:3" x14ac:dyDescent="0.25">
      <c r="A3185">
        <v>13</v>
      </c>
      <c r="B3185">
        <v>0</v>
      </c>
      <c r="C3185">
        <v>343</v>
      </c>
    </row>
    <row r="3186" spans="1:3" x14ac:dyDescent="0.25">
      <c r="A3186">
        <v>12</v>
      </c>
      <c r="B3186">
        <v>0</v>
      </c>
      <c r="C3186">
        <v>343</v>
      </c>
    </row>
    <row r="3187" spans="1:3" x14ac:dyDescent="0.25">
      <c r="A3187">
        <v>12</v>
      </c>
      <c r="B3187">
        <v>0</v>
      </c>
      <c r="C3187">
        <v>321</v>
      </c>
    </row>
    <row r="3188" spans="1:3" x14ac:dyDescent="0.25">
      <c r="A3188">
        <v>18</v>
      </c>
      <c r="B3188">
        <v>0</v>
      </c>
      <c r="C3188">
        <v>321</v>
      </c>
    </row>
    <row r="3189" spans="1:3" x14ac:dyDescent="0.25">
      <c r="A3189">
        <v>13</v>
      </c>
      <c r="B3189">
        <v>0</v>
      </c>
      <c r="C3189">
        <v>321</v>
      </c>
    </row>
    <row r="3190" spans="1:3" x14ac:dyDescent="0.25">
      <c r="A3190">
        <v>11</v>
      </c>
      <c r="B3190">
        <v>0</v>
      </c>
      <c r="C3190">
        <v>321</v>
      </c>
    </row>
    <row r="3191" spans="1:3" x14ac:dyDescent="0.25">
      <c r="A3191">
        <v>14</v>
      </c>
      <c r="B3191">
        <v>0</v>
      </c>
      <c r="C3191">
        <v>321</v>
      </c>
    </row>
    <row r="3192" spans="1:3" x14ac:dyDescent="0.25">
      <c r="A3192">
        <v>12</v>
      </c>
      <c r="B3192">
        <v>0</v>
      </c>
      <c r="C3192">
        <v>321</v>
      </c>
    </row>
    <row r="3193" spans="1:3" x14ac:dyDescent="0.25">
      <c r="A3193">
        <v>12</v>
      </c>
      <c r="B3193">
        <v>0</v>
      </c>
      <c r="C3193">
        <v>321</v>
      </c>
    </row>
    <row r="3194" spans="1:3" x14ac:dyDescent="0.25">
      <c r="A3194">
        <v>12</v>
      </c>
      <c r="B3194">
        <v>0</v>
      </c>
      <c r="C3194">
        <v>321</v>
      </c>
    </row>
    <row r="3195" spans="1:3" x14ac:dyDescent="0.25">
      <c r="A3195">
        <v>14</v>
      </c>
      <c r="B3195">
        <v>0</v>
      </c>
      <c r="C3195">
        <v>361</v>
      </c>
    </row>
    <row r="3196" spans="1:3" x14ac:dyDescent="0.25">
      <c r="A3196">
        <v>15</v>
      </c>
      <c r="B3196">
        <v>0</v>
      </c>
      <c r="C3196">
        <v>361</v>
      </c>
    </row>
    <row r="3197" spans="1:3" x14ac:dyDescent="0.25">
      <c r="A3197">
        <v>15</v>
      </c>
      <c r="B3197">
        <v>0</v>
      </c>
      <c r="C3197">
        <v>361</v>
      </c>
    </row>
    <row r="3198" spans="1:3" x14ac:dyDescent="0.25">
      <c r="A3198">
        <v>11</v>
      </c>
      <c r="B3198">
        <v>0</v>
      </c>
      <c r="C3198">
        <v>361</v>
      </c>
    </row>
    <row r="3199" spans="1:3" x14ac:dyDescent="0.25">
      <c r="A3199">
        <v>16</v>
      </c>
      <c r="B3199">
        <v>0</v>
      </c>
      <c r="C3199">
        <v>361</v>
      </c>
    </row>
    <row r="3200" spans="1:3" x14ac:dyDescent="0.25">
      <c r="A3200">
        <v>12</v>
      </c>
      <c r="B3200">
        <v>0</v>
      </c>
      <c r="C3200">
        <v>361</v>
      </c>
    </row>
    <row r="3201" spans="1:3" x14ac:dyDescent="0.25">
      <c r="A3201">
        <v>12</v>
      </c>
      <c r="B3201">
        <v>0</v>
      </c>
      <c r="C3201">
        <v>361</v>
      </c>
    </row>
    <row r="3202" spans="1:3" x14ac:dyDescent="0.25">
      <c r="A3202">
        <v>40</v>
      </c>
      <c r="B3202">
        <v>0</v>
      </c>
      <c r="C3202">
        <v>142</v>
      </c>
    </row>
    <row r="3203" spans="1:3" x14ac:dyDescent="0.25">
      <c r="A3203">
        <v>18</v>
      </c>
      <c r="B3203">
        <v>0</v>
      </c>
      <c r="C3203">
        <v>142</v>
      </c>
    </row>
    <row r="3204" spans="1:3" x14ac:dyDescent="0.25">
      <c r="A3204">
        <v>13</v>
      </c>
      <c r="B3204">
        <v>0</v>
      </c>
      <c r="C3204">
        <v>142</v>
      </c>
    </row>
    <row r="3205" spans="1:3" x14ac:dyDescent="0.25">
      <c r="A3205">
        <v>13</v>
      </c>
      <c r="B3205">
        <v>0</v>
      </c>
      <c r="C3205">
        <v>142</v>
      </c>
    </row>
    <row r="3206" spans="1:3" x14ac:dyDescent="0.25">
      <c r="A3206">
        <v>12</v>
      </c>
      <c r="B3206">
        <v>0</v>
      </c>
      <c r="C3206">
        <v>142</v>
      </c>
    </row>
    <row r="3207" spans="1:3" x14ac:dyDescent="0.25">
      <c r="A3207">
        <v>12</v>
      </c>
      <c r="B3207">
        <v>0</v>
      </c>
      <c r="C3207">
        <v>142</v>
      </c>
    </row>
    <row r="3208" spans="1:3" x14ac:dyDescent="0.25">
      <c r="A3208">
        <v>13</v>
      </c>
      <c r="B3208">
        <v>0</v>
      </c>
      <c r="C3208">
        <v>142</v>
      </c>
    </row>
    <row r="3209" spans="1:3" x14ac:dyDescent="0.25">
      <c r="A3209">
        <v>18</v>
      </c>
      <c r="B3209">
        <v>0</v>
      </c>
      <c r="C3209">
        <v>142</v>
      </c>
    </row>
    <row r="3210" spans="1:3" x14ac:dyDescent="0.25">
      <c r="A3210">
        <v>13</v>
      </c>
      <c r="B3210">
        <v>0</v>
      </c>
      <c r="C3210">
        <v>373</v>
      </c>
    </row>
    <row r="3211" spans="1:3" x14ac:dyDescent="0.25">
      <c r="A3211">
        <v>13</v>
      </c>
      <c r="B3211">
        <v>0</v>
      </c>
      <c r="C3211">
        <v>373</v>
      </c>
    </row>
    <row r="3212" spans="1:3" x14ac:dyDescent="0.25">
      <c r="A3212">
        <v>12</v>
      </c>
      <c r="B3212">
        <v>0</v>
      </c>
      <c r="C3212">
        <v>373</v>
      </c>
    </row>
    <row r="3213" spans="1:3" x14ac:dyDescent="0.25">
      <c r="A3213">
        <v>13</v>
      </c>
      <c r="B3213">
        <v>0</v>
      </c>
      <c r="C3213">
        <v>373</v>
      </c>
    </row>
    <row r="3214" spans="1:3" x14ac:dyDescent="0.25">
      <c r="A3214">
        <v>12</v>
      </c>
      <c r="B3214">
        <v>0</v>
      </c>
      <c r="C3214">
        <v>373</v>
      </c>
    </row>
    <row r="3215" spans="1:3" x14ac:dyDescent="0.25">
      <c r="A3215">
        <v>14</v>
      </c>
      <c r="B3215">
        <v>0</v>
      </c>
      <c r="C3215">
        <v>373</v>
      </c>
    </row>
    <row r="3216" spans="1:3" x14ac:dyDescent="0.25">
      <c r="A3216">
        <v>12</v>
      </c>
      <c r="B3216">
        <v>0</v>
      </c>
      <c r="C3216">
        <v>373</v>
      </c>
    </row>
    <row r="3217" spans="1:3" x14ac:dyDescent="0.25">
      <c r="A3217">
        <v>14</v>
      </c>
      <c r="B3217">
        <v>0</v>
      </c>
      <c r="C3217">
        <v>373</v>
      </c>
    </row>
    <row r="3218" spans="1:3" x14ac:dyDescent="0.25">
      <c r="A3218">
        <v>14</v>
      </c>
      <c r="B3218">
        <v>0</v>
      </c>
      <c r="C3218">
        <v>356</v>
      </c>
    </row>
    <row r="3219" spans="1:3" x14ac:dyDescent="0.25">
      <c r="A3219">
        <v>12</v>
      </c>
      <c r="B3219">
        <v>0</v>
      </c>
      <c r="C3219">
        <v>356</v>
      </c>
    </row>
    <row r="3220" spans="1:3" x14ac:dyDescent="0.25">
      <c r="A3220">
        <v>12</v>
      </c>
      <c r="B3220">
        <v>0</v>
      </c>
      <c r="C3220">
        <v>356</v>
      </c>
    </row>
    <row r="3221" spans="1:3" x14ac:dyDescent="0.25">
      <c r="A3221">
        <v>12</v>
      </c>
      <c r="B3221">
        <v>0</v>
      </c>
      <c r="C3221">
        <v>356</v>
      </c>
    </row>
    <row r="3222" spans="1:3" x14ac:dyDescent="0.25">
      <c r="A3222">
        <v>11</v>
      </c>
      <c r="B3222">
        <v>0</v>
      </c>
      <c r="C3222">
        <v>356</v>
      </c>
    </row>
    <row r="3223" spans="1:3" x14ac:dyDescent="0.25">
      <c r="A3223">
        <v>12</v>
      </c>
      <c r="B3223">
        <v>0</v>
      </c>
      <c r="C3223">
        <v>356</v>
      </c>
    </row>
    <row r="3224" spans="1:3" x14ac:dyDescent="0.25">
      <c r="A3224">
        <v>13</v>
      </c>
      <c r="B3224">
        <v>0</v>
      </c>
      <c r="C3224">
        <v>356</v>
      </c>
    </row>
    <row r="3225" spans="1:3" x14ac:dyDescent="0.25">
      <c r="A3225">
        <v>12</v>
      </c>
      <c r="B3225">
        <v>0</v>
      </c>
      <c r="C3225">
        <v>331</v>
      </c>
    </row>
    <row r="3226" spans="1:3" x14ac:dyDescent="0.25">
      <c r="A3226">
        <v>13</v>
      </c>
      <c r="B3226">
        <v>0</v>
      </c>
      <c r="C3226">
        <v>331</v>
      </c>
    </row>
    <row r="3227" spans="1:3" x14ac:dyDescent="0.25">
      <c r="A3227">
        <v>13</v>
      </c>
      <c r="B3227">
        <v>0</v>
      </c>
      <c r="C3227">
        <v>331</v>
      </c>
    </row>
    <row r="3228" spans="1:3" x14ac:dyDescent="0.25">
      <c r="A3228">
        <v>11</v>
      </c>
      <c r="B3228">
        <v>0</v>
      </c>
      <c r="C3228">
        <v>331</v>
      </c>
    </row>
    <row r="3229" spans="1:3" x14ac:dyDescent="0.25">
      <c r="A3229">
        <v>14</v>
      </c>
      <c r="B3229">
        <v>0</v>
      </c>
      <c r="C3229">
        <v>331</v>
      </c>
    </row>
    <row r="3230" spans="1:3" x14ac:dyDescent="0.25">
      <c r="A3230">
        <v>13</v>
      </c>
      <c r="B3230">
        <v>0</v>
      </c>
      <c r="C3230">
        <v>331</v>
      </c>
    </row>
    <row r="3231" spans="1:3" x14ac:dyDescent="0.25">
      <c r="A3231">
        <v>13</v>
      </c>
      <c r="B3231">
        <v>0</v>
      </c>
      <c r="C3231">
        <v>331</v>
      </c>
    </row>
    <row r="3232" spans="1:3" x14ac:dyDescent="0.25">
      <c r="A3232">
        <v>13</v>
      </c>
      <c r="B3232">
        <v>0</v>
      </c>
      <c r="C3232">
        <v>331</v>
      </c>
    </row>
    <row r="3233" spans="1:3" x14ac:dyDescent="0.25">
      <c r="A3233">
        <v>12</v>
      </c>
      <c r="B3233">
        <v>0</v>
      </c>
      <c r="C3233">
        <v>318</v>
      </c>
    </row>
    <row r="3234" spans="1:3" x14ac:dyDescent="0.25">
      <c r="A3234">
        <v>12</v>
      </c>
      <c r="B3234">
        <v>0</v>
      </c>
      <c r="C3234">
        <v>318</v>
      </c>
    </row>
    <row r="3235" spans="1:3" x14ac:dyDescent="0.25">
      <c r="A3235">
        <v>11</v>
      </c>
      <c r="B3235">
        <v>0</v>
      </c>
      <c r="C3235">
        <v>318</v>
      </c>
    </row>
    <row r="3236" spans="1:3" x14ac:dyDescent="0.25">
      <c r="A3236">
        <v>13</v>
      </c>
      <c r="B3236">
        <v>0</v>
      </c>
      <c r="C3236">
        <v>318</v>
      </c>
    </row>
    <row r="3237" spans="1:3" x14ac:dyDescent="0.25">
      <c r="A3237">
        <v>12</v>
      </c>
      <c r="B3237">
        <v>0</v>
      </c>
      <c r="C3237">
        <v>318</v>
      </c>
    </row>
    <row r="3238" spans="1:3" x14ac:dyDescent="0.25">
      <c r="A3238">
        <v>14</v>
      </c>
      <c r="B3238">
        <v>0</v>
      </c>
      <c r="C3238">
        <v>318</v>
      </c>
    </row>
    <row r="3239" spans="1:3" x14ac:dyDescent="0.25">
      <c r="A3239">
        <v>14</v>
      </c>
      <c r="B3239">
        <v>0</v>
      </c>
      <c r="C3239">
        <v>318</v>
      </c>
    </row>
    <row r="3240" spans="1:3" x14ac:dyDescent="0.25">
      <c r="A3240">
        <v>12</v>
      </c>
      <c r="B3240">
        <v>0</v>
      </c>
      <c r="C3240">
        <v>394</v>
      </c>
    </row>
    <row r="3241" spans="1:3" x14ac:dyDescent="0.25">
      <c r="A3241">
        <v>13</v>
      </c>
      <c r="B3241">
        <v>0</v>
      </c>
      <c r="C3241">
        <v>394</v>
      </c>
    </row>
    <row r="3242" spans="1:3" x14ac:dyDescent="0.25">
      <c r="A3242">
        <v>12</v>
      </c>
      <c r="B3242">
        <v>0</v>
      </c>
      <c r="C3242">
        <v>394</v>
      </c>
    </row>
    <row r="3243" spans="1:3" x14ac:dyDescent="0.25">
      <c r="A3243">
        <v>12</v>
      </c>
      <c r="B3243">
        <v>0</v>
      </c>
      <c r="C3243">
        <v>394</v>
      </c>
    </row>
    <row r="3244" spans="1:3" x14ac:dyDescent="0.25">
      <c r="A3244">
        <v>11</v>
      </c>
      <c r="B3244">
        <v>0</v>
      </c>
      <c r="C3244">
        <v>394</v>
      </c>
    </row>
    <row r="3245" spans="1:3" x14ac:dyDescent="0.25">
      <c r="A3245">
        <v>15</v>
      </c>
      <c r="B3245">
        <v>0</v>
      </c>
      <c r="C3245">
        <v>394</v>
      </c>
    </row>
    <row r="3246" spans="1:3" x14ac:dyDescent="0.25">
      <c r="A3246">
        <v>14</v>
      </c>
      <c r="B3246">
        <v>0</v>
      </c>
      <c r="C3246">
        <v>394</v>
      </c>
    </row>
    <row r="3247" spans="1:3" x14ac:dyDescent="0.25">
      <c r="A3247">
        <v>14</v>
      </c>
      <c r="B3247">
        <v>0</v>
      </c>
      <c r="C3247">
        <v>394</v>
      </c>
    </row>
    <row r="3248" spans="1:3" x14ac:dyDescent="0.25">
      <c r="A3248">
        <v>12</v>
      </c>
      <c r="B3248">
        <v>0</v>
      </c>
      <c r="C3248">
        <v>387</v>
      </c>
    </row>
    <row r="3249" spans="1:3" x14ac:dyDescent="0.25">
      <c r="A3249">
        <v>12</v>
      </c>
      <c r="B3249">
        <v>0</v>
      </c>
      <c r="C3249">
        <v>387</v>
      </c>
    </row>
    <row r="3250" spans="1:3" x14ac:dyDescent="0.25">
      <c r="A3250">
        <v>12</v>
      </c>
      <c r="B3250">
        <v>0</v>
      </c>
      <c r="C3250">
        <v>387</v>
      </c>
    </row>
    <row r="3251" spans="1:3" x14ac:dyDescent="0.25">
      <c r="A3251">
        <v>11</v>
      </c>
      <c r="B3251">
        <v>0</v>
      </c>
      <c r="C3251">
        <v>387</v>
      </c>
    </row>
    <row r="3252" spans="1:3" x14ac:dyDescent="0.25">
      <c r="A3252">
        <v>12</v>
      </c>
      <c r="B3252">
        <v>0</v>
      </c>
      <c r="C3252">
        <v>387</v>
      </c>
    </row>
    <row r="3253" spans="1:3" x14ac:dyDescent="0.25">
      <c r="A3253">
        <v>12</v>
      </c>
      <c r="B3253">
        <v>0</v>
      </c>
      <c r="C3253">
        <v>387</v>
      </c>
    </row>
    <row r="3254" spans="1:3" x14ac:dyDescent="0.25">
      <c r="A3254">
        <v>11</v>
      </c>
      <c r="B3254">
        <v>0</v>
      </c>
      <c r="C3254">
        <v>387</v>
      </c>
    </row>
    <row r="3255" spans="1:3" x14ac:dyDescent="0.25">
      <c r="A3255">
        <v>12</v>
      </c>
      <c r="B3255">
        <v>0</v>
      </c>
      <c r="C3255">
        <v>387</v>
      </c>
    </row>
    <row r="3256" spans="1:3" x14ac:dyDescent="0.25">
      <c r="A3256">
        <v>11</v>
      </c>
      <c r="B3256">
        <v>0</v>
      </c>
      <c r="C3256">
        <v>396</v>
      </c>
    </row>
    <row r="3257" spans="1:3" x14ac:dyDescent="0.25">
      <c r="A3257">
        <v>12</v>
      </c>
      <c r="B3257">
        <v>0</v>
      </c>
      <c r="C3257">
        <v>396</v>
      </c>
    </row>
    <row r="3258" spans="1:3" x14ac:dyDescent="0.25">
      <c r="A3258">
        <v>11</v>
      </c>
      <c r="B3258">
        <v>0</v>
      </c>
      <c r="C3258">
        <v>396</v>
      </c>
    </row>
    <row r="3259" spans="1:3" x14ac:dyDescent="0.25">
      <c r="A3259">
        <v>12</v>
      </c>
      <c r="B3259">
        <v>0</v>
      </c>
      <c r="C3259">
        <v>396</v>
      </c>
    </row>
    <row r="3260" spans="1:3" x14ac:dyDescent="0.25">
      <c r="A3260">
        <v>12</v>
      </c>
      <c r="B3260">
        <v>0</v>
      </c>
      <c r="C3260">
        <v>396</v>
      </c>
    </row>
    <row r="3261" spans="1:3" x14ac:dyDescent="0.25">
      <c r="A3261">
        <v>12</v>
      </c>
      <c r="B3261">
        <v>0</v>
      </c>
      <c r="C3261">
        <v>396</v>
      </c>
    </row>
    <row r="3262" spans="1:3" x14ac:dyDescent="0.25">
      <c r="A3262">
        <v>14</v>
      </c>
      <c r="B3262">
        <v>0</v>
      </c>
      <c r="C3262">
        <v>396</v>
      </c>
    </row>
    <row r="3263" spans="1:3" x14ac:dyDescent="0.25">
      <c r="A3263">
        <v>12</v>
      </c>
      <c r="B3263">
        <v>0</v>
      </c>
      <c r="C3263">
        <v>396</v>
      </c>
    </row>
    <row r="3264" spans="1:3" x14ac:dyDescent="0.25">
      <c r="A3264">
        <v>11</v>
      </c>
      <c r="B3264">
        <v>0</v>
      </c>
      <c r="C3264">
        <v>355</v>
      </c>
    </row>
    <row r="3265" spans="1:3" x14ac:dyDescent="0.25">
      <c r="A3265">
        <v>12</v>
      </c>
      <c r="B3265">
        <v>0</v>
      </c>
      <c r="C3265">
        <v>355</v>
      </c>
    </row>
    <row r="3266" spans="1:3" x14ac:dyDescent="0.25">
      <c r="A3266">
        <v>15</v>
      </c>
      <c r="B3266">
        <v>0</v>
      </c>
      <c r="C3266">
        <v>355</v>
      </c>
    </row>
    <row r="3267" spans="1:3" x14ac:dyDescent="0.25">
      <c r="A3267">
        <v>15</v>
      </c>
      <c r="B3267">
        <v>0</v>
      </c>
      <c r="C3267">
        <v>355</v>
      </c>
    </row>
    <row r="3268" spans="1:3" x14ac:dyDescent="0.25">
      <c r="A3268">
        <v>12</v>
      </c>
      <c r="B3268">
        <v>0</v>
      </c>
      <c r="C3268">
        <v>355</v>
      </c>
    </row>
    <row r="3269" spans="1:3" x14ac:dyDescent="0.25">
      <c r="A3269">
        <v>13</v>
      </c>
      <c r="B3269">
        <v>0</v>
      </c>
      <c r="C3269">
        <v>355</v>
      </c>
    </row>
    <row r="3270" spans="1:3" x14ac:dyDescent="0.25">
      <c r="A3270">
        <v>12</v>
      </c>
      <c r="B3270">
        <v>0</v>
      </c>
      <c r="C3270">
        <v>355</v>
      </c>
    </row>
    <row r="3271" spans="1:3" x14ac:dyDescent="0.25">
      <c r="A3271">
        <v>12</v>
      </c>
      <c r="B3271">
        <v>0</v>
      </c>
      <c r="C3271">
        <v>355</v>
      </c>
    </row>
    <row r="3272" spans="1:3" x14ac:dyDescent="0.25">
      <c r="A3272">
        <v>12</v>
      </c>
      <c r="B3272">
        <v>0</v>
      </c>
      <c r="C3272">
        <v>389</v>
      </c>
    </row>
    <row r="3273" spans="1:3" x14ac:dyDescent="0.25">
      <c r="A3273">
        <v>14</v>
      </c>
      <c r="B3273">
        <v>0</v>
      </c>
      <c r="C3273">
        <v>389</v>
      </c>
    </row>
    <row r="3274" spans="1:3" x14ac:dyDescent="0.25">
      <c r="A3274">
        <v>12</v>
      </c>
      <c r="B3274">
        <v>0</v>
      </c>
      <c r="C3274">
        <v>389</v>
      </c>
    </row>
    <row r="3275" spans="1:3" x14ac:dyDescent="0.25">
      <c r="A3275">
        <v>13</v>
      </c>
      <c r="B3275">
        <v>0</v>
      </c>
      <c r="C3275">
        <v>389</v>
      </c>
    </row>
    <row r="3276" spans="1:3" x14ac:dyDescent="0.25">
      <c r="A3276">
        <v>12</v>
      </c>
      <c r="B3276">
        <v>0</v>
      </c>
      <c r="C3276">
        <v>389</v>
      </c>
    </row>
    <row r="3277" spans="1:3" x14ac:dyDescent="0.25">
      <c r="A3277">
        <v>12</v>
      </c>
      <c r="B3277">
        <v>0</v>
      </c>
      <c r="C3277">
        <v>389</v>
      </c>
    </row>
    <row r="3278" spans="1:3" x14ac:dyDescent="0.25">
      <c r="A3278">
        <v>12</v>
      </c>
      <c r="B3278">
        <v>0</v>
      </c>
      <c r="C3278">
        <v>389</v>
      </c>
    </row>
    <row r="3279" spans="1:3" x14ac:dyDescent="0.25">
      <c r="A3279">
        <v>13</v>
      </c>
      <c r="B3279">
        <v>0</v>
      </c>
      <c r="C3279">
        <v>389</v>
      </c>
    </row>
    <row r="3280" spans="1:3" x14ac:dyDescent="0.25">
      <c r="A3280">
        <v>12</v>
      </c>
      <c r="B3280">
        <v>0</v>
      </c>
      <c r="C3280">
        <v>345</v>
      </c>
    </row>
    <row r="3281" spans="1:3" x14ac:dyDescent="0.25">
      <c r="A3281">
        <v>12</v>
      </c>
      <c r="B3281">
        <v>0</v>
      </c>
      <c r="C3281">
        <v>345</v>
      </c>
    </row>
    <row r="3282" spans="1:3" x14ac:dyDescent="0.25">
      <c r="A3282">
        <v>13</v>
      </c>
      <c r="B3282">
        <v>0</v>
      </c>
      <c r="C3282">
        <v>345</v>
      </c>
    </row>
    <row r="3283" spans="1:3" x14ac:dyDescent="0.25">
      <c r="A3283">
        <v>12</v>
      </c>
      <c r="B3283">
        <v>0</v>
      </c>
      <c r="C3283">
        <v>345</v>
      </c>
    </row>
    <row r="3284" spans="1:3" x14ac:dyDescent="0.25">
      <c r="A3284">
        <v>12</v>
      </c>
      <c r="B3284">
        <v>0</v>
      </c>
      <c r="C3284">
        <v>345</v>
      </c>
    </row>
    <row r="3285" spans="1:3" x14ac:dyDescent="0.25">
      <c r="A3285">
        <v>14</v>
      </c>
      <c r="B3285">
        <v>0</v>
      </c>
      <c r="C3285">
        <v>345</v>
      </c>
    </row>
    <row r="3286" spans="1:3" x14ac:dyDescent="0.25">
      <c r="A3286">
        <v>12</v>
      </c>
      <c r="B3286">
        <v>0</v>
      </c>
      <c r="C3286">
        <v>345</v>
      </c>
    </row>
    <row r="3287" spans="1:3" x14ac:dyDescent="0.25">
      <c r="A3287">
        <v>12</v>
      </c>
      <c r="B3287">
        <v>0</v>
      </c>
      <c r="C3287">
        <v>345</v>
      </c>
    </row>
    <row r="3288" spans="1:3" x14ac:dyDescent="0.25">
      <c r="A3288">
        <v>11</v>
      </c>
      <c r="B3288">
        <v>0</v>
      </c>
      <c r="C3288">
        <v>330</v>
      </c>
    </row>
    <row r="3289" spans="1:3" x14ac:dyDescent="0.25">
      <c r="A3289">
        <v>13</v>
      </c>
      <c r="B3289">
        <v>0</v>
      </c>
      <c r="C3289">
        <v>330</v>
      </c>
    </row>
    <row r="3290" spans="1:3" x14ac:dyDescent="0.25">
      <c r="A3290">
        <v>13</v>
      </c>
      <c r="B3290">
        <v>0</v>
      </c>
      <c r="C3290">
        <v>330</v>
      </c>
    </row>
    <row r="3291" spans="1:3" x14ac:dyDescent="0.25">
      <c r="A3291">
        <v>12</v>
      </c>
      <c r="B3291">
        <v>0</v>
      </c>
      <c r="C3291">
        <v>330</v>
      </c>
    </row>
    <row r="3292" spans="1:3" x14ac:dyDescent="0.25">
      <c r="A3292">
        <v>12</v>
      </c>
      <c r="B3292">
        <v>0</v>
      </c>
      <c r="C3292">
        <v>330</v>
      </c>
    </row>
    <row r="3293" spans="1:3" x14ac:dyDescent="0.25">
      <c r="A3293">
        <v>13</v>
      </c>
      <c r="B3293">
        <v>0</v>
      </c>
      <c r="C3293">
        <v>330</v>
      </c>
    </row>
    <row r="3294" spans="1:3" x14ac:dyDescent="0.25">
      <c r="A3294">
        <v>11</v>
      </c>
      <c r="B3294">
        <v>0</v>
      </c>
      <c r="C3294">
        <v>330</v>
      </c>
    </row>
    <row r="3295" spans="1:3" x14ac:dyDescent="0.25">
      <c r="A3295">
        <v>13</v>
      </c>
      <c r="B3295">
        <v>0</v>
      </c>
      <c r="C3295">
        <v>330</v>
      </c>
    </row>
    <row r="3296" spans="1:3" x14ac:dyDescent="0.25">
      <c r="A3296">
        <v>11</v>
      </c>
      <c r="B3296">
        <v>0</v>
      </c>
      <c r="C3296">
        <v>370</v>
      </c>
    </row>
    <row r="3297" spans="1:3" x14ac:dyDescent="0.25">
      <c r="A3297">
        <v>12</v>
      </c>
      <c r="B3297">
        <v>0</v>
      </c>
      <c r="C3297">
        <v>370</v>
      </c>
    </row>
    <row r="3298" spans="1:3" x14ac:dyDescent="0.25">
      <c r="A3298">
        <v>13</v>
      </c>
      <c r="B3298">
        <v>0</v>
      </c>
      <c r="C3298">
        <v>370</v>
      </c>
    </row>
    <row r="3299" spans="1:3" x14ac:dyDescent="0.25">
      <c r="A3299">
        <v>12</v>
      </c>
      <c r="B3299">
        <v>0</v>
      </c>
      <c r="C3299">
        <v>370</v>
      </c>
    </row>
    <row r="3300" spans="1:3" x14ac:dyDescent="0.25">
      <c r="A3300">
        <v>14</v>
      </c>
      <c r="B3300">
        <v>0</v>
      </c>
      <c r="C3300">
        <v>370</v>
      </c>
    </row>
    <row r="3301" spans="1:3" x14ac:dyDescent="0.25">
      <c r="A3301">
        <v>13</v>
      </c>
      <c r="B3301">
        <v>0</v>
      </c>
      <c r="C3301">
        <v>370</v>
      </c>
    </row>
    <row r="3302" spans="1:3" x14ac:dyDescent="0.25">
      <c r="A3302">
        <v>12</v>
      </c>
      <c r="B3302">
        <v>0</v>
      </c>
      <c r="C3302">
        <v>370</v>
      </c>
    </row>
    <row r="3303" spans="1:3" x14ac:dyDescent="0.25">
      <c r="A3303">
        <v>11</v>
      </c>
      <c r="B3303">
        <v>0</v>
      </c>
      <c r="C3303">
        <v>471</v>
      </c>
    </row>
    <row r="3304" spans="1:3" x14ac:dyDescent="0.25">
      <c r="A3304">
        <v>13</v>
      </c>
      <c r="B3304">
        <v>0</v>
      </c>
      <c r="C3304">
        <v>471</v>
      </c>
    </row>
    <row r="3305" spans="1:3" x14ac:dyDescent="0.25">
      <c r="A3305">
        <v>13</v>
      </c>
      <c r="B3305">
        <v>0</v>
      </c>
      <c r="C3305">
        <v>471</v>
      </c>
    </row>
    <row r="3306" spans="1:3" x14ac:dyDescent="0.25">
      <c r="A3306">
        <v>11</v>
      </c>
      <c r="B3306">
        <v>0</v>
      </c>
      <c r="C3306">
        <v>471</v>
      </c>
    </row>
    <row r="3307" spans="1:3" x14ac:dyDescent="0.25">
      <c r="A3307">
        <v>13</v>
      </c>
      <c r="B3307">
        <v>0</v>
      </c>
      <c r="C3307">
        <v>471</v>
      </c>
    </row>
    <row r="3308" spans="1:3" x14ac:dyDescent="0.25">
      <c r="A3308">
        <v>12</v>
      </c>
      <c r="B3308">
        <v>0</v>
      </c>
      <c r="C3308">
        <v>471</v>
      </c>
    </row>
    <row r="3309" spans="1:3" x14ac:dyDescent="0.25">
      <c r="A3309">
        <v>12</v>
      </c>
      <c r="B3309">
        <v>0</v>
      </c>
      <c r="C3309">
        <v>471</v>
      </c>
    </row>
    <row r="3310" spans="1:3" x14ac:dyDescent="0.25">
      <c r="A3310">
        <v>13</v>
      </c>
      <c r="B3310">
        <v>0</v>
      </c>
      <c r="C3310">
        <v>471</v>
      </c>
    </row>
    <row r="3311" spans="1:3" x14ac:dyDescent="0.25">
      <c r="A3311">
        <v>11</v>
      </c>
      <c r="B3311">
        <v>0</v>
      </c>
      <c r="C3311">
        <v>367</v>
      </c>
    </row>
    <row r="3312" spans="1:3" x14ac:dyDescent="0.25">
      <c r="A3312">
        <v>12</v>
      </c>
      <c r="B3312">
        <v>0</v>
      </c>
      <c r="C3312">
        <v>367</v>
      </c>
    </row>
    <row r="3313" spans="1:3" x14ac:dyDescent="0.25">
      <c r="A3313">
        <v>13</v>
      </c>
      <c r="B3313">
        <v>0</v>
      </c>
      <c r="C3313">
        <v>367</v>
      </c>
    </row>
    <row r="3314" spans="1:3" x14ac:dyDescent="0.25">
      <c r="A3314">
        <v>13</v>
      </c>
      <c r="B3314">
        <v>0</v>
      </c>
      <c r="C3314">
        <v>367</v>
      </c>
    </row>
    <row r="3315" spans="1:3" x14ac:dyDescent="0.25">
      <c r="A3315">
        <v>15</v>
      </c>
      <c r="B3315">
        <v>0</v>
      </c>
      <c r="C3315">
        <v>367</v>
      </c>
    </row>
    <row r="3316" spans="1:3" x14ac:dyDescent="0.25">
      <c r="A3316">
        <v>13</v>
      </c>
      <c r="B3316">
        <v>0</v>
      </c>
      <c r="C3316">
        <v>367</v>
      </c>
    </row>
    <row r="3317" spans="1:3" x14ac:dyDescent="0.25">
      <c r="A3317">
        <v>12</v>
      </c>
      <c r="B3317">
        <v>0</v>
      </c>
      <c r="C3317">
        <v>367</v>
      </c>
    </row>
    <row r="3318" spans="1:3" x14ac:dyDescent="0.25">
      <c r="A3318">
        <v>13</v>
      </c>
      <c r="B3318">
        <v>0</v>
      </c>
      <c r="C3318">
        <v>367</v>
      </c>
    </row>
    <row r="3319" spans="1:3" x14ac:dyDescent="0.25">
      <c r="A3319">
        <v>11</v>
      </c>
      <c r="B3319">
        <v>0</v>
      </c>
      <c r="C3319">
        <v>307</v>
      </c>
    </row>
    <row r="3320" spans="1:3" x14ac:dyDescent="0.25">
      <c r="A3320">
        <v>12</v>
      </c>
      <c r="B3320">
        <v>0</v>
      </c>
      <c r="C3320">
        <v>307</v>
      </c>
    </row>
    <row r="3321" spans="1:3" x14ac:dyDescent="0.25">
      <c r="A3321">
        <v>15</v>
      </c>
      <c r="B3321">
        <v>0</v>
      </c>
      <c r="C3321">
        <v>307</v>
      </c>
    </row>
    <row r="3322" spans="1:3" x14ac:dyDescent="0.25">
      <c r="A3322">
        <v>11</v>
      </c>
      <c r="B3322">
        <v>0</v>
      </c>
      <c r="C3322">
        <v>307</v>
      </c>
    </row>
    <row r="3323" spans="1:3" x14ac:dyDescent="0.25">
      <c r="A3323">
        <v>14</v>
      </c>
      <c r="B3323">
        <v>0</v>
      </c>
      <c r="C3323">
        <v>307</v>
      </c>
    </row>
    <row r="3324" spans="1:3" x14ac:dyDescent="0.25">
      <c r="A3324">
        <v>11</v>
      </c>
      <c r="B3324">
        <v>0</v>
      </c>
      <c r="C3324">
        <v>307</v>
      </c>
    </row>
    <row r="3325" spans="1:3" x14ac:dyDescent="0.25">
      <c r="A3325">
        <v>12</v>
      </c>
      <c r="B3325">
        <v>0</v>
      </c>
      <c r="C3325">
        <v>307</v>
      </c>
    </row>
    <row r="3326" spans="1:3" x14ac:dyDescent="0.25">
      <c r="A3326">
        <v>13</v>
      </c>
      <c r="B3326">
        <v>0</v>
      </c>
      <c r="C3326">
        <v>307</v>
      </c>
    </row>
    <row r="3327" spans="1:3" x14ac:dyDescent="0.25">
      <c r="A3327">
        <v>12</v>
      </c>
      <c r="B3327">
        <v>0</v>
      </c>
      <c r="C3327">
        <v>385</v>
      </c>
    </row>
    <row r="3328" spans="1:3" x14ac:dyDescent="0.25">
      <c r="A3328">
        <v>13</v>
      </c>
      <c r="B3328">
        <v>0</v>
      </c>
      <c r="C3328">
        <v>385</v>
      </c>
    </row>
    <row r="3329" spans="1:3" x14ac:dyDescent="0.25">
      <c r="A3329">
        <v>12</v>
      </c>
      <c r="B3329">
        <v>0</v>
      </c>
      <c r="C3329">
        <v>385</v>
      </c>
    </row>
    <row r="3330" spans="1:3" x14ac:dyDescent="0.25">
      <c r="A3330">
        <v>11</v>
      </c>
      <c r="B3330">
        <v>0</v>
      </c>
      <c r="C3330">
        <v>385</v>
      </c>
    </row>
    <row r="3331" spans="1:3" x14ac:dyDescent="0.25">
      <c r="A3331">
        <v>12</v>
      </c>
      <c r="B3331">
        <v>0</v>
      </c>
      <c r="C3331">
        <v>385</v>
      </c>
    </row>
    <row r="3332" spans="1:3" x14ac:dyDescent="0.25">
      <c r="A3332">
        <v>13</v>
      </c>
      <c r="B3332">
        <v>0</v>
      </c>
      <c r="C3332">
        <v>385</v>
      </c>
    </row>
    <row r="3333" spans="1:3" x14ac:dyDescent="0.25">
      <c r="A3333">
        <v>15</v>
      </c>
      <c r="B3333">
        <v>0</v>
      </c>
      <c r="C3333">
        <v>385</v>
      </c>
    </row>
    <row r="3334" spans="1:3" x14ac:dyDescent="0.25">
      <c r="A3334">
        <v>11</v>
      </c>
      <c r="B3334">
        <v>0</v>
      </c>
      <c r="C3334">
        <v>385</v>
      </c>
    </row>
    <row r="3335" spans="1:3" x14ac:dyDescent="0.25">
      <c r="A3335">
        <v>14</v>
      </c>
      <c r="B3335">
        <v>0</v>
      </c>
      <c r="C3335">
        <v>318</v>
      </c>
    </row>
    <row r="3336" spans="1:3" x14ac:dyDescent="0.25">
      <c r="A3336">
        <v>12</v>
      </c>
      <c r="B3336">
        <v>0</v>
      </c>
      <c r="C3336">
        <v>318</v>
      </c>
    </row>
    <row r="3337" spans="1:3" x14ac:dyDescent="0.25">
      <c r="A3337">
        <v>12</v>
      </c>
      <c r="B3337">
        <v>0</v>
      </c>
      <c r="C3337">
        <v>318</v>
      </c>
    </row>
    <row r="3338" spans="1:3" x14ac:dyDescent="0.25">
      <c r="A3338">
        <v>19</v>
      </c>
      <c r="B3338">
        <v>0</v>
      </c>
      <c r="C3338">
        <v>318</v>
      </c>
    </row>
    <row r="3339" spans="1:3" x14ac:dyDescent="0.25">
      <c r="A3339">
        <v>13</v>
      </c>
      <c r="B3339">
        <v>0</v>
      </c>
      <c r="C3339">
        <v>318</v>
      </c>
    </row>
    <row r="3340" spans="1:3" x14ac:dyDescent="0.25">
      <c r="A3340">
        <v>14</v>
      </c>
      <c r="B3340">
        <v>0</v>
      </c>
      <c r="C3340">
        <v>318</v>
      </c>
    </row>
    <row r="3341" spans="1:3" x14ac:dyDescent="0.25">
      <c r="A3341">
        <v>11</v>
      </c>
      <c r="B3341">
        <v>0</v>
      </c>
      <c r="C3341">
        <v>318</v>
      </c>
    </row>
    <row r="3342" spans="1:3" x14ac:dyDescent="0.25">
      <c r="A3342">
        <v>12</v>
      </c>
      <c r="B3342">
        <v>0</v>
      </c>
      <c r="C3342">
        <v>318</v>
      </c>
    </row>
    <row r="3343" spans="1:3" x14ac:dyDescent="0.25">
      <c r="A3343">
        <v>11</v>
      </c>
      <c r="B3343">
        <v>0</v>
      </c>
      <c r="C3343">
        <v>372</v>
      </c>
    </row>
    <row r="3344" spans="1:3" x14ac:dyDescent="0.25">
      <c r="A3344">
        <v>11</v>
      </c>
      <c r="B3344">
        <v>0</v>
      </c>
      <c r="C3344">
        <v>372</v>
      </c>
    </row>
    <row r="3345" spans="1:3" x14ac:dyDescent="0.25">
      <c r="A3345">
        <v>12</v>
      </c>
      <c r="B3345">
        <v>0</v>
      </c>
      <c r="C3345">
        <v>372</v>
      </c>
    </row>
    <row r="3346" spans="1:3" x14ac:dyDescent="0.25">
      <c r="A3346">
        <v>11</v>
      </c>
      <c r="B3346">
        <v>0</v>
      </c>
      <c r="C3346">
        <v>372</v>
      </c>
    </row>
    <row r="3347" spans="1:3" x14ac:dyDescent="0.25">
      <c r="A3347">
        <v>12</v>
      </c>
      <c r="B3347">
        <v>0</v>
      </c>
      <c r="C3347">
        <v>372</v>
      </c>
    </row>
    <row r="3348" spans="1:3" x14ac:dyDescent="0.25">
      <c r="A3348">
        <v>14</v>
      </c>
      <c r="B3348">
        <v>0</v>
      </c>
      <c r="C3348">
        <v>372</v>
      </c>
    </row>
    <row r="3349" spans="1:3" x14ac:dyDescent="0.25">
      <c r="A3349">
        <v>12</v>
      </c>
      <c r="B3349">
        <v>0</v>
      </c>
      <c r="C3349">
        <v>372</v>
      </c>
    </row>
    <row r="3350" spans="1:3" x14ac:dyDescent="0.25">
      <c r="A3350">
        <v>10</v>
      </c>
      <c r="B3350">
        <v>0</v>
      </c>
      <c r="C3350">
        <v>372</v>
      </c>
    </row>
    <row r="3351" spans="1:3" x14ac:dyDescent="0.25">
      <c r="A3351">
        <v>12</v>
      </c>
      <c r="B3351">
        <v>0</v>
      </c>
      <c r="C3351">
        <v>316</v>
      </c>
    </row>
    <row r="3352" spans="1:3" x14ac:dyDescent="0.25">
      <c r="A3352">
        <v>12</v>
      </c>
      <c r="B3352">
        <v>0</v>
      </c>
      <c r="C3352">
        <v>316</v>
      </c>
    </row>
    <row r="3353" spans="1:3" x14ac:dyDescent="0.25">
      <c r="A3353">
        <v>13</v>
      </c>
      <c r="B3353">
        <v>0</v>
      </c>
      <c r="C3353">
        <v>316</v>
      </c>
    </row>
    <row r="3354" spans="1:3" x14ac:dyDescent="0.25">
      <c r="A3354">
        <v>12</v>
      </c>
      <c r="B3354">
        <v>0</v>
      </c>
      <c r="C3354">
        <v>316</v>
      </c>
    </row>
    <row r="3355" spans="1:3" x14ac:dyDescent="0.25">
      <c r="A3355">
        <v>19</v>
      </c>
      <c r="B3355">
        <v>0</v>
      </c>
      <c r="C3355">
        <v>316</v>
      </c>
    </row>
    <row r="3356" spans="1:3" x14ac:dyDescent="0.25">
      <c r="A3356">
        <v>11</v>
      </c>
      <c r="B3356">
        <v>0</v>
      </c>
      <c r="C3356">
        <v>316</v>
      </c>
    </row>
    <row r="3357" spans="1:3" x14ac:dyDescent="0.25">
      <c r="A3357">
        <v>14</v>
      </c>
      <c r="B3357">
        <v>0</v>
      </c>
      <c r="C3357">
        <v>316</v>
      </c>
    </row>
    <row r="3358" spans="1:3" x14ac:dyDescent="0.25">
      <c r="A3358">
        <v>12</v>
      </c>
      <c r="B3358">
        <v>0</v>
      </c>
      <c r="C3358">
        <v>316</v>
      </c>
    </row>
    <row r="3359" spans="1:3" x14ac:dyDescent="0.25">
      <c r="A3359">
        <v>13</v>
      </c>
      <c r="B3359">
        <v>0</v>
      </c>
      <c r="C3359">
        <v>319</v>
      </c>
    </row>
    <row r="3360" spans="1:3" x14ac:dyDescent="0.25">
      <c r="A3360">
        <v>12</v>
      </c>
      <c r="B3360">
        <v>0</v>
      </c>
      <c r="C3360">
        <v>319</v>
      </c>
    </row>
    <row r="3361" spans="1:3" x14ac:dyDescent="0.25">
      <c r="A3361">
        <v>12</v>
      </c>
      <c r="B3361">
        <v>0</v>
      </c>
      <c r="C3361">
        <v>319</v>
      </c>
    </row>
    <row r="3362" spans="1:3" x14ac:dyDescent="0.25">
      <c r="A3362">
        <v>11</v>
      </c>
      <c r="B3362">
        <v>0</v>
      </c>
      <c r="C3362">
        <v>319</v>
      </c>
    </row>
    <row r="3363" spans="1:3" x14ac:dyDescent="0.25">
      <c r="A3363">
        <v>12</v>
      </c>
      <c r="B3363">
        <v>0</v>
      </c>
      <c r="C3363">
        <v>319</v>
      </c>
    </row>
    <row r="3364" spans="1:3" x14ac:dyDescent="0.25">
      <c r="A3364">
        <v>11</v>
      </c>
      <c r="B3364">
        <v>0</v>
      </c>
      <c r="C3364">
        <v>319</v>
      </c>
    </row>
    <row r="3365" spans="1:3" x14ac:dyDescent="0.25">
      <c r="A3365">
        <v>12</v>
      </c>
      <c r="B3365">
        <v>0</v>
      </c>
      <c r="C3365">
        <v>319</v>
      </c>
    </row>
    <row r="3366" spans="1:3" x14ac:dyDescent="0.25">
      <c r="A3366">
        <v>12</v>
      </c>
      <c r="B3366">
        <v>0</v>
      </c>
      <c r="C3366">
        <v>319</v>
      </c>
    </row>
    <row r="3367" spans="1:3" x14ac:dyDescent="0.25">
      <c r="A3367">
        <v>13</v>
      </c>
      <c r="B3367">
        <v>0</v>
      </c>
      <c r="C3367">
        <v>335</v>
      </c>
    </row>
    <row r="3368" spans="1:3" x14ac:dyDescent="0.25">
      <c r="A3368">
        <v>15</v>
      </c>
      <c r="B3368">
        <v>0</v>
      </c>
      <c r="C3368">
        <v>335</v>
      </c>
    </row>
    <row r="3369" spans="1:3" x14ac:dyDescent="0.25">
      <c r="A3369">
        <v>12</v>
      </c>
      <c r="B3369">
        <v>0</v>
      </c>
      <c r="C3369">
        <v>335</v>
      </c>
    </row>
    <row r="3370" spans="1:3" x14ac:dyDescent="0.25">
      <c r="A3370">
        <v>12</v>
      </c>
      <c r="B3370">
        <v>0</v>
      </c>
      <c r="C3370">
        <v>335</v>
      </c>
    </row>
    <row r="3371" spans="1:3" x14ac:dyDescent="0.25">
      <c r="A3371">
        <v>11</v>
      </c>
      <c r="B3371">
        <v>0</v>
      </c>
      <c r="C3371">
        <v>335</v>
      </c>
    </row>
    <row r="3372" spans="1:3" x14ac:dyDescent="0.25">
      <c r="A3372">
        <v>12</v>
      </c>
      <c r="B3372">
        <v>0</v>
      </c>
      <c r="C3372">
        <v>335</v>
      </c>
    </row>
    <row r="3373" spans="1:3" x14ac:dyDescent="0.25">
      <c r="A3373">
        <v>12</v>
      </c>
      <c r="B3373">
        <v>0</v>
      </c>
      <c r="C3373">
        <v>335</v>
      </c>
    </row>
    <row r="3374" spans="1:3" x14ac:dyDescent="0.25">
      <c r="A3374">
        <v>12</v>
      </c>
      <c r="B3374">
        <v>0</v>
      </c>
      <c r="C3374">
        <v>335</v>
      </c>
    </row>
    <row r="3375" spans="1:3" x14ac:dyDescent="0.25">
      <c r="A3375">
        <v>12</v>
      </c>
      <c r="B3375">
        <v>0</v>
      </c>
      <c r="C3375">
        <v>343</v>
      </c>
    </row>
    <row r="3376" spans="1:3" x14ac:dyDescent="0.25">
      <c r="A3376">
        <v>13</v>
      </c>
      <c r="B3376">
        <v>0</v>
      </c>
      <c r="C3376">
        <v>343</v>
      </c>
    </row>
    <row r="3377" spans="1:3" x14ac:dyDescent="0.25">
      <c r="A3377">
        <v>12</v>
      </c>
      <c r="B3377">
        <v>0</v>
      </c>
      <c r="C3377">
        <v>343</v>
      </c>
    </row>
    <row r="3378" spans="1:3" x14ac:dyDescent="0.25">
      <c r="A3378">
        <v>12</v>
      </c>
      <c r="B3378">
        <v>0</v>
      </c>
      <c r="C3378">
        <v>343</v>
      </c>
    </row>
    <row r="3379" spans="1:3" x14ac:dyDescent="0.25">
      <c r="A3379">
        <v>11</v>
      </c>
      <c r="B3379">
        <v>0</v>
      </c>
      <c r="C3379">
        <v>343</v>
      </c>
    </row>
    <row r="3380" spans="1:3" x14ac:dyDescent="0.25">
      <c r="A3380">
        <v>11</v>
      </c>
      <c r="B3380">
        <v>0</v>
      </c>
      <c r="C3380">
        <v>343</v>
      </c>
    </row>
    <row r="3381" spans="1:3" x14ac:dyDescent="0.25">
      <c r="A3381">
        <v>16</v>
      </c>
      <c r="B3381">
        <v>0</v>
      </c>
      <c r="C3381">
        <v>343</v>
      </c>
    </row>
    <row r="3382" spans="1:3" x14ac:dyDescent="0.25">
      <c r="A3382">
        <v>12</v>
      </c>
      <c r="B3382">
        <v>0</v>
      </c>
      <c r="C3382">
        <v>343</v>
      </c>
    </row>
    <row r="3383" spans="1:3" x14ac:dyDescent="0.25">
      <c r="A3383">
        <v>12</v>
      </c>
      <c r="B3383">
        <v>0</v>
      </c>
      <c r="C3383">
        <v>366</v>
      </c>
    </row>
    <row r="3384" spans="1:3" x14ac:dyDescent="0.25">
      <c r="A3384">
        <v>11</v>
      </c>
      <c r="B3384">
        <v>0</v>
      </c>
      <c r="C3384">
        <v>366</v>
      </c>
    </row>
    <row r="3385" spans="1:3" x14ac:dyDescent="0.25">
      <c r="A3385">
        <v>11</v>
      </c>
      <c r="B3385">
        <v>0</v>
      </c>
      <c r="C3385">
        <v>366</v>
      </c>
    </row>
    <row r="3386" spans="1:3" x14ac:dyDescent="0.25">
      <c r="A3386">
        <v>11</v>
      </c>
      <c r="B3386">
        <v>0</v>
      </c>
      <c r="C3386">
        <v>366</v>
      </c>
    </row>
    <row r="3387" spans="1:3" x14ac:dyDescent="0.25">
      <c r="A3387">
        <v>13</v>
      </c>
      <c r="B3387">
        <v>0</v>
      </c>
      <c r="C3387">
        <v>366</v>
      </c>
    </row>
    <row r="3388" spans="1:3" x14ac:dyDescent="0.25">
      <c r="A3388">
        <v>13</v>
      </c>
      <c r="B3388">
        <v>0</v>
      </c>
      <c r="C3388">
        <v>366</v>
      </c>
    </row>
    <row r="3389" spans="1:3" x14ac:dyDescent="0.25">
      <c r="A3389">
        <v>12</v>
      </c>
      <c r="B3389">
        <v>0</v>
      </c>
      <c r="C3389">
        <v>366</v>
      </c>
    </row>
    <row r="3390" spans="1:3" x14ac:dyDescent="0.25">
      <c r="A3390">
        <v>14</v>
      </c>
      <c r="B3390">
        <v>0</v>
      </c>
      <c r="C3390">
        <v>366</v>
      </c>
    </row>
    <row r="3391" spans="1:3" x14ac:dyDescent="0.25">
      <c r="A3391">
        <v>14</v>
      </c>
      <c r="B3391">
        <v>0</v>
      </c>
      <c r="C3391">
        <v>327</v>
      </c>
    </row>
    <row r="3392" spans="1:3" x14ac:dyDescent="0.25">
      <c r="A3392">
        <v>13</v>
      </c>
      <c r="B3392">
        <v>0</v>
      </c>
      <c r="C3392">
        <v>327</v>
      </c>
    </row>
    <row r="3393" spans="1:3" x14ac:dyDescent="0.25">
      <c r="A3393">
        <v>11</v>
      </c>
      <c r="B3393">
        <v>0</v>
      </c>
      <c r="C3393">
        <v>327</v>
      </c>
    </row>
    <row r="3394" spans="1:3" x14ac:dyDescent="0.25">
      <c r="A3394">
        <v>12</v>
      </c>
      <c r="B3394">
        <v>0</v>
      </c>
      <c r="C3394">
        <v>327</v>
      </c>
    </row>
    <row r="3395" spans="1:3" x14ac:dyDescent="0.25">
      <c r="A3395">
        <v>11</v>
      </c>
      <c r="B3395">
        <v>0</v>
      </c>
      <c r="C3395">
        <v>327</v>
      </c>
    </row>
    <row r="3396" spans="1:3" x14ac:dyDescent="0.25">
      <c r="A3396">
        <v>12</v>
      </c>
      <c r="B3396">
        <v>0</v>
      </c>
      <c r="C3396">
        <v>327</v>
      </c>
    </row>
    <row r="3397" spans="1:3" x14ac:dyDescent="0.25">
      <c r="A3397">
        <v>18</v>
      </c>
      <c r="B3397">
        <v>0</v>
      </c>
      <c r="C3397">
        <v>327</v>
      </c>
    </row>
    <row r="3398" spans="1:3" x14ac:dyDescent="0.25">
      <c r="A3398">
        <v>14</v>
      </c>
      <c r="B3398">
        <v>0</v>
      </c>
      <c r="C3398">
        <v>326</v>
      </c>
    </row>
    <row r="3399" spans="1:3" x14ac:dyDescent="0.25">
      <c r="A3399">
        <v>12</v>
      </c>
      <c r="B3399">
        <v>0</v>
      </c>
      <c r="C3399">
        <v>326</v>
      </c>
    </row>
    <row r="3400" spans="1:3" x14ac:dyDescent="0.25">
      <c r="A3400">
        <v>12</v>
      </c>
      <c r="B3400">
        <v>0</v>
      </c>
      <c r="C3400">
        <v>326</v>
      </c>
    </row>
    <row r="3401" spans="1:3" x14ac:dyDescent="0.25">
      <c r="A3401">
        <v>12</v>
      </c>
      <c r="B3401">
        <v>0</v>
      </c>
      <c r="C3401">
        <v>326</v>
      </c>
    </row>
    <row r="3402" spans="1:3" x14ac:dyDescent="0.25">
      <c r="A3402">
        <v>11</v>
      </c>
      <c r="B3402">
        <v>0</v>
      </c>
      <c r="C3402">
        <v>326</v>
      </c>
    </row>
    <row r="3403" spans="1:3" x14ac:dyDescent="0.25">
      <c r="A3403">
        <v>13</v>
      </c>
      <c r="B3403">
        <v>0</v>
      </c>
      <c r="C3403">
        <v>326</v>
      </c>
    </row>
    <row r="3404" spans="1:3" x14ac:dyDescent="0.25">
      <c r="A3404">
        <v>12</v>
      </c>
      <c r="B3404">
        <v>0</v>
      </c>
      <c r="C3404">
        <v>326</v>
      </c>
    </row>
    <row r="3405" spans="1:3" x14ac:dyDescent="0.25">
      <c r="A3405">
        <v>12</v>
      </c>
      <c r="B3405">
        <v>0</v>
      </c>
      <c r="C3405">
        <v>326</v>
      </c>
    </row>
    <row r="3406" spans="1:3" x14ac:dyDescent="0.25">
      <c r="A3406">
        <v>13</v>
      </c>
      <c r="B3406">
        <v>0</v>
      </c>
      <c r="C3406">
        <v>334</v>
      </c>
    </row>
    <row r="3407" spans="1:3" x14ac:dyDescent="0.25">
      <c r="A3407">
        <v>12</v>
      </c>
      <c r="B3407">
        <v>0</v>
      </c>
      <c r="C3407">
        <v>334</v>
      </c>
    </row>
    <row r="3408" spans="1:3" x14ac:dyDescent="0.25">
      <c r="A3408">
        <v>12</v>
      </c>
      <c r="B3408">
        <v>0</v>
      </c>
      <c r="C3408">
        <v>334</v>
      </c>
    </row>
    <row r="3409" spans="1:3" x14ac:dyDescent="0.25">
      <c r="A3409">
        <v>12</v>
      </c>
      <c r="B3409">
        <v>0</v>
      </c>
      <c r="C3409">
        <v>334</v>
      </c>
    </row>
    <row r="3410" spans="1:3" x14ac:dyDescent="0.25">
      <c r="A3410">
        <v>12</v>
      </c>
      <c r="B3410">
        <v>0</v>
      </c>
      <c r="C3410">
        <v>334</v>
      </c>
    </row>
    <row r="3411" spans="1:3" x14ac:dyDescent="0.25">
      <c r="A3411">
        <v>12</v>
      </c>
      <c r="B3411">
        <v>0</v>
      </c>
      <c r="C3411">
        <v>334</v>
      </c>
    </row>
    <row r="3412" spans="1:3" x14ac:dyDescent="0.25">
      <c r="A3412">
        <v>12</v>
      </c>
      <c r="B3412">
        <v>0</v>
      </c>
      <c r="C3412">
        <v>334</v>
      </c>
    </row>
    <row r="3413" spans="1:3" x14ac:dyDescent="0.25">
      <c r="A3413">
        <v>14</v>
      </c>
      <c r="B3413">
        <v>0</v>
      </c>
      <c r="C3413">
        <v>334</v>
      </c>
    </row>
    <row r="3414" spans="1:3" x14ac:dyDescent="0.25">
      <c r="A3414">
        <v>13</v>
      </c>
      <c r="B3414">
        <v>0</v>
      </c>
      <c r="C3414">
        <v>315</v>
      </c>
    </row>
    <row r="3415" spans="1:3" x14ac:dyDescent="0.25">
      <c r="A3415">
        <v>12</v>
      </c>
      <c r="B3415">
        <v>0</v>
      </c>
      <c r="C3415">
        <v>315</v>
      </c>
    </row>
    <row r="3416" spans="1:3" x14ac:dyDescent="0.25">
      <c r="A3416">
        <v>12</v>
      </c>
      <c r="B3416">
        <v>0</v>
      </c>
      <c r="C3416">
        <v>315</v>
      </c>
    </row>
    <row r="3417" spans="1:3" x14ac:dyDescent="0.25">
      <c r="A3417">
        <v>12</v>
      </c>
      <c r="B3417">
        <v>0</v>
      </c>
      <c r="C3417">
        <v>315</v>
      </c>
    </row>
    <row r="3418" spans="1:3" x14ac:dyDescent="0.25">
      <c r="A3418">
        <v>11</v>
      </c>
      <c r="B3418">
        <v>0</v>
      </c>
      <c r="C3418">
        <v>315</v>
      </c>
    </row>
    <row r="3419" spans="1:3" x14ac:dyDescent="0.25">
      <c r="A3419">
        <v>12</v>
      </c>
      <c r="B3419">
        <v>0</v>
      </c>
      <c r="C3419">
        <v>315</v>
      </c>
    </row>
    <row r="3420" spans="1:3" x14ac:dyDescent="0.25">
      <c r="A3420">
        <v>12</v>
      </c>
      <c r="B3420">
        <v>0</v>
      </c>
      <c r="C3420">
        <v>315</v>
      </c>
    </row>
    <row r="3421" spans="1:3" x14ac:dyDescent="0.25">
      <c r="A3421">
        <v>11</v>
      </c>
      <c r="B3421">
        <v>0</v>
      </c>
      <c r="C3421">
        <v>315</v>
      </c>
    </row>
    <row r="3422" spans="1:3" x14ac:dyDescent="0.25">
      <c r="A3422">
        <v>15</v>
      </c>
      <c r="B3422">
        <v>0</v>
      </c>
      <c r="C3422">
        <v>364</v>
      </c>
    </row>
    <row r="3423" spans="1:3" x14ac:dyDescent="0.25">
      <c r="A3423">
        <v>12</v>
      </c>
      <c r="B3423">
        <v>0</v>
      </c>
      <c r="C3423">
        <v>364</v>
      </c>
    </row>
    <row r="3424" spans="1:3" x14ac:dyDescent="0.25">
      <c r="A3424">
        <v>12</v>
      </c>
      <c r="B3424">
        <v>0</v>
      </c>
      <c r="C3424">
        <v>364</v>
      </c>
    </row>
    <row r="3425" spans="1:3" x14ac:dyDescent="0.25">
      <c r="A3425">
        <v>12</v>
      </c>
      <c r="B3425">
        <v>0</v>
      </c>
      <c r="C3425">
        <v>364</v>
      </c>
    </row>
    <row r="3426" spans="1:3" x14ac:dyDescent="0.25">
      <c r="A3426">
        <v>16</v>
      </c>
      <c r="B3426">
        <v>0</v>
      </c>
      <c r="C3426">
        <v>364</v>
      </c>
    </row>
    <row r="3427" spans="1:3" x14ac:dyDescent="0.25">
      <c r="A3427">
        <v>13</v>
      </c>
      <c r="B3427">
        <v>0</v>
      </c>
      <c r="C3427">
        <v>364</v>
      </c>
    </row>
    <row r="3428" spans="1:3" x14ac:dyDescent="0.25">
      <c r="A3428">
        <v>13</v>
      </c>
      <c r="B3428">
        <v>0</v>
      </c>
      <c r="C3428">
        <v>364</v>
      </c>
    </row>
    <row r="3429" spans="1:3" x14ac:dyDescent="0.25">
      <c r="A3429">
        <v>11</v>
      </c>
      <c r="B3429">
        <v>0</v>
      </c>
      <c r="C3429">
        <v>364</v>
      </c>
    </row>
    <row r="3430" spans="1:3" x14ac:dyDescent="0.25">
      <c r="A3430">
        <v>12</v>
      </c>
      <c r="B3430">
        <v>0</v>
      </c>
      <c r="C3430">
        <v>284</v>
      </c>
    </row>
    <row r="3431" spans="1:3" x14ac:dyDescent="0.25">
      <c r="A3431">
        <v>12</v>
      </c>
      <c r="B3431">
        <v>0</v>
      </c>
      <c r="C3431">
        <v>284</v>
      </c>
    </row>
    <row r="3432" spans="1:3" x14ac:dyDescent="0.25">
      <c r="A3432">
        <v>13</v>
      </c>
      <c r="B3432">
        <v>0</v>
      </c>
      <c r="C3432">
        <v>284</v>
      </c>
    </row>
    <row r="3433" spans="1:3" x14ac:dyDescent="0.25">
      <c r="A3433">
        <v>11</v>
      </c>
      <c r="B3433">
        <v>0</v>
      </c>
      <c r="C3433">
        <v>284</v>
      </c>
    </row>
    <row r="3434" spans="1:3" x14ac:dyDescent="0.25">
      <c r="A3434">
        <v>13</v>
      </c>
      <c r="B3434">
        <v>0</v>
      </c>
      <c r="C3434">
        <v>284</v>
      </c>
    </row>
    <row r="3435" spans="1:3" x14ac:dyDescent="0.25">
      <c r="A3435">
        <v>12</v>
      </c>
      <c r="B3435">
        <v>0</v>
      </c>
      <c r="C3435">
        <v>284</v>
      </c>
    </row>
    <row r="3436" spans="1:3" x14ac:dyDescent="0.25">
      <c r="A3436">
        <v>12</v>
      </c>
      <c r="B3436">
        <v>0</v>
      </c>
      <c r="C3436">
        <v>284</v>
      </c>
    </row>
    <row r="3437" spans="1:3" x14ac:dyDescent="0.25">
      <c r="A3437">
        <v>12</v>
      </c>
      <c r="B3437">
        <v>0</v>
      </c>
      <c r="C3437">
        <v>284</v>
      </c>
    </row>
    <row r="3438" spans="1:3" x14ac:dyDescent="0.25">
      <c r="A3438">
        <v>12</v>
      </c>
      <c r="B3438">
        <v>0</v>
      </c>
      <c r="C3438">
        <v>312</v>
      </c>
    </row>
    <row r="3439" spans="1:3" x14ac:dyDescent="0.25">
      <c r="A3439">
        <v>14</v>
      </c>
      <c r="B3439">
        <v>0</v>
      </c>
      <c r="C3439">
        <v>312</v>
      </c>
    </row>
    <row r="3440" spans="1:3" x14ac:dyDescent="0.25">
      <c r="A3440">
        <v>13</v>
      </c>
      <c r="B3440">
        <v>0</v>
      </c>
      <c r="C3440">
        <v>312</v>
      </c>
    </row>
    <row r="3441" spans="1:3" x14ac:dyDescent="0.25">
      <c r="A3441">
        <v>12</v>
      </c>
      <c r="B3441">
        <v>0</v>
      </c>
      <c r="C3441">
        <v>312</v>
      </c>
    </row>
    <row r="3442" spans="1:3" x14ac:dyDescent="0.25">
      <c r="A3442">
        <v>12</v>
      </c>
      <c r="B3442">
        <v>0</v>
      </c>
      <c r="C3442">
        <v>312</v>
      </c>
    </row>
    <row r="3443" spans="1:3" x14ac:dyDescent="0.25">
      <c r="A3443">
        <v>12</v>
      </c>
      <c r="B3443">
        <v>0</v>
      </c>
      <c r="C3443">
        <v>312</v>
      </c>
    </row>
    <row r="3444" spans="1:3" x14ac:dyDescent="0.25">
      <c r="A3444">
        <v>12</v>
      </c>
      <c r="B3444">
        <v>0</v>
      </c>
      <c r="C3444">
        <v>312</v>
      </c>
    </row>
    <row r="3445" spans="1:3" x14ac:dyDescent="0.25">
      <c r="A3445">
        <v>12</v>
      </c>
      <c r="B3445">
        <v>0</v>
      </c>
      <c r="C3445">
        <v>312</v>
      </c>
    </row>
    <row r="3446" spans="1:3" x14ac:dyDescent="0.25">
      <c r="A3446">
        <v>11</v>
      </c>
      <c r="B3446">
        <v>0</v>
      </c>
      <c r="C3446">
        <v>367</v>
      </c>
    </row>
    <row r="3447" spans="1:3" x14ac:dyDescent="0.25">
      <c r="A3447">
        <v>14</v>
      </c>
      <c r="B3447">
        <v>0</v>
      </c>
      <c r="C3447">
        <v>367</v>
      </c>
    </row>
    <row r="3448" spans="1:3" x14ac:dyDescent="0.25">
      <c r="A3448">
        <v>11</v>
      </c>
      <c r="B3448">
        <v>0</v>
      </c>
      <c r="C3448">
        <v>367</v>
      </c>
    </row>
    <row r="3449" spans="1:3" x14ac:dyDescent="0.25">
      <c r="A3449">
        <v>13</v>
      </c>
      <c r="B3449">
        <v>0</v>
      </c>
      <c r="C3449">
        <v>367</v>
      </c>
    </row>
    <row r="3450" spans="1:3" x14ac:dyDescent="0.25">
      <c r="A3450">
        <v>12</v>
      </c>
      <c r="B3450">
        <v>0</v>
      </c>
      <c r="C3450">
        <v>367</v>
      </c>
    </row>
    <row r="3451" spans="1:3" x14ac:dyDescent="0.25">
      <c r="A3451">
        <v>13</v>
      </c>
      <c r="B3451">
        <v>0</v>
      </c>
      <c r="C3451">
        <v>367</v>
      </c>
    </row>
    <row r="3452" spans="1:3" x14ac:dyDescent="0.25">
      <c r="A3452">
        <v>12</v>
      </c>
      <c r="B3452">
        <v>0</v>
      </c>
      <c r="C3452">
        <v>367</v>
      </c>
    </row>
    <row r="3453" spans="1:3" x14ac:dyDescent="0.25">
      <c r="A3453">
        <v>13</v>
      </c>
      <c r="B3453">
        <v>0</v>
      </c>
      <c r="C3453">
        <v>367</v>
      </c>
    </row>
    <row r="3454" spans="1:3" x14ac:dyDescent="0.25">
      <c r="A3454">
        <v>11</v>
      </c>
      <c r="B3454">
        <v>0</v>
      </c>
      <c r="C3454">
        <v>306</v>
      </c>
    </row>
    <row r="3455" spans="1:3" x14ac:dyDescent="0.25">
      <c r="A3455">
        <v>13</v>
      </c>
      <c r="B3455">
        <v>0</v>
      </c>
      <c r="C3455">
        <v>306</v>
      </c>
    </row>
    <row r="3456" spans="1:3" x14ac:dyDescent="0.25">
      <c r="A3456">
        <v>11</v>
      </c>
      <c r="B3456">
        <v>0</v>
      </c>
      <c r="C3456">
        <v>306</v>
      </c>
    </row>
    <row r="3457" spans="1:3" x14ac:dyDescent="0.25">
      <c r="A3457">
        <v>12</v>
      </c>
      <c r="B3457">
        <v>0</v>
      </c>
      <c r="C3457">
        <v>306</v>
      </c>
    </row>
    <row r="3458" spans="1:3" x14ac:dyDescent="0.25">
      <c r="A3458">
        <v>12</v>
      </c>
      <c r="B3458">
        <v>0</v>
      </c>
      <c r="C3458">
        <v>306</v>
      </c>
    </row>
    <row r="3459" spans="1:3" x14ac:dyDescent="0.25">
      <c r="A3459">
        <v>12</v>
      </c>
      <c r="B3459">
        <v>0</v>
      </c>
      <c r="C3459">
        <v>306</v>
      </c>
    </row>
    <row r="3460" spans="1:3" x14ac:dyDescent="0.25">
      <c r="A3460">
        <v>13</v>
      </c>
      <c r="B3460">
        <v>0</v>
      </c>
      <c r="C3460">
        <v>306</v>
      </c>
    </row>
    <row r="3461" spans="1:3" x14ac:dyDescent="0.25">
      <c r="A3461">
        <v>11</v>
      </c>
      <c r="B3461">
        <v>0</v>
      </c>
      <c r="C3461">
        <v>306</v>
      </c>
    </row>
    <row r="3462" spans="1:3" x14ac:dyDescent="0.25">
      <c r="A3462">
        <v>11</v>
      </c>
      <c r="B3462">
        <v>0</v>
      </c>
      <c r="C3462">
        <v>365</v>
      </c>
    </row>
    <row r="3463" spans="1:3" x14ac:dyDescent="0.25">
      <c r="A3463">
        <v>14</v>
      </c>
      <c r="B3463">
        <v>0</v>
      </c>
      <c r="C3463">
        <v>365</v>
      </c>
    </row>
    <row r="3464" spans="1:3" x14ac:dyDescent="0.25">
      <c r="A3464">
        <v>12</v>
      </c>
      <c r="B3464">
        <v>0</v>
      </c>
      <c r="C3464">
        <v>365</v>
      </c>
    </row>
    <row r="3465" spans="1:3" x14ac:dyDescent="0.25">
      <c r="A3465">
        <v>12</v>
      </c>
      <c r="B3465">
        <v>0</v>
      </c>
      <c r="C3465">
        <v>365</v>
      </c>
    </row>
    <row r="3466" spans="1:3" x14ac:dyDescent="0.25">
      <c r="A3466">
        <v>13</v>
      </c>
      <c r="B3466">
        <v>0</v>
      </c>
      <c r="C3466">
        <v>365</v>
      </c>
    </row>
    <row r="3467" spans="1:3" x14ac:dyDescent="0.25">
      <c r="A3467">
        <v>12</v>
      </c>
      <c r="B3467">
        <v>0</v>
      </c>
      <c r="C3467">
        <v>365</v>
      </c>
    </row>
    <row r="3468" spans="1:3" x14ac:dyDescent="0.25">
      <c r="A3468">
        <v>12</v>
      </c>
      <c r="B3468">
        <v>0</v>
      </c>
      <c r="C3468">
        <v>365</v>
      </c>
    </row>
    <row r="3469" spans="1:3" x14ac:dyDescent="0.25">
      <c r="A3469">
        <v>12</v>
      </c>
      <c r="B3469">
        <v>0</v>
      </c>
      <c r="C3469">
        <v>365</v>
      </c>
    </row>
    <row r="3470" spans="1:3" x14ac:dyDescent="0.25">
      <c r="A3470">
        <v>12</v>
      </c>
      <c r="B3470">
        <v>0</v>
      </c>
      <c r="C3470">
        <v>312</v>
      </c>
    </row>
    <row r="3471" spans="1:3" x14ac:dyDescent="0.25">
      <c r="A3471">
        <v>12</v>
      </c>
      <c r="B3471">
        <v>0</v>
      </c>
      <c r="C3471">
        <v>312</v>
      </c>
    </row>
    <row r="3472" spans="1:3" x14ac:dyDescent="0.25">
      <c r="A3472">
        <v>11</v>
      </c>
      <c r="B3472">
        <v>0</v>
      </c>
      <c r="C3472">
        <v>312</v>
      </c>
    </row>
    <row r="3473" spans="1:3" x14ac:dyDescent="0.25">
      <c r="A3473">
        <v>12</v>
      </c>
      <c r="B3473">
        <v>0</v>
      </c>
      <c r="C3473">
        <v>312</v>
      </c>
    </row>
    <row r="3474" spans="1:3" x14ac:dyDescent="0.25">
      <c r="A3474">
        <v>15</v>
      </c>
      <c r="B3474">
        <v>0</v>
      </c>
      <c r="C3474">
        <v>312</v>
      </c>
    </row>
    <row r="3475" spans="1:3" x14ac:dyDescent="0.25">
      <c r="A3475">
        <v>12</v>
      </c>
      <c r="B3475">
        <v>0</v>
      </c>
      <c r="C3475">
        <v>312</v>
      </c>
    </row>
    <row r="3476" spans="1:3" x14ac:dyDescent="0.25">
      <c r="A3476">
        <v>13</v>
      </c>
      <c r="B3476">
        <v>0</v>
      </c>
      <c r="C3476">
        <v>312</v>
      </c>
    </row>
    <row r="3477" spans="1:3" x14ac:dyDescent="0.25">
      <c r="A3477">
        <v>12</v>
      </c>
      <c r="B3477">
        <v>0</v>
      </c>
      <c r="C3477">
        <v>312</v>
      </c>
    </row>
    <row r="3478" spans="1:3" x14ac:dyDescent="0.25">
      <c r="A3478">
        <v>12</v>
      </c>
      <c r="B3478">
        <v>0</v>
      </c>
      <c r="C3478">
        <v>336</v>
      </c>
    </row>
    <row r="3479" spans="1:3" x14ac:dyDescent="0.25">
      <c r="A3479">
        <v>12</v>
      </c>
      <c r="B3479">
        <v>0</v>
      </c>
      <c r="C3479">
        <v>336</v>
      </c>
    </row>
    <row r="3480" spans="1:3" x14ac:dyDescent="0.25">
      <c r="A3480">
        <v>11</v>
      </c>
      <c r="B3480">
        <v>0</v>
      </c>
      <c r="C3480">
        <v>336</v>
      </c>
    </row>
    <row r="3481" spans="1:3" x14ac:dyDescent="0.25">
      <c r="A3481">
        <v>12</v>
      </c>
      <c r="B3481">
        <v>0</v>
      </c>
      <c r="C3481">
        <v>336</v>
      </c>
    </row>
    <row r="3482" spans="1:3" x14ac:dyDescent="0.25">
      <c r="A3482">
        <v>12</v>
      </c>
      <c r="B3482">
        <v>0</v>
      </c>
      <c r="C3482">
        <v>336</v>
      </c>
    </row>
    <row r="3483" spans="1:3" x14ac:dyDescent="0.25">
      <c r="A3483">
        <v>12</v>
      </c>
      <c r="B3483">
        <v>0</v>
      </c>
      <c r="C3483">
        <v>336</v>
      </c>
    </row>
    <row r="3484" spans="1:3" x14ac:dyDescent="0.25">
      <c r="A3484">
        <v>14</v>
      </c>
      <c r="B3484">
        <v>0</v>
      </c>
      <c r="C3484">
        <v>336</v>
      </c>
    </row>
    <row r="3485" spans="1:3" x14ac:dyDescent="0.25">
      <c r="A3485">
        <v>19</v>
      </c>
      <c r="B3485">
        <v>0</v>
      </c>
      <c r="C3485">
        <v>336</v>
      </c>
    </row>
    <row r="3486" spans="1:3" x14ac:dyDescent="0.25">
      <c r="A3486">
        <v>12</v>
      </c>
      <c r="B3486">
        <v>0</v>
      </c>
      <c r="C3486">
        <v>363</v>
      </c>
    </row>
    <row r="3487" spans="1:3" x14ac:dyDescent="0.25">
      <c r="A3487">
        <v>12</v>
      </c>
      <c r="B3487">
        <v>0</v>
      </c>
      <c r="C3487">
        <v>363</v>
      </c>
    </row>
    <row r="3488" spans="1:3" x14ac:dyDescent="0.25">
      <c r="A3488">
        <v>12</v>
      </c>
      <c r="B3488">
        <v>0</v>
      </c>
      <c r="C3488">
        <v>363</v>
      </c>
    </row>
    <row r="3489" spans="1:3" x14ac:dyDescent="0.25">
      <c r="A3489">
        <v>13</v>
      </c>
      <c r="B3489">
        <v>0</v>
      </c>
      <c r="C3489">
        <v>363</v>
      </c>
    </row>
    <row r="3490" spans="1:3" x14ac:dyDescent="0.25">
      <c r="A3490">
        <v>13</v>
      </c>
      <c r="B3490">
        <v>0</v>
      </c>
      <c r="C3490">
        <v>363</v>
      </c>
    </row>
    <row r="3491" spans="1:3" x14ac:dyDescent="0.25">
      <c r="A3491">
        <v>11</v>
      </c>
      <c r="B3491">
        <v>0</v>
      </c>
      <c r="C3491">
        <v>363</v>
      </c>
    </row>
    <row r="3492" spans="1:3" x14ac:dyDescent="0.25">
      <c r="A3492">
        <v>12</v>
      </c>
      <c r="B3492">
        <v>0</v>
      </c>
      <c r="C3492">
        <v>363</v>
      </c>
    </row>
    <row r="3493" spans="1:3" x14ac:dyDescent="0.25">
      <c r="A3493">
        <v>12</v>
      </c>
      <c r="B3493">
        <v>0</v>
      </c>
      <c r="C3493">
        <v>363</v>
      </c>
    </row>
    <row r="3494" spans="1:3" x14ac:dyDescent="0.25">
      <c r="A3494">
        <v>12</v>
      </c>
      <c r="B3494">
        <v>0</v>
      </c>
      <c r="C3494">
        <v>351</v>
      </c>
    </row>
    <row r="3495" spans="1:3" x14ac:dyDescent="0.25">
      <c r="A3495">
        <v>11</v>
      </c>
      <c r="B3495">
        <v>0</v>
      </c>
      <c r="C3495">
        <v>351</v>
      </c>
    </row>
    <row r="3496" spans="1:3" x14ac:dyDescent="0.25">
      <c r="A3496">
        <v>12</v>
      </c>
      <c r="B3496">
        <v>0</v>
      </c>
      <c r="C3496">
        <v>351</v>
      </c>
    </row>
    <row r="3497" spans="1:3" x14ac:dyDescent="0.25">
      <c r="A3497">
        <v>12</v>
      </c>
      <c r="B3497">
        <v>0</v>
      </c>
      <c r="C3497">
        <v>351</v>
      </c>
    </row>
    <row r="3498" spans="1:3" x14ac:dyDescent="0.25">
      <c r="A3498">
        <v>14</v>
      </c>
      <c r="B3498">
        <v>0</v>
      </c>
      <c r="C3498">
        <v>351</v>
      </c>
    </row>
    <row r="3499" spans="1:3" x14ac:dyDescent="0.25">
      <c r="A3499">
        <v>11</v>
      </c>
      <c r="B3499">
        <v>0</v>
      </c>
      <c r="C3499">
        <v>351</v>
      </c>
    </row>
    <row r="3500" spans="1:3" x14ac:dyDescent="0.25">
      <c r="A3500">
        <v>18</v>
      </c>
      <c r="B3500">
        <v>0</v>
      </c>
      <c r="C3500">
        <v>351</v>
      </c>
    </row>
    <row r="3501" spans="1:3" x14ac:dyDescent="0.25">
      <c r="A3501">
        <v>14</v>
      </c>
      <c r="B3501">
        <v>0</v>
      </c>
      <c r="C3501">
        <v>351</v>
      </c>
    </row>
    <row r="3502" spans="1:3" x14ac:dyDescent="0.25">
      <c r="A3502">
        <v>34</v>
      </c>
      <c r="B3502">
        <v>0</v>
      </c>
      <c r="C3502">
        <v>389</v>
      </c>
    </row>
    <row r="3503" spans="1:3" x14ac:dyDescent="0.25">
      <c r="A3503">
        <v>12</v>
      </c>
      <c r="B3503">
        <v>0</v>
      </c>
      <c r="C3503">
        <v>389</v>
      </c>
    </row>
    <row r="3504" spans="1:3" x14ac:dyDescent="0.25">
      <c r="A3504">
        <v>13</v>
      </c>
      <c r="B3504">
        <v>0</v>
      </c>
      <c r="C3504">
        <v>389</v>
      </c>
    </row>
    <row r="3505" spans="1:3" x14ac:dyDescent="0.25">
      <c r="A3505">
        <v>12</v>
      </c>
      <c r="B3505">
        <v>0</v>
      </c>
      <c r="C3505">
        <v>389</v>
      </c>
    </row>
    <row r="3506" spans="1:3" x14ac:dyDescent="0.25">
      <c r="A3506">
        <v>12</v>
      </c>
      <c r="B3506">
        <v>0</v>
      </c>
      <c r="C3506">
        <v>389</v>
      </c>
    </row>
    <row r="3507" spans="1:3" x14ac:dyDescent="0.25">
      <c r="A3507">
        <v>12</v>
      </c>
      <c r="B3507">
        <v>0</v>
      </c>
      <c r="C3507">
        <v>389</v>
      </c>
    </row>
    <row r="3508" spans="1:3" x14ac:dyDescent="0.25">
      <c r="A3508">
        <v>11</v>
      </c>
      <c r="B3508">
        <v>0</v>
      </c>
      <c r="C3508">
        <v>389</v>
      </c>
    </row>
    <row r="3509" spans="1:3" x14ac:dyDescent="0.25">
      <c r="A3509">
        <v>12</v>
      </c>
      <c r="B3509">
        <v>0</v>
      </c>
      <c r="C3509">
        <v>389</v>
      </c>
    </row>
    <row r="3510" spans="1:3" x14ac:dyDescent="0.25">
      <c r="A3510">
        <v>11</v>
      </c>
      <c r="B3510">
        <v>0</v>
      </c>
      <c r="C3510">
        <v>297</v>
      </c>
    </row>
    <row r="3511" spans="1:3" x14ac:dyDescent="0.25">
      <c r="A3511">
        <v>13</v>
      </c>
      <c r="B3511">
        <v>0</v>
      </c>
      <c r="C3511">
        <v>297</v>
      </c>
    </row>
    <row r="3512" spans="1:3" x14ac:dyDescent="0.25">
      <c r="A3512">
        <v>12</v>
      </c>
      <c r="B3512">
        <v>0</v>
      </c>
      <c r="C3512">
        <v>297</v>
      </c>
    </row>
    <row r="3513" spans="1:3" x14ac:dyDescent="0.25">
      <c r="A3513">
        <v>12</v>
      </c>
      <c r="B3513">
        <v>0</v>
      </c>
      <c r="C3513">
        <v>297</v>
      </c>
    </row>
    <row r="3514" spans="1:3" x14ac:dyDescent="0.25">
      <c r="A3514">
        <v>11</v>
      </c>
      <c r="B3514">
        <v>0</v>
      </c>
      <c r="C3514">
        <v>297</v>
      </c>
    </row>
    <row r="3515" spans="1:3" x14ac:dyDescent="0.25">
      <c r="A3515">
        <v>12</v>
      </c>
      <c r="B3515">
        <v>0</v>
      </c>
      <c r="C3515">
        <v>297</v>
      </c>
    </row>
    <row r="3516" spans="1:3" x14ac:dyDescent="0.25">
      <c r="A3516">
        <v>15</v>
      </c>
      <c r="B3516">
        <v>0</v>
      </c>
      <c r="C3516">
        <v>297</v>
      </c>
    </row>
    <row r="3517" spans="1:3" x14ac:dyDescent="0.25">
      <c r="A3517">
        <v>12</v>
      </c>
      <c r="B3517">
        <v>0</v>
      </c>
      <c r="C3517">
        <v>297</v>
      </c>
    </row>
    <row r="3518" spans="1:3" x14ac:dyDescent="0.25">
      <c r="A3518">
        <v>11</v>
      </c>
      <c r="B3518">
        <v>0</v>
      </c>
      <c r="C3518">
        <v>361</v>
      </c>
    </row>
    <row r="3519" spans="1:3" x14ac:dyDescent="0.25">
      <c r="A3519">
        <v>11</v>
      </c>
      <c r="B3519">
        <v>0</v>
      </c>
      <c r="C3519">
        <v>361</v>
      </c>
    </row>
    <row r="3520" spans="1:3" x14ac:dyDescent="0.25">
      <c r="A3520">
        <v>13</v>
      </c>
      <c r="B3520">
        <v>0</v>
      </c>
      <c r="C3520">
        <v>361</v>
      </c>
    </row>
    <row r="3521" spans="1:3" x14ac:dyDescent="0.25">
      <c r="A3521">
        <v>12</v>
      </c>
      <c r="B3521">
        <v>0</v>
      </c>
      <c r="C3521">
        <v>361</v>
      </c>
    </row>
    <row r="3522" spans="1:3" x14ac:dyDescent="0.25">
      <c r="A3522">
        <v>11</v>
      </c>
      <c r="B3522">
        <v>0</v>
      </c>
      <c r="C3522">
        <v>361</v>
      </c>
    </row>
    <row r="3523" spans="1:3" x14ac:dyDescent="0.25">
      <c r="A3523">
        <v>11</v>
      </c>
      <c r="B3523">
        <v>0</v>
      </c>
      <c r="C3523">
        <v>361</v>
      </c>
    </row>
    <row r="3524" spans="1:3" x14ac:dyDescent="0.25">
      <c r="A3524">
        <v>12</v>
      </c>
      <c r="B3524">
        <v>0</v>
      </c>
      <c r="C3524">
        <v>361</v>
      </c>
    </row>
    <row r="3525" spans="1:3" x14ac:dyDescent="0.25">
      <c r="A3525">
        <v>12</v>
      </c>
      <c r="B3525">
        <v>0</v>
      </c>
      <c r="C3525">
        <v>361</v>
      </c>
    </row>
    <row r="3526" spans="1:3" x14ac:dyDescent="0.25">
      <c r="A3526">
        <v>12</v>
      </c>
      <c r="B3526">
        <v>0</v>
      </c>
      <c r="C3526">
        <v>324</v>
      </c>
    </row>
    <row r="3527" spans="1:3" x14ac:dyDescent="0.25">
      <c r="A3527">
        <v>11</v>
      </c>
      <c r="B3527">
        <v>0</v>
      </c>
      <c r="C3527">
        <v>324</v>
      </c>
    </row>
    <row r="3528" spans="1:3" x14ac:dyDescent="0.25">
      <c r="A3528">
        <v>11</v>
      </c>
      <c r="B3528">
        <v>0</v>
      </c>
      <c r="C3528">
        <v>324</v>
      </c>
    </row>
    <row r="3529" spans="1:3" x14ac:dyDescent="0.25">
      <c r="A3529">
        <v>11</v>
      </c>
      <c r="B3529">
        <v>0</v>
      </c>
      <c r="C3529">
        <v>324</v>
      </c>
    </row>
    <row r="3530" spans="1:3" x14ac:dyDescent="0.25">
      <c r="A3530">
        <v>13</v>
      </c>
      <c r="B3530">
        <v>0</v>
      </c>
      <c r="C3530">
        <v>324</v>
      </c>
    </row>
    <row r="3531" spans="1:3" x14ac:dyDescent="0.25">
      <c r="A3531">
        <v>15</v>
      </c>
      <c r="B3531">
        <v>0</v>
      </c>
      <c r="C3531">
        <v>324</v>
      </c>
    </row>
    <row r="3532" spans="1:3" x14ac:dyDescent="0.25">
      <c r="A3532">
        <v>11</v>
      </c>
      <c r="B3532">
        <v>0</v>
      </c>
      <c r="C3532">
        <v>324</v>
      </c>
    </row>
    <row r="3533" spans="1:3" x14ac:dyDescent="0.25">
      <c r="A3533">
        <v>12</v>
      </c>
      <c r="B3533">
        <v>0</v>
      </c>
      <c r="C3533">
        <v>324</v>
      </c>
    </row>
    <row r="3534" spans="1:3" x14ac:dyDescent="0.25">
      <c r="A3534">
        <v>13</v>
      </c>
      <c r="B3534">
        <v>0</v>
      </c>
      <c r="C3534">
        <v>322</v>
      </c>
    </row>
    <row r="3535" spans="1:3" x14ac:dyDescent="0.25">
      <c r="A3535">
        <v>12</v>
      </c>
      <c r="B3535">
        <v>0</v>
      </c>
      <c r="C3535">
        <v>322</v>
      </c>
    </row>
    <row r="3536" spans="1:3" x14ac:dyDescent="0.25">
      <c r="A3536">
        <v>12</v>
      </c>
      <c r="B3536">
        <v>0</v>
      </c>
      <c r="C3536">
        <v>322</v>
      </c>
    </row>
    <row r="3537" spans="1:3" x14ac:dyDescent="0.25">
      <c r="A3537">
        <v>12</v>
      </c>
      <c r="B3537">
        <v>0</v>
      </c>
      <c r="C3537">
        <v>322</v>
      </c>
    </row>
    <row r="3538" spans="1:3" x14ac:dyDescent="0.25">
      <c r="A3538">
        <v>12</v>
      </c>
      <c r="B3538">
        <v>0</v>
      </c>
      <c r="C3538">
        <v>322</v>
      </c>
    </row>
    <row r="3539" spans="1:3" x14ac:dyDescent="0.25">
      <c r="A3539">
        <v>12</v>
      </c>
      <c r="B3539">
        <v>0</v>
      </c>
      <c r="C3539">
        <v>322</v>
      </c>
    </row>
    <row r="3540" spans="1:3" x14ac:dyDescent="0.25">
      <c r="A3540">
        <v>11</v>
      </c>
      <c r="B3540">
        <v>0</v>
      </c>
      <c r="C3540">
        <v>322</v>
      </c>
    </row>
    <row r="3541" spans="1:3" x14ac:dyDescent="0.25">
      <c r="A3541">
        <v>15</v>
      </c>
      <c r="B3541">
        <v>0</v>
      </c>
      <c r="C3541">
        <v>322</v>
      </c>
    </row>
    <row r="3542" spans="1:3" x14ac:dyDescent="0.25">
      <c r="A3542">
        <v>11</v>
      </c>
      <c r="B3542">
        <v>0</v>
      </c>
      <c r="C3542">
        <v>306</v>
      </c>
    </row>
    <row r="3543" spans="1:3" x14ac:dyDescent="0.25">
      <c r="A3543">
        <v>11</v>
      </c>
      <c r="B3543">
        <v>0</v>
      </c>
      <c r="C3543">
        <v>306</v>
      </c>
    </row>
    <row r="3544" spans="1:3" x14ac:dyDescent="0.25">
      <c r="A3544">
        <v>12</v>
      </c>
      <c r="B3544">
        <v>0</v>
      </c>
      <c r="C3544">
        <v>306</v>
      </c>
    </row>
    <row r="3545" spans="1:3" x14ac:dyDescent="0.25">
      <c r="A3545">
        <v>14</v>
      </c>
      <c r="B3545">
        <v>0</v>
      </c>
      <c r="C3545">
        <v>306</v>
      </c>
    </row>
    <row r="3546" spans="1:3" x14ac:dyDescent="0.25">
      <c r="A3546">
        <v>11</v>
      </c>
      <c r="B3546">
        <v>0</v>
      </c>
      <c r="C3546">
        <v>306</v>
      </c>
    </row>
    <row r="3547" spans="1:3" x14ac:dyDescent="0.25">
      <c r="A3547">
        <v>11</v>
      </c>
      <c r="B3547">
        <v>0</v>
      </c>
      <c r="C3547">
        <v>306</v>
      </c>
    </row>
    <row r="3548" spans="1:3" x14ac:dyDescent="0.25">
      <c r="A3548">
        <v>11</v>
      </c>
      <c r="B3548">
        <v>0</v>
      </c>
      <c r="C3548">
        <v>306</v>
      </c>
    </row>
    <row r="3549" spans="1:3" x14ac:dyDescent="0.25">
      <c r="A3549">
        <v>11</v>
      </c>
      <c r="B3549">
        <v>0</v>
      </c>
      <c r="C3549">
        <v>306</v>
      </c>
    </row>
    <row r="3550" spans="1:3" x14ac:dyDescent="0.25">
      <c r="A3550">
        <v>12</v>
      </c>
      <c r="B3550">
        <v>0</v>
      </c>
      <c r="C3550">
        <v>322</v>
      </c>
    </row>
    <row r="3551" spans="1:3" x14ac:dyDescent="0.25">
      <c r="A3551">
        <v>12</v>
      </c>
      <c r="B3551">
        <v>0</v>
      </c>
      <c r="C3551">
        <v>322</v>
      </c>
    </row>
    <row r="3552" spans="1:3" x14ac:dyDescent="0.25">
      <c r="A3552">
        <v>13</v>
      </c>
      <c r="B3552">
        <v>0</v>
      </c>
      <c r="C3552">
        <v>322</v>
      </c>
    </row>
    <row r="3553" spans="1:3" x14ac:dyDescent="0.25">
      <c r="A3553">
        <v>11</v>
      </c>
      <c r="B3553">
        <v>0</v>
      </c>
      <c r="C3553">
        <v>322</v>
      </c>
    </row>
    <row r="3554" spans="1:3" x14ac:dyDescent="0.25">
      <c r="A3554">
        <v>11</v>
      </c>
      <c r="B3554">
        <v>0</v>
      </c>
      <c r="C3554">
        <v>322</v>
      </c>
    </row>
    <row r="3555" spans="1:3" x14ac:dyDescent="0.25">
      <c r="A3555">
        <v>13</v>
      </c>
      <c r="B3555">
        <v>0</v>
      </c>
      <c r="C3555">
        <v>322</v>
      </c>
    </row>
    <row r="3556" spans="1:3" x14ac:dyDescent="0.25">
      <c r="A3556">
        <v>12</v>
      </c>
      <c r="B3556">
        <v>0</v>
      </c>
      <c r="C3556">
        <v>322</v>
      </c>
    </row>
    <row r="3557" spans="1:3" x14ac:dyDescent="0.25">
      <c r="A3557">
        <v>12</v>
      </c>
      <c r="B3557">
        <v>0</v>
      </c>
      <c r="C3557">
        <v>322</v>
      </c>
    </row>
    <row r="3558" spans="1:3" x14ac:dyDescent="0.25">
      <c r="A3558">
        <v>13</v>
      </c>
      <c r="B3558">
        <v>0</v>
      </c>
      <c r="C3558">
        <v>339</v>
      </c>
    </row>
    <row r="3559" spans="1:3" x14ac:dyDescent="0.25">
      <c r="A3559">
        <v>12</v>
      </c>
      <c r="B3559">
        <v>0</v>
      </c>
      <c r="C3559">
        <v>339</v>
      </c>
    </row>
    <row r="3560" spans="1:3" x14ac:dyDescent="0.25">
      <c r="A3560">
        <v>15</v>
      </c>
      <c r="B3560">
        <v>0</v>
      </c>
      <c r="C3560">
        <v>339</v>
      </c>
    </row>
    <row r="3561" spans="1:3" x14ac:dyDescent="0.25">
      <c r="A3561">
        <v>16</v>
      </c>
      <c r="B3561">
        <v>0</v>
      </c>
      <c r="C3561">
        <v>339</v>
      </c>
    </row>
    <row r="3562" spans="1:3" x14ac:dyDescent="0.25">
      <c r="A3562">
        <v>12</v>
      </c>
      <c r="B3562">
        <v>0</v>
      </c>
      <c r="C3562">
        <v>339</v>
      </c>
    </row>
    <row r="3563" spans="1:3" x14ac:dyDescent="0.25">
      <c r="A3563">
        <v>11</v>
      </c>
      <c r="B3563">
        <v>0</v>
      </c>
      <c r="C3563">
        <v>339</v>
      </c>
    </row>
    <row r="3564" spans="1:3" x14ac:dyDescent="0.25">
      <c r="A3564">
        <v>12</v>
      </c>
      <c r="B3564">
        <v>0</v>
      </c>
      <c r="C3564">
        <v>339</v>
      </c>
    </row>
    <row r="3565" spans="1:3" x14ac:dyDescent="0.25">
      <c r="A3565">
        <v>12</v>
      </c>
      <c r="B3565">
        <v>0</v>
      </c>
      <c r="C3565">
        <v>339</v>
      </c>
    </row>
    <row r="3566" spans="1:3" x14ac:dyDescent="0.25">
      <c r="A3566">
        <v>12</v>
      </c>
      <c r="B3566">
        <v>0</v>
      </c>
      <c r="C3566">
        <v>320</v>
      </c>
    </row>
    <row r="3567" spans="1:3" x14ac:dyDescent="0.25">
      <c r="A3567">
        <v>12</v>
      </c>
      <c r="B3567">
        <v>0</v>
      </c>
      <c r="C3567">
        <v>320</v>
      </c>
    </row>
    <row r="3568" spans="1:3" x14ac:dyDescent="0.25">
      <c r="A3568">
        <v>15</v>
      </c>
      <c r="B3568">
        <v>0</v>
      </c>
      <c r="C3568">
        <v>320</v>
      </c>
    </row>
    <row r="3569" spans="1:3" x14ac:dyDescent="0.25">
      <c r="A3569">
        <v>11</v>
      </c>
      <c r="B3569">
        <v>0</v>
      </c>
      <c r="C3569">
        <v>320</v>
      </c>
    </row>
    <row r="3570" spans="1:3" x14ac:dyDescent="0.25">
      <c r="A3570">
        <v>12</v>
      </c>
      <c r="B3570">
        <v>0</v>
      </c>
      <c r="C3570">
        <v>320</v>
      </c>
    </row>
    <row r="3571" spans="1:3" x14ac:dyDescent="0.25">
      <c r="A3571">
        <v>15</v>
      </c>
      <c r="B3571">
        <v>0</v>
      </c>
      <c r="C3571">
        <v>320</v>
      </c>
    </row>
    <row r="3572" spans="1:3" x14ac:dyDescent="0.25">
      <c r="A3572">
        <v>13</v>
      </c>
      <c r="B3572">
        <v>0</v>
      </c>
      <c r="C3572">
        <v>320</v>
      </c>
    </row>
    <row r="3573" spans="1:3" x14ac:dyDescent="0.25">
      <c r="A3573">
        <v>14</v>
      </c>
      <c r="B3573">
        <v>0</v>
      </c>
      <c r="C3573">
        <v>320</v>
      </c>
    </row>
    <row r="3574" spans="1:3" x14ac:dyDescent="0.25">
      <c r="A3574">
        <v>16</v>
      </c>
      <c r="B3574">
        <v>0</v>
      </c>
      <c r="C3574">
        <v>337</v>
      </c>
    </row>
    <row r="3575" spans="1:3" x14ac:dyDescent="0.25">
      <c r="A3575">
        <v>13</v>
      </c>
      <c r="B3575">
        <v>0</v>
      </c>
      <c r="C3575">
        <v>337</v>
      </c>
    </row>
    <row r="3576" spans="1:3" x14ac:dyDescent="0.25">
      <c r="A3576">
        <v>11</v>
      </c>
      <c r="B3576">
        <v>0</v>
      </c>
      <c r="C3576">
        <v>337</v>
      </c>
    </row>
    <row r="3577" spans="1:3" x14ac:dyDescent="0.25">
      <c r="A3577">
        <v>12</v>
      </c>
      <c r="B3577">
        <v>0</v>
      </c>
      <c r="C3577">
        <v>337</v>
      </c>
    </row>
    <row r="3578" spans="1:3" x14ac:dyDescent="0.25">
      <c r="A3578">
        <v>11</v>
      </c>
      <c r="B3578">
        <v>0</v>
      </c>
      <c r="C3578">
        <v>337</v>
      </c>
    </row>
    <row r="3579" spans="1:3" x14ac:dyDescent="0.25">
      <c r="A3579">
        <v>13</v>
      </c>
      <c r="B3579">
        <v>0</v>
      </c>
      <c r="C3579">
        <v>337</v>
      </c>
    </row>
    <row r="3580" spans="1:3" x14ac:dyDescent="0.25">
      <c r="A3580">
        <v>11</v>
      </c>
      <c r="B3580">
        <v>0</v>
      </c>
      <c r="C3580">
        <v>337</v>
      </c>
    </row>
    <row r="3581" spans="1:3" x14ac:dyDescent="0.25">
      <c r="A3581">
        <v>12</v>
      </c>
      <c r="B3581">
        <v>0</v>
      </c>
      <c r="C3581">
        <v>337</v>
      </c>
    </row>
    <row r="3582" spans="1:3" x14ac:dyDescent="0.25">
      <c r="A3582">
        <v>11</v>
      </c>
      <c r="B3582">
        <v>0</v>
      </c>
      <c r="C3582">
        <v>316</v>
      </c>
    </row>
    <row r="3583" spans="1:3" x14ac:dyDescent="0.25">
      <c r="A3583">
        <v>12</v>
      </c>
      <c r="B3583">
        <v>0</v>
      </c>
      <c r="C3583">
        <v>316</v>
      </c>
    </row>
    <row r="3584" spans="1:3" x14ac:dyDescent="0.25">
      <c r="A3584">
        <v>12</v>
      </c>
      <c r="B3584">
        <v>0</v>
      </c>
      <c r="C3584">
        <v>316</v>
      </c>
    </row>
    <row r="3585" spans="1:3" x14ac:dyDescent="0.25">
      <c r="A3585">
        <v>12</v>
      </c>
      <c r="B3585">
        <v>0</v>
      </c>
      <c r="C3585">
        <v>316</v>
      </c>
    </row>
    <row r="3586" spans="1:3" x14ac:dyDescent="0.25">
      <c r="A3586">
        <v>12</v>
      </c>
      <c r="B3586">
        <v>0</v>
      </c>
      <c r="C3586">
        <v>316</v>
      </c>
    </row>
    <row r="3587" spans="1:3" x14ac:dyDescent="0.25">
      <c r="A3587">
        <v>14</v>
      </c>
      <c r="B3587">
        <v>0</v>
      </c>
      <c r="C3587">
        <v>316</v>
      </c>
    </row>
    <row r="3588" spans="1:3" x14ac:dyDescent="0.25">
      <c r="A3588">
        <v>13</v>
      </c>
      <c r="B3588">
        <v>0</v>
      </c>
      <c r="C3588">
        <v>316</v>
      </c>
    </row>
    <row r="3589" spans="1:3" x14ac:dyDescent="0.25">
      <c r="A3589">
        <v>11</v>
      </c>
      <c r="B3589">
        <v>0</v>
      </c>
      <c r="C3589">
        <v>316</v>
      </c>
    </row>
    <row r="3590" spans="1:3" x14ac:dyDescent="0.25">
      <c r="A3590">
        <v>12</v>
      </c>
      <c r="B3590">
        <v>0</v>
      </c>
      <c r="C3590">
        <v>282</v>
      </c>
    </row>
    <row r="3591" spans="1:3" x14ac:dyDescent="0.25">
      <c r="A3591">
        <v>15</v>
      </c>
      <c r="B3591">
        <v>0</v>
      </c>
      <c r="C3591">
        <v>282</v>
      </c>
    </row>
    <row r="3592" spans="1:3" x14ac:dyDescent="0.25">
      <c r="A3592">
        <v>12</v>
      </c>
      <c r="B3592">
        <v>0</v>
      </c>
      <c r="C3592">
        <v>282</v>
      </c>
    </row>
    <row r="3593" spans="1:3" x14ac:dyDescent="0.25">
      <c r="A3593">
        <v>11</v>
      </c>
      <c r="B3593">
        <v>0</v>
      </c>
      <c r="C3593">
        <v>282</v>
      </c>
    </row>
    <row r="3594" spans="1:3" x14ac:dyDescent="0.25">
      <c r="A3594">
        <v>12</v>
      </c>
      <c r="B3594">
        <v>0</v>
      </c>
      <c r="C3594">
        <v>282</v>
      </c>
    </row>
    <row r="3595" spans="1:3" x14ac:dyDescent="0.25">
      <c r="A3595">
        <v>12</v>
      </c>
      <c r="B3595">
        <v>0</v>
      </c>
      <c r="C3595">
        <v>282</v>
      </c>
    </row>
    <row r="3596" spans="1:3" x14ac:dyDescent="0.25">
      <c r="A3596">
        <v>14</v>
      </c>
      <c r="B3596">
        <v>0</v>
      </c>
      <c r="C3596">
        <v>282</v>
      </c>
    </row>
    <row r="3597" spans="1:3" x14ac:dyDescent="0.25">
      <c r="A3597">
        <v>13</v>
      </c>
      <c r="B3597">
        <v>0</v>
      </c>
      <c r="C3597">
        <v>282</v>
      </c>
    </row>
    <row r="3598" spans="1:3" x14ac:dyDescent="0.25">
      <c r="A3598">
        <v>11</v>
      </c>
      <c r="B3598">
        <v>0</v>
      </c>
      <c r="C3598">
        <v>316</v>
      </c>
    </row>
    <row r="3599" spans="1:3" x14ac:dyDescent="0.25">
      <c r="A3599">
        <v>12</v>
      </c>
      <c r="B3599">
        <v>0</v>
      </c>
      <c r="C3599">
        <v>316</v>
      </c>
    </row>
    <row r="3600" spans="1:3" x14ac:dyDescent="0.25">
      <c r="A3600">
        <v>11</v>
      </c>
      <c r="B3600">
        <v>0</v>
      </c>
      <c r="C3600">
        <v>316</v>
      </c>
    </row>
    <row r="3601" spans="1:3" x14ac:dyDescent="0.25">
      <c r="A3601">
        <v>12</v>
      </c>
      <c r="B3601">
        <v>0</v>
      </c>
      <c r="C3601">
        <v>316</v>
      </c>
    </row>
    <row r="3602" spans="1:3" x14ac:dyDescent="0.25">
      <c r="A3602">
        <v>41</v>
      </c>
      <c r="B3602">
        <v>0</v>
      </c>
      <c r="C3602">
        <v>128</v>
      </c>
    </row>
    <row r="3603" spans="1:3" x14ac:dyDescent="0.25">
      <c r="A3603">
        <v>16</v>
      </c>
      <c r="B3603">
        <v>0</v>
      </c>
      <c r="C3603">
        <v>128</v>
      </c>
    </row>
    <row r="3604" spans="1:3" x14ac:dyDescent="0.25">
      <c r="A3604">
        <v>14</v>
      </c>
      <c r="B3604">
        <v>0</v>
      </c>
      <c r="C3604">
        <v>128</v>
      </c>
    </row>
    <row r="3605" spans="1:3" x14ac:dyDescent="0.25">
      <c r="A3605">
        <v>12</v>
      </c>
      <c r="B3605">
        <v>0</v>
      </c>
      <c r="C3605">
        <v>128</v>
      </c>
    </row>
    <row r="3606" spans="1:3" x14ac:dyDescent="0.25">
      <c r="A3606">
        <v>13</v>
      </c>
      <c r="B3606">
        <v>0</v>
      </c>
      <c r="C3606">
        <v>128</v>
      </c>
    </row>
    <row r="3607" spans="1:3" x14ac:dyDescent="0.25">
      <c r="A3607">
        <v>11</v>
      </c>
      <c r="B3607">
        <v>0</v>
      </c>
      <c r="C3607">
        <v>128</v>
      </c>
    </row>
    <row r="3608" spans="1:3" x14ac:dyDescent="0.25">
      <c r="A3608">
        <v>12</v>
      </c>
      <c r="B3608">
        <v>0</v>
      </c>
      <c r="C3608">
        <v>128</v>
      </c>
    </row>
    <row r="3609" spans="1:3" x14ac:dyDescent="0.25">
      <c r="A3609">
        <v>13</v>
      </c>
      <c r="B3609">
        <v>0</v>
      </c>
      <c r="C3609">
        <v>128</v>
      </c>
    </row>
    <row r="3610" spans="1:3" x14ac:dyDescent="0.25">
      <c r="A3610">
        <v>13</v>
      </c>
      <c r="B3610">
        <v>0</v>
      </c>
      <c r="C3610">
        <v>395</v>
      </c>
    </row>
    <row r="3611" spans="1:3" x14ac:dyDescent="0.25">
      <c r="A3611">
        <v>16</v>
      </c>
      <c r="B3611">
        <v>0</v>
      </c>
      <c r="C3611">
        <v>395</v>
      </c>
    </row>
    <row r="3612" spans="1:3" x14ac:dyDescent="0.25">
      <c r="A3612">
        <v>13</v>
      </c>
      <c r="B3612">
        <v>0</v>
      </c>
      <c r="C3612">
        <v>395</v>
      </c>
    </row>
    <row r="3613" spans="1:3" x14ac:dyDescent="0.25">
      <c r="A3613">
        <v>12</v>
      </c>
      <c r="B3613">
        <v>0</v>
      </c>
      <c r="C3613">
        <v>395</v>
      </c>
    </row>
    <row r="3614" spans="1:3" x14ac:dyDescent="0.25">
      <c r="A3614">
        <v>12</v>
      </c>
      <c r="B3614">
        <v>0</v>
      </c>
      <c r="C3614">
        <v>395</v>
      </c>
    </row>
    <row r="3615" spans="1:3" x14ac:dyDescent="0.25">
      <c r="A3615">
        <v>15</v>
      </c>
      <c r="B3615">
        <v>0</v>
      </c>
      <c r="C3615">
        <v>395</v>
      </c>
    </row>
    <row r="3616" spans="1:3" x14ac:dyDescent="0.25">
      <c r="A3616">
        <v>15</v>
      </c>
      <c r="B3616">
        <v>0</v>
      </c>
      <c r="C3616">
        <v>395</v>
      </c>
    </row>
    <row r="3617" spans="1:3" x14ac:dyDescent="0.25">
      <c r="A3617">
        <v>13</v>
      </c>
      <c r="B3617">
        <v>0</v>
      </c>
      <c r="C3617">
        <v>409</v>
      </c>
    </row>
    <row r="3618" spans="1:3" x14ac:dyDescent="0.25">
      <c r="A3618">
        <v>12</v>
      </c>
      <c r="B3618">
        <v>0</v>
      </c>
      <c r="C3618">
        <v>409</v>
      </c>
    </row>
    <row r="3619" spans="1:3" x14ac:dyDescent="0.25">
      <c r="A3619">
        <v>12</v>
      </c>
      <c r="B3619">
        <v>0</v>
      </c>
      <c r="C3619">
        <v>409</v>
      </c>
    </row>
    <row r="3620" spans="1:3" x14ac:dyDescent="0.25">
      <c r="A3620">
        <v>12</v>
      </c>
      <c r="B3620">
        <v>0</v>
      </c>
      <c r="C3620">
        <v>409</v>
      </c>
    </row>
    <row r="3621" spans="1:3" x14ac:dyDescent="0.25">
      <c r="A3621">
        <v>13</v>
      </c>
      <c r="B3621">
        <v>0</v>
      </c>
      <c r="C3621">
        <v>409</v>
      </c>
    </row>
    <row r="3622" spans="1:3" x14ac:dyDescent="0.25">
      <c r="A3622">
        <v>12</v>
      </c>
      <c r="B3622">
        <v>0</v>
      </c>
      <c r="C3622">
        <v>409</v>
      </c>
    </row>
    <row r="3623" spans="1:3" x14ac:dyDescent="0.25">
      <c r="A3623">
        <v>13</v>
      </c>
      <c r="B3623">
        <v>0</v>
      </c>
      <c r="C3623">
        <v>409</v>
      </c>
    </row>
    <row r="3624" spans="1:3" x14ac:dyDescent="0.25">
      <c r="A3624">
        <v>11</v>
      </c>
      <c r="B3624">
        <v>0</v>
      </c>
      <c r="C3624">
        <v>409</v>
      </c>
    </row>
    <row r="3625" spans="1:3" x14ac:dyDescent="0.25">
      <c r="A3625">
        <v>11</v>
      </c>
      <c r="B3625">
        <v>0</v>
      </c>
      <c r="C3625">
        <v>376</v>
      </c>
    </row>
    <row r="3626" spans="1:3" x14ac:dyDescent="0.25">
      <c r="A3626">
        <v>13</v>
      </c>
      <c r="B3626">
        <v>0</v>
      </c>
      <c r="C3626">
        <v>376</v>
      </c>
    </row>
    <row r="3627" spans="1:3" x14ac:dyDescent="0.25">
      <c r="A3627">
        <v>13</v>
      </c>
      <c r="B3627">
        <v>0</v>
      </c>
      <c r="C3627">
        <v>376</v>
      </c>
    </row>
    <row r="3628" spans="1:3" x14ac:dyDescent="0.25">
      <c r="A3628">
        <v>12</v>
      </c>
      <c r="B3628">
        <v>0</v>
      </c>
      <c r="C3628">
        <v>376</v>
      </c>
    </row>
    <row r="3629" spans="1:3" x14ac:dyDescent="0.25">
      <c r="A3629">
        <v>12</v>
      </c>
      <c r="B3629">
        <v>0</v>
      </c>
      <c r="C3629">
        <v>376</v>
      </c>
    </row>
    <row r="3630" spans="1:3" x14ac:dyDescent="0.25">
      <c r="A3630">
        <v>12</v>
      </c>
      <c r="B3630">
        <v>0</v>
      </c>
      <c r="C3630">
        <v>376</v>
      </c>
    </row>
    <row r="3631" spans="1:3" x14ac:dyDescent="0.25">
      <c r="A3631">
        <v>14</v>
      </c>
      <c r="B3631">
        <v>0</v>
      </c>
      <c r="C3631">
        <v>376</v>
      </c>
    </row>
    <row r="3632" spans="1:3" x14ac:dyDescent="0.25">
      <c r="A3632">
        <v>16</v>
      </c>
      <c r="B3632">
        <v>0</v>
      </c>
      <c r="C3632">
        <v>376</v>
      </c>
    </row>
    <row r="3633" spans="1:3" x14ac:dyDescent="0.25">
      <c r="A3633">
        <v>11</v>
      </c>
      <c r="B3633">
        <v>0</v>
      </c>
      <c r="C3633">
        <v>369</v>
      </c>
    </row>
    <row r="3634" spans="1:3" x14ac:dyDescent="0.25">
      <c r="A3634">
        <v>12</v>
      </c>
      <c r="B3634">
        <v>0</v>
      </c>
      <c r="C3634">
        <v>369</v>
      </c>
    </row>
    <row r="3635" spans="1:3" x14ac:dyDescent="0.25">
      <c r="A3635">
        <v>12</v>
      </c>
      <c r="B3635">
        <v>0</v>
      </c>
      <c r="C3635">
        <v>369</v>
      </c>
    </row>
    <row r="3636" spans="1:3" x14ac:dyDescent="0.25">
      <c r="A3636">
        <v>12</v>
      </c>
      <c r="B3636">
        <v>0</v>
      </c>
      <c r="C3636">
        <v>369</v>
      </c>
    </row>
    <row r="3637" spans="1:3" x14ac:dyDescent="0.25">
      <c r="A3637">
        <v>14</v>
      </c>
      <c r="B3637">
        <v>0</v>
      </c>
      <c r="C3637">
        <v>369</v>
      </c>
    </row>
    <row r="3638" spans="1:3" x14ac:dyDescent="0.25">
      <c r="A3638">
        <v>12</v>
      </c>
      <c r="B3638">
        <v>0</v>
      </c>
      <c r="C3638">
        <v>369</v>
      </c>
    </row>
    <row r="3639" spans="1:3" x14ac:dyDescent="0.25">
      <c r="A3639">
        <v>15</v>
      </c>
      <c r="B3639">
        <v>0</v>
      </c>
      <c r="C3639">
        <v>369</v>
      </c>
    </row>
    <row r="3640" spans="1:3" x14ac:dyDescent="0.25">
      <c r="A3640">
        <v>12</v>
      </c>
      <c r="B3640">
        <v>0</v>
      </c>
      <c r="C3640">
        <v>361</v>
      </c>
    </row>
    <row r="3641" spans="1:3" x14ac:dyDescent="0.25">
      <c r="A3641">
        <v>12</v>
      </c>
      <c r="B3641">
        <v>0</v>
      </c>
      <c r="C3641">
        <v>361</v>
      </c>
    </row>
    <row r="3642" spans="1:3" x14ac:dyDescent="0.25">
      <c r="A3642">
        <v>11</v>
      </c>
      <c r="B3642">
        <v>0</v>
      </c>
      <c r="C3642">
        <v>361</v>
      </c>
    </row>
    <row r="3643" spans="1:3" x14ac:dyDescent="0.25">
      <c r="A3643">
        <v>12</v>
      </c>
      <c r="B3643">
        <v>0</v>
      </c>
      <c r="C3643">
        <v>361</v>
      </c>
    </row>
    <row r="3644" spans="1:3" x14ac:dyDescent="0.25">
      <c r="A3644">
        <v>12</v>
      </c>
      <c r="B3644">
        <v>0</v>
      </c>
      <c r="C3644">
        <v>361</v>
      </c>
    </row>
    <row r="3645" spans="1:3" x14ac:dyDescent="0.25">
      <c r="A3645">
        <v>15</v>
      </c>
      <c r="B3645">
        <v>0</v>
      </c>
      <c r="C3645">
        <v>361</v>
      </c>
    </row>
    <row r="3646" spans="1:3" x14ac:dyDescent="0.25">
      <c r="A3646">
        <v>13</v>
      </c>
      <c r="B3646">
        <v>0</v>
      </c>
      <c r="C3646">
        <v>361</v>
      </c>
    </row>
    <row r="3647" spans="1:3" x14ac:dyDescent="0.25">
      <c r="A3647">
        <v>12</v>
      </c>
      <c r="B3647">
        <v>0</v>
      </c>
      <c r="C3647">
        <v>361</v>
      </c>
    </row>
    <row r="3648" spans="1:3" x14ac:dyDescent="0.25">
      <c r="A3648">
        <v>13</v>
      </c>
      <c r="B3648">
        <v>0</v>
      </c>
      <c r="C3648">
        <v>404</v>
      </c>
    </row>
    <row r="3649" spans="1:3" x14ac:dyDescent="0.25">
      <c r="A3649">
        <v>13</v>
      </c>
      <c r="B3649">
        <v>0</v>
      </c>
      <c r="C3649">
        <v>404</v>
      </c>
    </row>
    <row r="3650" spans="1:3" x14ac:dyDescent="0.25">
      <c r="A3650">
        <v>12</v>
      </c>
      <c r="B3650">
        <v>0</v>
      </c>
      <c r="C3650">
        <v>404</v>
      </c>
    </row>
    <row r="3651" spans="1:3" x14ac:dyDescent="0.25">
      <c r="A3651">
        <v>12</v>
      </c>
      <c r="B3651">
        <v>0</v>
      </c>
      <c r="C3651">
        <v>404</v>
      </c>
    </row>
    <row r="3652" spans="1:3" x14ac:dyDescent="0.25">
      <c r="A3652">
        <v>13</v>
      </c>
      <c r="B3652">
        <v>0</v>
      </c>
      <c r="C3652">
        <v>404</v>
      </c>
    </row>
    <row r="3653" spans="1:3" x14ac:dyDescent="0.25">
      <c r="A3653">
        <v>12</v>
      </c>
      <c r="B3653">
        <v>0</v>
      </c>
      <c r="C3653">
        <v>404</v>
      </c>
    </row>
    <row r="3654" spans="1:3" x14ac:dyDescent="0.25">
      <c r="A3654">
        <v>13</v>
      </c>
      <c r="B3654">
        <v>0</v>
      </c>
      <c r="C3654">
        <v>404</v>
      </c>
    </row>
    <row r="3655" spans="1:3" x14ac:dyDescent="0.25">
      <c r="A3655">
        <v>13</v>
      </c>
      <c r="B3655">
        <v>0</v>
      </c>
      <c r="C3655">
        <v>404</v>
      </c>
    </row>
    <row r="3656" spans="1:3" x14ac:dyDescent="0.25">
      <c r="A3656">
        <v>12</v>
      </c>
      <c r="B3656">
        <v>0</v>
      </c>
      <c r="C3656">
        <v>364</v>
      </c>
    </row>
    <row r="3657" spans="1:3" x14ac:dyDescent="0.25">
      <c r="A3657">
        <v>14</v>
      </c>
      <c r="B3657">
        <v>0</v>
      </c>
      <c r="C3657">
        <v>364</v>
      </c>
    </row>
    <row r="3658" spans="1:3" x14ac:dyDescent="0.25">
      <c r="A3658">
        <v>13</v>
      </c>
      <c r="B3658">
        <v>0</v>
      </c>
      <c r="C3658">
        <v>364</v>
      </c>
    </row>
    <row r="3659" spans="1:3" x14ac:dyDescent="0.25">
      <c r="A3659">
        <v>13</v>
      </c>
      <c r="B3659">
        <v>0</v>
      </c>
      <c r="C3659">
        <v>364</v>
      </c>
    </row>
    <row r="3660" spans="1:3" x14ac:dyDescent="0.25">
      <c r="A3660">
        <v>13</v>
      </c>
      <c r="B3660">
        <v>0</v>
      </c>
      <c r="C3660">
        <v>364</v>
      </c>
    </row>
    <row r="3661" spans="1:3" x14ac:dyDescent="0.25">
      <c r="A3661">
        <v>12</v>
      </c>
      <c r="B3661">
        <v>0</v>
      </c>
      <c r="C3661">
        <v>364</v>
      </c>
    </row>
    <row r="3662" spans="1:3" x14ac:dyDescent="0.25">
      <c r="A3662">
        <v>12</v>
      </c>
      <c r="B3662">
        <v>0</v>
      </c>
      <c r="C3662">
        <v>364</v>
      </c>
    </row>
    <row r="3663" spans="1:3" x14ac:dyDescent="0.25">
      <c r="A3663">
        <v>12</v>
      </c>
      <c r="B3663">
        <v>0</v>
      </c>
      <c r="C3663">
        <v>364</v>
      </c>
    </row>
    <row r="3664" spans="1:3" x14ac:dyDescent="0.25">
      <c r="A3664">
        <v>20</v>
      </c>
      <c r="B3664">
        <v>0</v>
      </c>
      <c r="C3664">
        <v>393</v>
      </c>
    </row>
    <row r="3665" spans="1:3" x14ac:dyDescent="0.25">
      <c r="A3665">
        <v>12</v>
      </c>
      <c r="B3665">
        <v>0</v>
      </c>
      <c r="C3665">
        <v>393</v>
      </c>
    </row>
    <row r="3666" spans="1:3" x14ac:dyDescent="0.25">
      <c r="A3666">
        <v>11</v>
      </c>
      <c r="B3666">
        <v>0</v>
      </c>
      <c r="C3666">
        <v>393</v>
      </c>
    </row>
    <row r="3667" spans="1:3" x14ac:dyDescent="0.25">
      <c r="A3667">
        <v>13</v>
      </c>
      <c r="B3667">
        <v>0</v>
      </c>
      <c r="C3667">
        <v>393</v>
      </c>
    </row>
    <row r="3668" spans="1:3" x14ac:dyDescent="0.25">
      <c r="A3668">
        <v>12</v>
      </c>
      <c r="B3668">
        <v>0</v>
      </c>
      <c r="C3668">
        <v>393</v>
      </c>
    </row>
    <row r="3669" spans="1:3" x14ac:dyDescent="0.25">
      <c r="A3669">
        <v>12</v>
      </c>
      <c r="B3669">
        <v>0</v>
      </c>
      <c r="C3669">
        <v>393</v>
      </c>
    </row>
    <row r="3670" spans="1:3" x14ac:dyDescent="0.25">
      <c r="A3670">
        <v>13</v>
      </c>
      <c r="B3670">
        <v>0</v>
      </c>
      <c r="C3670">
        <v>393</v>
      </c>
    </row>
    <row r="3671" spans="1:3" x14ac:dyDescent="0.25">
      <c r="A3671">
        <v>37</v>
      </c>
      <c r="B3671">
        <v>0</v>
      </c>
      <c r="C3671">
        <v>365</v>
      </c>
    </row>
    <row r="3672" spans="1:3" x14ac:dyDescent="0.25">
      <c r="A3672">
        <v>12</v>
      </c>
      <c r="B3672">
        <v>0</v>
      </c>
      <c r="C3672">
        <v>365</v>
      </c>
    </row>
    <row r="3673" spans="1:3" x14ac:dyDescent="0.25">
      <c r="A3673">
        <v>14</v>
      </c>
      <c r="B3673">
        <v>0</v>
      </c>
      <c r="C3673">
        <v>365</v>
      </c>
    </row>
    <row r="3674" spans="1:3" x14ac:dyDescent="0.25">
      <c r="A3674">
        <v>13</v>
      </c>
      <c r="B3674">
        <v>0</v>
      </c>
      <c r="C3674">
        <v>365</v>
      </c>
    </row>
    <row r="3675" spans="1:3" x14ac:dyDescent="0.25">
      <c r="A3675">
        <v>11</v>
      </c>
      <c r="B3675">
        <v>0</v>
      </c>
      <c r="C3675">
        <v>365</v>
      </c>
    </row>
    <row r="3676" spans="1:3" x14ac:dyDescent="0.25">
      <c r="A3676">
        <v>12</v>
      </c>
      <c r="B3676">
        <v>0</v>
      </c>
      <c r="C3676">
        <v>365</v>
      </c>
    </row>
    <row r="3677" spans="1:3" x14ac:dyDescent="0.25">
      <c r="A3677">
        <v>14</v>
      </c>
      <c r="B3677">
        <v>0</v>
      </c>
      <c r="C3677">
        <v>365</v>
      </c>
    </row>
    <row r="3678" spans="1:3" x14ac:dyDescent="0.25">
      <c r="A3678">
        <v>18</v>
      </c>
      <c r="B3678">
        <v>0</v>
      </c>
      <c r="C3678">
        <v>365</v>
      </c>
    </row>
    <row r="3679" spans="1:3" x14ac:dyDescent="0.25">
      <c r="A3679">
        <v>12</v>
      </c>
      <c r="B3679">
        <v>0</v>
      </c>
      <c r="C3679">
        <v>337</v>
      </c>
    </row>
    <row r="3680" spans="1:3" x14ac:dyDescent="0.25">
      <c r="A3680">
        <v>12</v>
      </c>
      <c r="B3680">
        <v>0</v>
      </c>
      <c r="C3680">
        <v>337</v>
      </c>
    </row>
    <row r="3681" spans="1:3" x14ac:dyDescent="0.25">
      <c r="A3681">
        <v>12</v>
      </c>
      <c r="B3681">
        <v>0</v>
      </c>
      <c r="C3681">
        <v>337</v>
      </c>
    </row>
    <row r="3682" spans="1:3" x14ac:dyDescent="0.25">
      <c r="A3682">
        <v>12</v>
      </c>
      <c r="B3682">
        <v>0</v>
      </c>
      <c r="C3682">
        <v>337</v>
      </c>
    </row>
    <row r="3683" spans="1:3" x14ac:dyDescent="0.25">
      <c r="A3683">
        <v>12</v>
      </c>
      <c r="B3683">
        <v>0</v>
      </c>
      <c r="C3683">
        <v>337</v>
      </c>
    </row>
    <row r="3684" spans="1:3" x14ac:dyDescent="0.25">
      <c r="A3684">
        <v>11</v>
      </c>
      <c r="B3684">
        <v>0</v>
      </c>
      <c r="C3684">
        <v>337</v>
      </c>
    </row>
    <row r="3685" spans="1:3" x14ac:dyDescent="0.25">
      <c r="A3685">
        <v>12</v>
      </c>
      <c r="B3685">
        <v>0</v>
      </c>
      <c r="C3685">
        <v>337</v>
      </c>
    </row>
    <row r="3686" spans="1:3" x14ac:dyDescent="0.25">
      <c r="A3686">
        <v>13</v>
      </c>
      <c r="B3686">
        <v>0</v>
      </c>
      <c r="C3686">
        <v>337</v>
      </c>
    </row>
    <row r="3687" spans="1:3" x14ac:dyDescent="0.25">
      <c r="A3687">
        <v>12</v>
      </c>
      <c r="B3687">
        <v>0</v>
      </c>
      <c r="C3687">
        <v>324</v>
      </c>
    </row>
    <row r="3688" spans="1:3" x14ac:dyDescent="0.25">
      <c r="A3688">
        <v>11</v>
      </c>
      <c r="B3688">
        <v>0</v>
      </c>
      <c r="C3688">
        <v>324</v>
      </c>
    </row>
    <row r="3689" spans="1:3" x14ac:dyDescent="0.25">
      <c r="A3689">
        <v>13</v>
      </c>
      <c r="B3689">
        <v>0</v>
      </c>
      <c r="C3689">
        <v>324</v>
      </c>
    </row>
    <row r="3690" spans="1:3" x14ac:dyDescent="0.25">
      <c r="A3690">
        <v>12</v>
      </c>
      <c r="B3690">
        <v>0</v>
      </c>
      <c r="C3690">
        <v>324</v>
      </c>
    </row>
    <row r="3691" spans="1:3" x14ac:dyDescent="0.25">
      <c r="A3691">
        <v>14</v>
      </c>
      <c r="B3691">
        <v>0</v>
      </c>
      <c r="C3691">
        <v>324</v>
      </c>
    </row>
    <row r="3692" spans="1:3" x14ac:dyDescent="0.25">
      <c r="A3692">
        <v>12</v>
      </c>
      <c r="B3692">
        <v>0</v>
      </c>
      <c r="C3692">
        <v>324</v>
      </c>
    </row>
    <row r="3693" spans="1:3" x14ac:dyDescent="0.25">
      <c r="A3693">
        <v>13</v>
      </c>
      <c r="B3693">
        <v>0</v>
      </c>
      <c r="C3693">
        <v>324</v>
      </c>
    </row>
    <row r="3694" spans="1:3" x14ac:dyDescent="0.25">
      <c r="A3694">
        <v>12</v>
      </c>
      <c r="B3694">
        <v>0</v>
      </c>
      <c r="C3694">
        <v>324</v>
      </c>
    </row>
    <row r="3695" spans="1:3" x14ac:dyDescent="0.25">
      <c r="A3695">
        <v>12</v>
      </c>
      <c r="B3695">
        <v>0</v>
      </c>
      <c r="C3695">
        <v>351</v>
      </c>
    </row>
    <row r="3696" spans="1:3" x14ac:dyDescent="0.25">
      <c r="A3696">
        <v>12</v>
      </c>
      <c r="B3696">
        <v>0</v>
      </c>
      <c r="C3696">
        <v>351</v>
      </c>
    </row>
    <row r="3697" spans="1:3" x14ac:dyDescent="0.25">
      <c r="A3697">
        <v>12</v>
      </c>
      <c r="B3697">
        <v>0</v>
      </c>
      <c r="C3697">
        <v>351</v>
      </c>
    </row>
    <row r="3698" spans="1:3" x14ac:dyDescent="0.25">
      <c r="A3698">
        <v>12</v>
      </c>
      <c r="B3698">
        <v>0</v>
      </c>
      <c r="C3698">
        <v>351</v>
      </c>
    </row>
    <row r="3699" spans="1:3" x14ac:dyDescent="0.25">
      <c r="A3699">
        <v>12</v>
      </c>
      <c r="B3699">
        <v>0</v>
      </c>
      <c r="C3699">
        <v>351</v>
      </c>
    </row>
    <row r="3700" spans="1:3" x14ac:dyDescent="0.25">
      <c r="A3700">
        <v>12</v>
      </c>
      <c r="B3700">
        <v>0</v>
      </c>
      <c r="C3700">
        <v>351</v>
      </c>
    </row>
    <row r="3701" spans="1:3" x14ac:dyDescent="0.25">
      <c r="A3701">
        <v>13</v>
      </c>
      <c r="B3701">
        <v>0</v>
      </c>
      <c r="C3701">
        <v>351</v>
      </c>
    </row>
    <row r="3702" spans="1:3" x14ac:dyDescent="0.25">
      <c r="A3702">
        <v>16</v>
      </c>
      <c r="B3702">
        <v>0</v>
      </c>
      <c r="C3702">
        <v>351</v>
      </c>
    </row>
    <row r="3703" spans="1:3" x14ac:dyDescent="0.25">
      <c r="A3703">
        <v>13</v>
      </c>
      <c r="B3703">
        <v>0</v>
      </c>
      <c r="C3703">
        <v>332</v>
      </c>
    </row>
    <row r="3704" spans="1:3" x14ac:dyDescent="0.25">
      <c r="A3704">
        <v>12</v>
      </c>
      <c r="B3704">
        <v>0</v>
      </c>
      <c r="C3704">
        <v>332</v>
      </c>
    </row>
    <row r="3705" spans="1:3" x14ac:dyDescent="0.25">
      <c r="A3705">
        <v>13</v>
      </c>
      <c r="B3705">
        <v>0</v>
      </c>
      <c r="C3705">
        <v>332</v>
      </c>
    </row>
    <row r="3706" spans="1:3" x14ac:dyDescent="0.25">
      <c r="A3706">
        <v>12</v>
      </c>
      <c r="B3706">
        <v>0</v>
      </c>
      <c r="C3706">
        <v>332</v>
      </c>
    </row>
    <row r="3707" spans="1:3" x14ac:dyDescent="0.25">
      <c r="A3707">
        <v>13</v>
      </c>
      <c r="B3707">
        <v>0</v>
      </c>
      <c r="C3707">
        <v>332</v>
      </c>
    </row>
    <row r="3708" spans="1:3" x14ac:dyDescent="0.25">
      <c r="A3708">
        <v>15</v>
      </c>
      <c r="B3708">
        <v>0</v>
      </c>
      <c r="C3708">
        <v>332</v>
      </c>
    </row>
    <row r="3709" spans="1:3" x14ac:dyDescent="0.25">
      <c r="A3709">
        <v>12</v>
      </c>
      <c r="B3709">
        <v>0</v>
      </c>
      <c r="C3709">
        <v>332</v>
      </c>
    </row>
    <row r="3710" spans="1:3" x14ac:dyDescent="0.25">
      <c r="A3710">
        <v>12</v>
      </c>
      <c r="B3710">
        <v>0</v>
      </c>
      <c r="C3710">
        <v>332</v>
      </c>
    </row>
    <row r="3711" spans="1:3" x14ac:dyDescent="0.25">
      <c r="A3711">
        <v>12</v>
      </c>
      <c r="B3711">
        <v>0</v>
      </c>
      <c r="C3711">
        <v>341</v>
      </c>
    </row>
    <row r="3712" spans="1:3" x14ac:dyDescent="0.25">
      <c r="A3712">
        <v>14</v>
      </c>
      <c r="B3712">
        <v>0</v>
      </c>
      <c r="C3712">
        <v>341</v>
      </c>
    </row>
    <row r="3713" spans="1:3" x14ac:dyDescent="0.25">
      <c r="A3713">
        <v>12</v>
      </c>
      <c r="B3713">
        <v>0</v>
      </c>
      <c r="C3713">
        <v>341</v>
      </c>
    </row>
    <row r="3714" spans="1:3" x14ac:dyDescent="0.25">
      <c r="A3714">
        <v>13</v>
      </c>
      <c r="B3714">
        <v>0</v>
      </c>
      <c r="C3714">
        <v>341</v>
      </c>
    </row>
    <row r="3715" spans="1:3" x14ac:dyDescent="0.25">
      <c r="A3715">
        <v>13</v>
      </c>
      <c r="B3715">
        <v>0</v>
      </c>
      <c r="C3715">
        <v>341</v>
      </c>
    </row>
    <row r="3716" spans="1:3" x14ac:dyDescent="0.25">
      <c r="A3716">
        <v>13</v>
      </c>
      <c r="B3716">
        <v>0</v>
      </c>
      <c r="C3716">
        <v>341</v>
      </c>
    </row>
    <row r="3717" spans="1:3" x14ac:dyDescent="0.25">
      <c r="A3717">
        <v>11</v>
      </c>
      <c r="B3717">
        <v>0</v>
      </c>
      <c r="C3717">
        <v>341</v>
      </c>
    </row>
    <row r="3718" spans="1:3" x14ac:dyDescent="0.25">
      <c r="A3718">
        <v>12</v>
      </c>
      <c r="B3718">
        <v>0</v>
      </c>
      <c r="C3718">
        <v>341</v>
      </c>
    </row>
    <row r="3719" spans="1:3" x14ac:dyDescent="0.25">
      <c r="A3719">
        <v>12</v>
      </c>
      <c r="B3719">
        <v>0</v>
      </c>
      <c r="C3719">
        <v>348</v>
      </c>
    </row>
    <row r="3720" spans="1:3" x14ac:dyDescent="0.25">
      <c r="A3720">
        <v>12</v>
      </c>
      <c r="B3720">
        <v>0</v>
      </c>
      <c r="C3720">
        <v>348</v>
      </c>
    </row>
    <row r="3721" spans="1:3" x14ac:dyDescent="0.25">
      <c r="A3721">
        <v>12</v>
      </c>
      <c r="B3721">
        <v>0</v>
      </c>
      <c r="C3721">
        <v>348</v>
      </c>
    </row>
    <row r="3722" spans="1:3" x14ac:dyDescent="0.25">
      <c r="A3722">
        <v>12</v>
      </c>
      <c r="B3722">
        <v>0</v>
      </c>
      <c r="C3722">
        <v>348</v>
      </c>
    </row>
    <row r="3723" spans="1:3" x14ac:dyDescent="0.25">
      <c r="A3723">
        <v>11</v>
      </c>
      <c r="B3723">
        <v>0</v>
      </c>
      <c r="C3723">
        <v>348</v>
      </c>
    </row>
    <row r="3724" spans="1:3" x14ac:dyDescent="0.25">
      <c r="A3724">
        <v>15</v>
      </c>
      <c r="B3724">
        <v>0</v>
      </c>
      <c r="C3724">
        <v>348</v>
      </c>
    </row>
    <row r="3725" spans="1:3" x14ac:dyDescent="0.25">
      <c r="A3725">
        <v>12</v>
      </c>
      <c r="B3725">
        <v>0</v>
      </c>
      <c r="C3725">
        <v>348</v>
      </c>
    </row>
    <row r="3726" spans="1:3" x14ac:dyDescent="0.25">
      <c r="A3726">
        <v>13</v>
      </c>
      <c r="B3726">
        <v>0</v>
      </c>
      <c r="C3726">
        <v>466</v>
      </c>
    </row>
    <row r="3727" spans="1:3" x14ac:dyDescent="0.25">
      <c r="A3727">
        <v>12</v>
      </c>
      <c r="B3727">
        <v>0</v>
      </c>
      <c r="C3727">
        <v>466</v>
      </c>
    </row>
    <row r="3728" spans="1:3" x14ac:dyDescent="0.25">
      <c r="A3728">
        <v>12</v>
      </c>
      <c r="B3728">
        <v>0</v>
      </c>
      <c r="C3728">
        <v>466</v>
      </c>
    </row>
    <row r="3729" spans="1:3" x14ac:dyDescent="0.25">
      <c r="A3729">
        <v>12</v>
      </c>
      <c r="B3729">
        <v>0</v>
      </c>
      <c r="C3729">
        <v>466</v>
      </c>
    </row>
    <row r="3730" spans="1:3" x14ac:dyDescent="0.25">
      <c r="A3730">
        <v>13</v>
      </c>
      <c r="B3730">
        <v>0</v>
      </c>
      <c r="C3730">
        <v>466</v>
      </c>
    </row>
    <row r="3731" spans="1:3" x14ac:dyDescent="0.25">
      <c r="A3731">
        <v>14</v>
      </c>
      <c r="B3731">
        <v>0</v>
      </c>
      <c r="C3731">
        <v>466</v>
      </c>
    </row>
    <row r="3732" spans="1:3" x14ac:dyDescent="0.25">
      <c r="A3732">
        <v>15</v>
      </c>
      <c r="B3732">
        <v>0</v>
      </c>
      <c r="C3732">
        <v>466</v>
      </c>
    </row>
    <row r="3733" spans="1:3" x14ac:dyDescent="0.25">
      <c r="A3733">
        <v>14</v>
      </c>
      <c r="B3733">
        <v>0</v>
      </c>
      <c r="C3733">
        <v>466</v>
      </c>
    </row>
    <row r="3734" spans="1:3" x14ac:dyDescent="0.25">
      <c r="A3734">
        <v>13</v>
      </c>
      <c r="B3734">
        <v>0</v>
      </c>
      <c r="C3734">
        <v>321</v>
      </c>
    </row>
    <row r="3735" spans="1:3" x14ac:dyDescent="0.25">
      <c r="A3735">
        <v>13</v>
      </c>
      <c r="B3735">
        <v>0</v>
      </c>
      <c r="C3735">
        <v>321</v>
      </c>
    </row>
    <row r="3736" spans="1:3" x14ac:dyDescent="0.25">
      <c r="A3736">
        <v>12</v>
      </c>
      <c r="B3736">
        <v>0</v>
      </c>
      <c r="C3736">
        <v>321</v>
      </c>
    </row>
    <row r="3737" spans="1:3" x14ac:dyDescent="0.25">
      <c r="A3737">
        <v>12</v>
      </c>
      <c r="B3737">
        <v>0</v>
      </c>
      <c r="C3737">
        <v>321</v>
      </c>
    </row>
    <row r="3738" spans="1:3" x14ac:dyDescent="0.25">
      <c r="A3738">
        <v>12</v>
      </c>
      <c r="B3738">
        <v>0</v>
      </c>
      <c r="C3738">
        <v>321</v>
      </c>
    </row>
    <row r="3739" spans="1:3" x14ac:dyDescent="0.25">
      <c r="A3739">
        <v>14</v>
      </c>
      <c r="B3739">
        <v>0</v>
      </c>
      <c r="C3739">
        <v>321</v>
      </c>
    </row>
    <row r="3740" spans="1:3" x14ac:dyDescent="0.25">
      <c r="A3740">
        <v>13</v>
      </c>
      <c r="B3740">
        <v>0</v>
      </c>
      <c r="C3740">
        <v>321</v>
      </c>
    </row>
    <row r="3741" spans="1:3" x14ac:dyDescent="0.25">
      <c r="A3741">
        <v>13</v>
      </c>
      <c r="B3741">
        <v>0</v>
      </c>
      <c r="C3741">
        <v>321</v>
      </c>
    </row>
    <row r="3742" spans="1:3" x14ac:dyDescent="0.25">
      <c r="A3742">
        <v>13</v>
      </c>
      <c r="B3742">
        <v>0</v>
      </c>
      <c r="C3742">
        <v>332</v>
      </c>
    </row>
    <row r="3743" spans="1:3" x14ac:dyDescent="0.25">
      <c r="A3743">
        <v>12</v>
      </c>
      <c r="B3743">
        <v>0</v>
      </c>
      <c r="C3743">
        <v>332</v>
      </c>
    </row>
    <row r="3744" spans="1:3" x14ac:dyDescent="0.25">
      <c r="A3744">
        <v>13</v>
      </c>
      <c r="B3744">
        <v>0</v>
      </c>
      <c r="C3744">
        <v>332</v>
      </c>
    </row>
    <row r="3745" spans="1:3" x14ac:dyDescent="0.25">
      <c r="A3745">
        <v>13</v>
      </c>
      <c r="B3745">
        <v>0</v>
      </c>
      <c r="C3745">
        <v>332</v>
      </c>
    </row>
    <row r="3746" spans="1:3" x14ac:dyDescent="0.25">
      <c r="A3746">
        <v>13</v>
      </c>
      <c r="B3746">
        <v>0</v>
      </c>
      <c r="C3746">
        <v>332</v>
      </c>
    </row>
    <row r="3747" spans="1:3" x14ac:dyDescent="0.25">
      <c r="A3747">
        <v>12</v>
      </c>
      <c r="B3747">
        <v>0</v>
      </c>
      <c r="C3747">
        <v>332</v>
      </c>
    </row>
    <row r="3748" spans="1:3" x14ac:dyDescent="0.25">
      <c r="A3748">
        <v>11</v>
      </c>
      <c r="B3748">
        <v>0</v>
      </c>
      <c r="C3748">
        <v>332</v>
      </c>
    </row>
    <row r="3749" spans="1:3" x14ac:dyDescent="0.25">
      <c r="A3749">
        <v>11</v>
      </c>
      <c r="B3749">
        <v>0</v>
      </c>
      <c r="C3749">
        <v>332</v>
      </c>
    </row>
    <row r="3750" spans="1:3" x14ac:dyDescent="0.25">
      <c r="A3750">
        <v>13</v>
      </c>
      <c r="B3750">
        <v>0</v>
      </c>
      <c r="C3750">
        <v>340</v>
      </c>
    </row>
    <row r="3751" spans="1:3" x14ac:dyDescent="0.25">
      <c r="A3751">
        <v>12</v>
      </c>
      <c r="B3751">
        <v>0</v>
      </c>
      <c r="C3751">
        <v>340</v>
      </c>
    </row>
    <row r="3752" spans="1:3" x14ac:dyDescent="0.25">
      <c r="A3752">
        <v>12</v>
      </c>
      <c r="B3752">
        <v>0</v>
      </c>
      <c r="C3752">
        <v>340</v>
      </c>
    </row>
    <row r="3753" spans="1:3" x14ac:dyDescent="0.25">
      <c r="A3753">
        <v>11</v>
      </c>
      <c r="B3753">
        <v>0</v>
      </c>
      <c r="C3753">
        <v>340</v>
      </c>
    </row>
    <row r="3754" spans="1:3" x14ac:dyDescent="0.25">
      <c r="A3754">
        <v>12</v>
      </c>
      <c r="B3754">
        <v>0</v>
      </c>
      <c r="C3754">
        <v>340</v>
      </c>
    </row>
    <row r="3755" spans="1:3" x14ac:dyDescent="0.25">
      <c r="A3755">
        <v>12</v>
      </c>
      <c r="B3755">
        <v>0</v>
      </c>
      <c r="C3755">
        <v>340</v>
      </c>
    </row>
    <row r="3756" spans="1:3" x14ac:dyDescent="0.25">
      <c r="A3756">
        <v>12</v>
      </c>
      <c r="B3756">
        <v>0</v>
      </c>
      <c r="C3756">
        <v>340</v>
      </c>
    </row>
    <row r="3757" spans="1:3" x14ac:dyDescent="0.25">
      <c r="A3757">
        <v>13</v>
      </c>
      <c r="B3757">
        <v>0</v>
      </c>
      <c r="C3757">
        <v>340</v>
      </c>
    </row>
    <row r="3758" spans="1:3" x14ac:dyDescent="0.25">
      <c r="A3758">
        <v>12</v>
      </c>
      <c r="B3758">
        <v>0</v>
      </c>
      <c r="C3758">
        <v>308</v>
      </c>
    </row>
    <row r="3759" spans="1:3" x14ac:dyDescent="0.25">
      <c r="A3759">
        <v>13</v>
      </c>
      <c r="B3759">
        <v>0</v>
      </c>
      <c r="C3759">
        <v>308</v>
      </c>
    </row>
    <row r="3760" spans="1:3" x14ac:dyDescent="0.25">
      <c r="A3760">
        <v>11</v>
      </c>
      <c r="B3760">
        <v>0</v>
      </c>
      <c r="C3760">
        <v>308</v>
      </c>
    </row>
    <row r="3761" spans="1:3" x14ac:dyDescent="0.25">
      <c r="A3761">
        <v>14</v>
      </c>
      <c r="B3761">
        <v>0</v>
      </c>
      <c r="C3761">
        <v>308</v>
      </c>
    </row>
    <row r="3762" spans="1:3" x14ac:dyDescent="0.25">
      <c r="A3762">
        <v>11</v>
      </c>
      <c r="B3762">
        <v>0</v>
      </c>
      <c r="C3762">
        <v>308</v>
      </c>
    </row>
    <row r="3763" spans="1:3" x14ac:dyDescent="0.25">
      <c r="A3763">
        <v>11</v>
      </c>
      <c r="B3763">
        <v>0</v>
      </c>
      <c r="C3763">
        <v>308</v>
      </c>
    </row>
    <row r="3764" spans="1:3" x14ac:dyDescent="0.25">
      <c r="A3764">
        <v>12</v>
      </c>
      <c r="B3764">
        <v>0</v>
      </c>
      <c r="C3764">
        <v>308</v>
      </c>
    </row>
    <row r="3765" spans="1:3" x14ac:dyDescent="0.25">
      <c r="A3765">
        <v>14</v>
      </c>
      <c r="B3765">
        <v>0</v>
      </c>
      <c r="C3765">
        <v>308</v>
      </c>
    </row>
    <row r="3766" spans="1:3" x14ac:dyDescent="0.25">
      <c r="A3766">
        <v>12</v>
      </c>
      <c r="B3766">
        <v>0</v>
      </c>
      <c r="C3766">
        <v>314</v>
      </c>
    </row>
    <row r="3767" spans="1:3" x14ac:dyDescent="0.25">
      <c r="A3767">
        <v>13</v>
      </c>
      <c r="B3767">
        <v>0</v>
      </c>
      <c r="C3767">
        <v>314</v>
      </c>
    </row>
    <row r="3768" spans="1:3" x14ac:dyDescent="0.25">
      <c r="A3768">
        <v>12</v>
      </c>
      <c r="B3768">
        <v>0</v>
      </c>
      <c r="C3768">
        <v>314</v>
      </c>
    </row>
    <row r="3769" spans="1:3" x14ac:dyDescent="0.25">
      <c r="A3769">
        <v>13</v>
      </c>
      <c r="B3769">
        <v>0</v>
      </c>
      <c r="C3769">
        <v>314</v>
      </c>
    </row>
    <row r="3770" spans="1:3" x14ac:dyDescent="0.25">
      <c r="A3770">
        <v>11</v>
      </c>
      <c r="B3770">
        <v>0</v>
      </c>
      <c r="C3770">
        <v>314</v>
      </c>
    </row>
    <row r="3771" spans="1:3" x14ac:dyDescent="0.25">
      <c r="A3771">
        <v>12</v>
      </c>
      <c r="B3771">
        <v>0</v>
      </c>
      <c r="C3771">
        <v>314</v>
      </c>
    </row>
    <row r="3772" spans="1:3" x14ac:dyDescent="0.25">
      <c r="A3772">
        <v>13</v>
      </c>
      <c r="B3772">
        <v>0</v>
      </c>
      <c r="C3772">
        <v>314</v>
      </c>
    </row>
    <row r="3773" spans="1:3" x14ac:dyDescent="0.25">
      <c r="A3773">
        <v>12</v>
      </c>
      <c r="B3773">
        <v>0</v>
      </c>
      <c r="C3773">
        <v>314</v>
      </c>
    </row>
    <row r="3774" spans="1:3" x14ac:dyDescent="0.25">
      <c r="A3774">
        <v>12</v>
      </c>
      <c r="B3774">
        <v>0</v>
      </c>
      <c r="C3774">
        <v>337</v>
      </c>
    </row>
    <row r="3775" spans="1:3" x14ac:dyDescent="0.25">
      <c r="A3775">
        <v>14</v>
      </c>
      <c r="B3775">
        <v>0</v>
      </c>
      <c r="C3775">
        <v>337</v>
      </c>
    </row>
    <row r="3776" spans="1:3" x14ac:dyDescent="0.25">
      <c r="A3776">
        <v>13</v>
      </c>
      <c r="B3776">
        <v>0</v>
      </c>
      <c r="C3776">
        <v>337</v>
      </c>
    </row>
    <row r="3777" spans="1:3" x14ac:dyDescent="0.25">
      <c r="A3777">
        <v>12</v>
      </c>
      <c r="B3777">
        <v>0</v>
      </c>
      <c r="C3777">
        <v>337</v>
      </c>
    </row>
    <row r="3778" spans="1:3" x14ac:dyDescent="0.25">
      <c r="A3778">
        <v>11</v>
      </c>
      <c r="B3778">
        <v>0</v>
      </c>
      <c r="C3778">
        <v>337</v>
      </c>
    </row>
    <row r="3779" spans="1:3" x14ac:dyDescent="0.25">
      <c r="A3779">
        <v>11</v>
      </c>
      <c r="B3779">
        <v>0</v>
      </c>
      <c r="C3779">
        <v>337</v>
      </c>
    </row>
    <row r="3780" spans="1:3" x14ac:dyDescent="0.25">
      <c r="A3780">
        <v>11</v>
      </c>
      <c r="B3780">
        <v>0</v>
      </c>
      <c r="C3780">
        <v>337</v>
      </c>
    </row>
    <row r="3781" spans="1:3" x14ac:dyDescent="0.25">
      <c r="A3781">
        <v>11</v>
      </c>
      <c r="B3781">
        <v>0</v>
      </c>
      <c r="C3781">
        <v>337</v>
      </c>
    </row>
    <row r="3782" spans="1:3" x14ac:dyDescent="0.25">
      <c r="A3782">
        <v>12</v>
      </c>
      <c r="B3782">
        <v>0</v>
      </c>
      <c r="C3782">
        <v>322</v>
      </c>
    </row>
    <row r="3783" spans="1:3" x14ac:dyDescent="0.25">
      <c r="A3783">
        <v>12</v>
      </c>
      <c r="B3783">
        <v>0</v>
      </c>
      <c r="C3783">
        <v>322</v>
      </c>
    </row>
    <row r="3784" spans="1:3" x14ac:dyDescent="0.25">
      <c r="A3784">
        <v>12</v>
      </c>
      <c r="B3784">
        <v>0</v>
      </c>
      <c r="C3784">
        <v>322</v>
      </c>
    </row>
    <row r="3785" spans="1:3" x14ac:dyDescent="0.25">
      <c r="A3785">
        <v>12</v>
      </c>
      <c r="B3785">
        <v>0</v>
      </c>
      <c r="C3785">
        <v>322</v>
      </c>
    </row>
    <row r="3786" spans="1:3" x14ac:dyDescent="0.25">
      <c r="A3786">
        <v>14</v>
      </c>
      <c r="B3786">
        <v>0</v>
      </c>
      <c r="C3786">
        <v>322</v>
      </c>
    </row>
    <row r="3787" spans="1:3" x14ac:dyDescent="0.25">
      <c r="A3787">
        <v>14</v>
      </c>
      <c r="B3787">
        <v>0</v>
      </c>
      <c r="C3787">
        <v>322</v>
      </c>
    </row>
    <row r="3788" spans="1:3" x14ac:dyDescent="0.25">
      <c r="A3788">
        <v>13</v>
      </c>
      <c r="B3788">
        <v>0</v>
      </c>
      <c r="C3788">
        <v>322</v>
      </c>
    </row>
    <row r="3789" spans="1:3" x14ac:dyDescent="0.25">
      <c r="A3789">
        <v>13</v>
      </c>
      <c r="B3789">
        <v>0</v>
      </c>
      <c r="C3789">
        <v>322</v>
      </c>
    </row>
    <row r="3790" spans="1:3" x14ac:dyDescent="0.25">
      <c r="A3790">
        <v>11</v>
      </c>
      <c r="B3790">
        <v>0</v>
      </c>
      <c r="C3790">
        <v>341</v>
      </c>
    </row>
    <row r="3791" spans="1:3" x14ac:dyDescent="0.25">
      <c r="A3791">
        <v>11</v>
      </c>
      <c r="B3791">
        <v>0</v>
      </c>
      <c r="C3791">
        <v>341</v>
      </c>
    </row>
    <row r="3792" spans="1:3" x14ac:dyDescent="0.25">
      <c r="A3792">
        <v>12</v>
      </c>
      <c r="B3792">
        <v>0</v>
      </c>
      <c r="C3792">
        <v>341</v>
      </c>
    </row>
    <row r="3793" spans="1:3" x14ac:dyDescent="0.25">
      <c r="A3793">
        <v>14</v>
      </c>
      <c r="B3793">
        <v>0</v>
      </c>
      <c r="C3793">
        <v>341</v>
      </c>
    </row>
    <row r="3794" spans="1:3" x14ac:dyDescent="0.25">
      <c r="A3794">
        <v>12</v>
      </c>
      <c r="B3794">
        <v>0</v>
      </c>
      <c r="C3794">
        <v>341</v>
      </c>
    </row>
    <row r="3795" spans="1:3" x14ac:dyDescent="0.25">
      <c r="A3795">
        <v>12</v>
      </c>
      <c r="B3795">
        <v>0</v>
      </c>
      <c r="C3795">
        <v>341</v>
      </c>
    </row>
    <row r="3796" spans="1:3" x14ac:dyDescent="0.25">
      <c r="A3796">
        <v>12</v>
      </c>
      <c r="B3796">
        <v>0</v>
      </c>
      <c r="C3796">
        <v>341</v>
      </c>
    </row>
    <row r="3797" spans="1:3" x14ac:dyDescent="0.25">
      <c r="A3797">
        <v>14</v>
      </c>
      <c r="B3797">
        <v>0</v>
      </c>
      <c r="C3797">
        <v>341</v>
      </c>
    </row>
    <row r="3798" spans="1:3" x14ac:dyDescent="0.25">
      <c r="A3798">
        <v>11</v>
      </c>
      <c r="B3798">
        <v>0</v>
      </c>
      <c r="C3798">
        <v>348</v>
      </c>
    </row>
    <row r="3799" spans="1:3" x14ac:dyDescent="0.25">
      <c r="A3799">
        <v>12</v>
      </c>
      <c r="B3799">
        <v>0</v>
      </c>
      <c r="C3799">
        <v>348</v>
      </c>
    </row>
    <row r="3800" spans="1:3" x14ac:dyDescent="0.25">
      <c r="A3800">
        <v>13</v>
      </c>
      <c r="B3800">
        <v>0</v>
      </c>
      <c r="C3800">
        <v>348</v>
      </c>
    </row>
    <row r="3801" spans="1:3" x14ac:dyDescent="0.25">
      <c r="A3801">
        <v>12</v>
      </c>
      <c r="B3801">
        <v>0</v>
      </c>
      <c r="C3801">
        <v>348</v>
      </c>
    </row>
    <row r="3802" spans="1:3" x14ac:dyDescent="0.25">
      <c r="A3802">
        <v>13</v>
      </c>
      <c r="B3802">
        <v>0</v>
      </c>
      <c r="C3802">
        <v>348</v>
      </c>
    </row>
    <row r="3803" spans="1:3" x14ac:dyDescent="0.25">
      <c r="A3803">
        <v>11</v>
      </c>
      <c r="B3803">
        <v>0</v>
      </c>
      <c r="C3803">
        <v>348</v>
      </c>
    </row>
    <row r="3804" spans="1:3" x14ac:dyDescent="0.25">
      <c r="A3804">
        <v>14</v>
      </c>
      <c r="B3804">
        <v>0</v>
      </c>
      <c r="C3804">
        <v>348</v>
      </c>
    </row>
    <row r="3805" spans="1:3" x14ac:dyDescent="0.25">
      <c r="A3805">
        <v>16</v>
      </c>
      <c r="B3805">
        <v>0</v>
      </c>
      <c r="C3805">
        <v>336</v>
      </c>
    </row>
    <row r="3806" spans="1:3" x14ac:dyDescent="0.25">
      <c r="A3806">
        <v>13</v>
      </c>
      <c r="B3806">
        <v>0</v>
      </c>
      <c r="C3806">
        <v>336</v>
      </c>
    </row>
    <row r="3807" spans="1:3" x14ac:dyDescent="0.25">
      <c r="A3807">
        <v>11</v>
      </c>
      <c r="B3807">
        <v>0</v>
      </c>
      <c r="C3807">
        <v>336</v>
      </c>
    </row>
    <row r="3808" spans="1:3" x14ac:dyDescent="0.25">
      <c r="A3808">
        <v>13</v>
      </c>
      <c r="B3808">
        <v>0</v>
      </c>
      <c r="C3808">
        <v>336</v>
      </c>
    </row>
    <row r="3809" spans="1:3" x14ac:dyDescent="0.25">
      <c r="A3809">
        <v>14</v>
      </c>
      <c r="B3809">
        <v>0</v>
      </c>
      <c r="C3809">
        <v>336</v>
      </c>
    </row>
    <row r="3810" spans="1:3" x14ac:dyDescent="0.25">
      <c r="A3810">
        <v>14</v>
      </c>
      <c r="B3810">
        <v>0</v>
      </c>
      <c r="C3810">
        <v>336</v>
      </c>
    </row>
    <row r="3811" spans="1:3" x14ac:dyDescent="0.25">
      <c r="A3811">
        <v>11</v>
      </c>
      <c r="B3811">
        <v>0</v>
      </c>
      <c r="C3811">
        <v>336</v>
      </c>
    </row>
    <row r="3812" spans="1:3" x14ac:dyDescent="0.25">
      <c r="A3812">
        <v>12</v>
      </c>
      <c r="B3812">
        <v>0</v>
      </c>
      <c r="C3812">
        <v>336</v>
      </c>
    </row>
    <row r="3813" spans="1:3" x14ac:dyDescent="0.25">
      <c r="A3813">
        <v>14</v>
      </c>
      <c r="B3813">
        <v>0</v>
      </c>
      <c r="C3813">
        <v>297</v>
      </c>
    </row>
    <row r="3814" spans="1:3" x14ac:dyDescent="0.25">
      <c r="A3814">
        <v>12</v>
      </c>
      <c r="B3814">
        <v>0</v>
      </c>
      <c r="C3814">
        <v>297</v>
      </c>
    </row>
    <row r="3815" spans="1:3" x14ac:dyDescent="0.25">
      <c r="A3815">
        <v>12</v>
      </c>
      <c r="B3815">
        <v>0</v>
      </c>
      <c r="C3815">
        <v>297</v>
      </c>
    </row>
    <row r="3816" spans="1:3" x14ac:dyDescent="0.25">
      <c r="A3816">
        <v>12</v>
      </c>
      <c r="B3816">
        <v>0</v>
      </c>
      <c r="C3816">
        <v>297</v>
      </c>
    </row>
    <row r="3817" spans="1:3" x14ac:dyDescent="0.25">
      <c r="A3817">
        <v>12</v>
      </c>
      <c r="B3817">
        <v>0</v>
      </c>
      <c r="C3817">
        <v>297</v>
      </c>
    </row>
    <row r="3818" spans="1:3" x14ac:dyDescent="0.25">
      <c r="A3818">
        <v>11</v>
      </c>
      <c r="B3818">
        <v>0</v>
      </c>
      <c r="C3818">
        <v>297</v>
      </c>
    </row>
    <row r="3819" spans="1:3" x14ac:dyDescent="0.25">
      <c r="A3819">
        <v>12</v>
      </c>
      <c r="B3819">
        <v>0</v>
      </c>
      <c r="C3819">
        <v>297</v>
      </c>
    </row>
    <row r="3820" spans="1:3" x14ac:dyDescent="0.25">
      <c r="A3820">
        <v>13</v>
      </c>
      <c r="B3820">
        <v>0</v>
      </c>
      <c r="C3820">
        <v>297</v>
      </c>
    </row>
    <row r="3821" spans="1:3" x14ac:dyDescent="0.25">
      <c r="A3821">
        <v>12</v>
      </c>
      <c r="B3821">
        <v>0</v>
      </c>
      <c r="C3821">
        <v>314</v>
      </c>
    </row>
    <row r="3822" spans="1:3" x14ac:dyDescent="0.25">
      <c r="A3822">
        <v>13</v>
      </c>
      <c r="B3822">
        <v>0</v>
      </c>
      <c r="C3822">
        <v>314</v>
      </c>
    </row>
    <row r="3823" spans="1:3" x14ac:dyDescent="0.25">
      <c r="A3823">
        <v>13</v>
      </c>
      <c r="B3823">
        <v>0</v>
      </c>
      <c r="C3823">
        <v>314</v>
      </c>
    </row>
    <row r="3824" spans="1:3" x14ac:dyDescent="0.25">
      <c r="A3824">
        <v>12</v>
      </c>
      <c r="B3824">
        <v>0</v>
      </c>
      <c r="C3824">
        <v>314</v>
      </c>
    </row>
    <row r="3825" spans="1:3" x14ac:dyDescent="0.25">
      <c r="A3825">
        <v>12</v>
      </c>
      <c r="B3825">
        <v>0</v>
      </c>
      <c r="C3825">
        <v>314</v>
      </c>
    </row>
    <row r="3826" spans="1:3" x14ac:dyDescent="0.25">
      <c r="A3826">
        <v>14</v>
      </c>
      <c r="B3826">
        <v>0</v>
      </c>
      <c r="C3826">
        <v>314</v>
      </c>
    </row>
    <row r="3827" spans="1:3" x14ac:dyDescent="0.25">
      <c r="A3827">
        <v>11</v>
      </c>
      <c r="B3827">
        <v>0</v>
      </c>
      <c r="C3827">
        <v>314</v>
      </c>
    </row>
    <row r="3828" spans="1:3" x14ac:dyDescent="0.25">
      <c r="A3828">
        <v>12</v>
      </c>
      <c r="B3828">
        <v>0</v>
      </c>
      <c r="C3828">
        <v>314</v>
      </c>
    </row>
    <row r="3829" spans="1:3" x14ac:dyDescent="0.25">
      <c r="A3829">
        <v>12</v>
      </c>
      <c r="B3829">
        <v>0</v>
      </c>
      <c r="C3829">
        <v>342</v>
      </c>
    </row>
    <row r="3830" spans="1:3" x14ac:dyDescent="0.25">
      <c r="A3830">
        <v>12</v>
      </c>
      <c r="B3830">
        <v>0</v>
      </c>
      <c r="C3830">
        <v>342</v>
      </c>
    </row>
    <row r="3831" spans="1:3" x14ac:dyDescent="0.25">
      <c r="A3831">
        <v>12</v>
      </c>
      <c r="B3831">
        <v>0</v>
      </c>
      <c r="C3831">
        <v>342</v>
      </c>
    </row>
    <row r="3832" spans="1:3" x14ac:dyDescent="0.25">
      <c r="A3832">
        <v>13</v>
      </c>
      <c r="B3832">
        <v>0</v>
      </c>
      <c r="C3832">
        <v>342</v>
      </c>
    </row>
    <row r="3833" spans="1:3" x14ac:dyDescent="0.25">
      <c r="A3833">
        <v>11</v>
      </c>
      <c r="B3833">
        <v>0</v>
      </c>
      <c r="C3833">
        <v>342</v>
      </c>
    </row>
    <row r="3834" spans="1:3" x14ac:dyDescent="0.25">
      <c r="A3834">
        <v>12</v>
      </c>
      <c r="B3834">
        <v>0</v>
      </c>
      <c r="C3834">
        <v>342</v>
      </c>
    </row>
    <row r="3835" spans="1:3" x14ac:dyDescent="0.25">
      <c r="A3835">
        <v>13</v>
      </c>
      <c r="B3835">
        <v>0</v>
      </c>
      <c r="C3835">
        <v>342</v>
      </c>
    </row>
    <row r="3836" spans="1:3" x14ac:dyDescent="0.25">
      <c r="A3836">
        <v>12</v>
      </c>
      <c r="B3836">
        <v>0</v>
      </c>
      <c r="C3836">
        <v>342</v>
      </c>
    </row>
    <row r="3837" spans="1:3" x14ac:dyDescent="0.25">
      <c r="A3837">
        <v>12</v>
      </c>
      <c r="B3837">
        <v>0</v>
      </c>
      <c r="C3837">
        <v>310</v>
      </c>
    </row>
    <row r="3838" spans="1:3" x14ac:dyDescent="0.25">
      <c r="A3838">
        <v>12</v>
      </c>
      <c r="B3838">
        <v>0</v>
      </c>
      <c r="C3838">
        <v>310</v>
      </c>
    </row>
    <row r="3839" spans="1:3" x14ac:dyDescent="0.25">
      <c r="A3839">
        <v>12</v>
      </c>
      <c r="B3839">
        <v>0</v>
      </c>
      <c r="C3839">
        <v>310</v>
      </c>
    </row>
    <row r="3840" spans="1:3" x14ac:dyDescent="0.25">
      <c r="A3840">
        <v>11</v>
      </c>
      <c r="B3840">
        <v>0</v>
      </c>
      <c r="C3840">
        <v>310</v>
      </c>
    </row>
    <row r="3841" spans="1:3" x14ac:dyDescent="0.25">
      <c r="A3841">
        <v>11</v>
      </c>
      <c r="B3841">
        <v>0</v>
      </c>
      <c r="C3841">
        <v>310</v>
      </c>
    </row>
    <row r="3842" spans="1:3" x14ac:dyDescent="0.25">
      <c r="A3842">
        <v>12</v>
      </c>
      <c r="B3842">
        <v>0</v>
      </c>
      <c r="C3842">
        <v>310</v>
      </c>
    </row>
    <row r="3843" spans="1:3" x14ac:dyDescent="0.25">
      <c r="A3843">
        <v>11</v>
      </c>
      <c r="B3843">
        <v>0</v>
      </c>
      <c r="C3843">
        <v>310</v>
      </c>
    </row>
    <row r="3844" spans="1:3" x14ac:dyDescent="0.25">
      <c r="A3844">
        <v>12</v>
      </c>
      <c r="B3844">
        <v>0</v>
      </c>
      <c r="C3844">
        <v>279</v>
      </c>
    </row>
    <row r="3845" spans="1:3" x14ac:dyDescent="0.25">
      <c r="A3845">
        <v>11</v>
      </c>
      <c r="B3845">
        <v>0</v>
      </c>
      <c r="C3845">
        <v>279</v>
      </c>
    </row>
    <row r="3846" spans="1:3" x14ac:dyDescent="0.25">
      <c r="A3846">
        <v>12</v>
      </c>
      <c r="B3846">
        <v>0</v>
      </c>
      <c r="C3846">
        <v>279</v>
      </c>
    </row>
    <row r="3847" spans="1:3" x14ac:dyDescent="0.25">
      <c r="A3847">
        <v>11</v>
      </c>
      <c r="B3847">
        <v>0</v>
      </c>
      <c r="C3847">
        <v>279</v>
      </c>
    </row>
    <row r="3848" spans="1:3" x14ac:dyDescent="0.25">
      <c r="A3848">
        <v>15</v>
      </c>
      <c r="B3848">
        <v>0</v>
      </c>
      <c r="C3848">
        <v>279</v>
      </c>
    </row>
    <row r="3849" spans="1:3" x14ac:dyDescent="0.25">
      <c r="A3849">
        <v>11</v>
      </c>
      <c r="B3849">
        <v>0</v>
      </c>
      <c r="C3849">
        <v>279</v>
      </c>
    </row>
    <row r="3850" spans="1:3" x14ac:dyDescent="0.25">
      <c r="A3850">
        <v>13</v>
      </c>
      <c r="B3850">
        <v>0</v>
      </c>
      <c r="C3850">
        <v>279</v>
      </c>
    </row>
    <row r="3851" spans="1:3" x14ac:dyDescent="0.25">
      <c r="A3851">
        <v>12</v>
      </c>
      <c r="B3851">
        <v>0</v>
      </c>
      <c r="C3851">
        <v>279</v>
      </c>
    </row>
    <row r="3852" spans="1:3" x14ac:dyDescent="0.25">
      <c r="A3852">
        <v>11</v>
      </c>
      <c r="B3852">
        <v>0</v>
      </c>
      <c r="C3852">
        <v>355</v>
      </c>
    </row>
    <row r="3853" spans="1:3" x14ac:dyDescent="0.25">
      <c r="A3853">
        <v>12</v>
      </c>
      <c r="B3853">
        <v>0</v>
      </c>
      <c r="C3853">
        <v>355</v>
      </c>
    </row>
    <row r="3854" spans="1:3" x14ac:dyDescent="0.25">
      <c r="A3854">
        <v>13</v>
      </c>
      <c r="B3854">
        <v>0</v>
      </c>
      <c r="C3854">
        <v>355</v>
      </c>
    </row>
    <row r="3855" spans="1:3" x14ac:dyDescent="0.25">
      <c r="A3855">
        <v>12</v>
      </c>
      <c r="B3855">
        <v>0</v>
      </c>
      <c r="C3855">
        <v>355</v>
      </c>
    </row>
    <row r="3856" spans="1:3" x14ac:dyDescent="0.25">
      <c r="A3856">
        <v>12</v>
      </c>
      <c r="B3856">
        <v>0</v>
      </c>
      <c r="C3856">
        <v>355</v>
      </c>
    </row>
    <row r="3857" spans="1:3" x14ac:dyDescent="0.25">
      <c r="A3857">
        <v>12</v>
      </c>
      <c r="B3857">
        <v>0</v>
      </c>
      <c r="C3857">
        <v>355</v>
      </c>
    </row>
    <row r="3858" spans="1:3" x14ac:dyDescent="0.25">
      <c r="A3858">
        <v>13</v>
      </c>
      <c r="B3858">
        <v>0</v>
      </c>
      <c r="C3858">
        <v>355</v>
      </c>
    </row>
    <row r="3859" spans="1:3" x14ac:dyDescent="0.25">
      <c r="A3859">
        <v>15</v>
      </c>
      <c r="B3859">
        <v>0</v>
      </c>
      <c r="C3859">
        <v>355</v>
      </c>
    </row>
    <row r="3860" spans="1:3" x14ac:dyDescent="0.25">
      <c r="A3860">
        <v>15</v>
      </c>
      <c r="B3860">
        <v>0</v>
      </c>
      <c r="C3860">
        <v>318</v>
      </c>
    </row>
    <row r="3861" spans="1:3" x14ac:dyDescent="0.25">
      <c r="A3861">
        <v>11</v>
      </c>
      <c r="B3861">
        <v>0</v>
      </c>
      <c r="C3861">
        <v>318</v>
      </c>
    </row>
    <row r="3862" spans="1:3" x14ac:dyDescent="0.25">
      <c r="A3862">
        <v>12</v>
      </c>
      <c r="B3862">
        <v>0</v>
      </c>
      <c r="C3862">
        <v>318</v>
      </c>
    </row>
    <row r="3863" spans="1:3" x14ac:dyDescent="0.25">
      <c r="A3863">
        <v>12</v>
      </c>
      <c r="B3863">
        <v>0</v>
      </c>
      <c r="C3863">
        <v>318</v>
      </c>
    </row>
    <row r="3864" spans="1:3" x14ac:dyDescent="0.25">
      <c r="A3864">
        <v>12</v>
      </c>
      <c r="B3864">
        <v>0</v>
      </c>
      <c r="C3864">
        <v>318</v>
      </c>
    </row>
    <row r="3865" spans="1:3" x14ac:dyDescent="0.25">
      <c r="A3865">
        <v>12</v>
      </c>
      <c r="B3865">
        <v>0</v>
      </c>
      <c r="C3865">
        <v>318</v>
      </c>
    </row>
    <row r="3866" spans="1:3" x14ac:dyDescent="0.25">
      <c r="A3866">
        <v>12</v>
      </c>
      <c r="B3866">
        <v>0</v>
      </c>
      <c r="C3866">
        <v>318</v>
      </c>
    </row>
    <row r="3867" spans="1:3" x14ac:dyDescent="0.25">
      <c r="A3867">
        <v>12</v>
      </c>
      <c r="B3867">
        <v>0</v>
      </c>
      <c r="C3867">
        <v>318</v>
      </c>
    </row>
    <row r="3868" spans="1:3" x14ac:dyDescent="0.25">
      <c r="A3868">
        <v>11</v>
      </c>
      <c r="B3868">
        <v>0</v>
      </c>
      <c r="C3868">
        <v>308</v>
      </c>
    </row>
    <row r="3869" spans="1:3" x14ac:dyDescent="0.25">
      <c r="A3869">
        <v>11</v>
      </c>
      <c r="B3869">
        <v>0</v>
      </c>
      <c r="C3869">
        <v>308</v>
      </c>
    </row>
    <row r="3870" spans="1:3" x14ac:dyDescent="0.25">
      <c r="A3870">
        <v>17</v>
      </c>
      <c r="B3870">
        <v>0</v>
      </c>
      <c r="C3870">
        <v>308</v>
      </c>
    </row>
    <row r="3871" spans="1:3" x14ac:dyDescent="0.25">
      <c r="A3871">
        <v>12</v>
      </c>
      <c r="B3871">
        <v>0</v>
      </c>
      <c r="C3871">
        <v>308</v>
      </c>
    </row>
    <row r="3872" spans="1:3" x14ac:dyDescent="0.25">
      <c r="A3872">
        <v>12</v>
      </c>
      <c r="B3872">
        <v>0</v>
      </c>
      <c r="C3872">
        <v>308</v>
      </c>
    </row>
    <row r="3873" spans="1:3" x14ac:dyDescent="0.25">
      <c r="A3873">
        <v>11</v>
      </c>
      <c r="B3873">
        <v>0</v>
      </c>
      <c r="C3873">
        <v>308</v>
      </c>
    </row>
    <row r="3874" spans="1:3" x14ac:dyDescent="0.25">
      <c r="A3874">
        <v>11</v>
      </c>
      <c r="B3874">
        <v>0</v>
      </c>
      <c r="C3874">
        <v>308</v>
      </c>
    </row>
    <row r="3875" spans="1:3" x14ac:dyDescent="0.25">
      <c r="A3875">
        <v>12</v>
      </c>
      <c r="B3875">
        <v>0</v>
      </c>
      <c r="C3875">
        <v>308</v>
      </c>
    </row>
    <row r="3876" spans="1:3" x14ac:dyDescent="0.25">
      <c r="A3876">
        <v>13</v>
      </c>
      <c r="B3876">
        <v>0</v>
      </c>
      <c r="C3876">
        <v>374</v>
      </c>
    </row>
    <row r="3877" spans="1:3" x14ac:dyDescent="0.25">
      <c r="A3877">
        <v>12</v>
      </c>
      <c r="B3877">
        <v>0</v>
      </c>
      <c r="C3877">
        <v>374</v>
      </c>
    </row>
    <row r="3878" spans="1:3" x14ac:dyDescent="0.25">
      <c r="A3878">
        <v>14</v>
      </c>
      <c r="B3878">
        <v>0</v>
      </c>
      <c r="C3878">
        <v>374</v>
      </c>
    </row>
    <row r="3879" spans="1:3" x14ac:dyDescent="0.25">
      <c r="A3879">
        <v>11</v>
      </c>
      <c r="B3879">
        <v>0</v>
      </c>
      <c r="C3879">
        <v>374</v>
      </c>
    </row>
    <row r="3880" spans="1:3" x14ac:dyDescent="0.25">
      <c r="A3880">
        <v>12</v>
      </c>
      <c r="B3880">
        <v>0</v>
      </c>
      <c r="C3880">
        <v>374</v>
      </c>
    </row>
    <row r="3881" spans="1:3" x14ac:dyDescent="0.25">
      <c r="A3881">
        <v>13</v>
      </c>
      <c r="B3881">
        <v>0</v>
      </c>
      <c r="C3881">
        <v>374</v>
      </c>
    </row>
    <row r="3882" spans="1:3" x14ac:dyDescent="0.25">
      <c r="A3882">
        <v>12</v>
      </c>
      <c r="B3882">
        <v>0</v>
      </c>
      <c r="C3882">
        <v>374</v>
      </c>
    </row>
    <row r="3883" spans="1:3" x14ac:dyDescent="0.25">
      <c r="A3883">
        <v>13</v>
      </c>
      <c r="B3883">
        <v>0</v>
      </c>
      <c r="C3883">
        <v>374</v>
      </c>
    </row>
    <row r="3884" spans="1:3" x14ac:dyDescent="0.25">
      <c r="A3884">
        <v>11</v>
      </c>
      <c r="B3884">
        <v>0</v>
      </c>
      <c r="C3884">
        <v>360</v>
      </c>
    </row>
    <row r="3885" spans="1:3" x14ac:dyDescent="0.25">
      <c r="A3885">
        <v>13</v>
      </c>
      <c r="B3885">
        <v>0</v>
      </c>
      <c r="C3885">
        <v>360</v>
      </c>
    </row>
    <row r="3886" spans="1:3" x14ac:dyDescent="0.25">
      <c r="A3886">
        <v>13</v>
      </c>
      <c r="B3886">
        <v>0</v>
      </c>
      <c r="C3886">
        <v>360</v>
      </c>
    </row>
    <row r="3887" spans="1:3" x14ac:dyDescent="0.25">
      <c r="A3887">
        <v>12</v>
      </c>
      <c r="B3887">
        <v>0</v>
      </c>
      <c r="C3887">
        <v>360</v>
      </c>
    </row>
    <row r="3888" spans="1:3" x14ac:dyDescent="0.25">
      <c r="A3888">
        <v>12</v>
      </c>
      <c r="B3888">
        <v>0</v>
      </c>
      <c r="C3888">
        <v>360</v>
      </c>
    </row>
    <row r="3889" spans="1:3" x14ac:dyDescent="0.25">
      <c r="A3889">
        <v>13</v>
      </c>
      <c r="B3889">
        <v>0</v>
      </c>
      <c r="C3889">
        <v>360</v>
      </c>
    </row>
    <row r="3890" spans="1:3" x14ac:dyDescent="0.25">
      <c r="A3890">
        <v>12</v>
      </c>
      <c r="B3890">
        <v>0</v>
      </c>
      <c r="C3890">
        <v>360</v>
      </c>
    </row>
    <row r="3891" spans="1:3" x14ac:dyDescent="0.25">
      <c r="A3891">
        <v>12</v>
      </c>
      <c r="B3891">
        <v>0</v>
      </c>
      <c r="C3891">
        <v>360</v>
      </c>
    </row>
    <row r="3892" spans="1:3" x14ac:dyDescent="0.25">
      <c r="A3892">
        <v>12</v>
      </c>
      <c r="B3892">
        <v>0</v>
      </c>
      <c r="C3892">
        <v>307</v>
      </c>
    </row>
    <row r="3893" spans="1:3" x14ac:dyDescent="0.25">
      <c r="A3893">
        <v>16</v>
      </c>
      <c r="B3893">
        <v>0</v>
      </c>
      <c r="C3893">
        <v>307</v>
      </c>
    </row>
    <row r="3894" spans="1:3" x14ac:dyDescent="0.25">
      <c r="A3894">
        <v>11</v>
      </c>
      <c r="B3894">
        <v>0</v>
      </c>
      <c r="C3894">
        <v>307</v>
      </c>
    </row>
    <row r="3895" spans="1:3" x14ac:dyDescent="0.25">
      <c r="A3895">
        <v>13</v>
      </c>
      <c r="B3895">
        <v>0</v>
      </c>
      <c r="C3895">
        <v>307</v>
      </c>
    </row>
    <row r="3896" spans="1:3" x14ac:dyDescent="0.25">
      <c r="A3896">
        <v>11</v>
      </c>
      <c r="B3896">
        <v>0</v>
      </c>
      <c r="C3896">
        <v>307</v>
      </c>
    </row>
    <row r="3897" spans="1:3" x14ac:dyDescent="0.25">
      <c r="A3897">
        <v>15</v>
      </c>
      <c r="B3897">
        <v>0</v>
      </c>
      <c r="C3897">
        <v>307</v>
      </c>
    </row>
    <row r="3898" spans="1:3" x14ac:dyDescent="0.25">
      <c r="A3898">
        <v>11</v>
      </c>
      <c r="B3898">
        <v>0</v>
      </c>
      <c r="C3898">
        <v>307</v>
      </c>
    </row>
    <row r="3899" spans="1:3" x14ac:dyDescent="0.25">
      <c r="A3899">
        <v>11</v>
      </c>
      <c r="B3899">
        <v>0</v>
      </c>
      <c r="C3899">
        <v>307</v>
      </c>
    </row>
    <row r="3900" spans="1:3" x14ac:dyDescent="0.25">
      <c r="A3900">
        <v>12</v>
      </c>
      <c r="B3900">
        <v>0</v>
      </c>
      <c r="C3900">
        <v>346</v>
      </c>
    </row>
    <row r="3901" spans="1:3" x14ac:dyDescent="0.25">
      <c r="A3901">
        <v>11</v>
      </c>
      <c r="B3901">
        <v>0</v>
      </c>
      <c r="C3901">
        <v>346</v>
      </c>
    </row>
    <row r="3902" spans="1:3" x14ac:dyDescent="0.25">
      <c r="A3902">
        <v>13</v>
      </c>
      <c r="B3902">
        <v>0</v>
      </c>
      <c r="C3902">
        <v>346</v>
      </c>
    </row>
    <row r="3903" spans="1:3" x14ac:dyDescent="0.25">
      <c r="A3903">
        <v>13</v>
      </c>
      <c r="B3903">
        <v>0</v>
      </c>
      <c r="C3903">
        <v>346</v>
      </c>
    </row>
    <row r="3904" spans="1:3" x14ac:dyDescent="0.25">
      <c r="A3904">
        <v>12</v>
      </c>
      <c r="B3904">
        <v>0</v>
      </c>
      <c r="C3904">
        <v>346</v>
      </c>
    </row>
    <row r="3905" spans="1:3" x14ac:dyDescent="0.25">
      <c r="A3905">
        <v>13</v>
      </c>
      <c r="B3905">
        <v>0</v>
      </c>
      <c r="C3905">
        <v>346</v>
      </c>
    </row>
    <row r="3906" spans="1:3" x14ac:dyDescent="0.25">
      <c r="A3906">
        <v>12</v>
      </c>
      <c r="B3906">
        <v>0</v>
      </c>
      <c r="C3906">
        <v>346</v>
      </c>
    </row>
    <row r="3907" spans="1:3" x14ac:dyDescent="0.25">
      <c r="A3907">
        <v>12</v>
      </c>
      <c r="B3907">
        <v>0</v>
      </c>
      <c r="C3907">
        <v>346</v>
      </c>
    </row>
    <row r="3908" spans="1:3" x14ac:dyDescent="0.25">
      <c r="A3908">
        <v>12</v>
      </c>
      <c r="B3908">
        <v>0</v>
      </c>
      <c r="C3908">
        <v>323</v>
      </c>
    </row>
    <row r="3909" spans="1:3" x14ac:dyDescent="0.25">
      <c r="A3909">
        <v>13</v>
      </c>
      <c r="B3909">
        <v>0</v>
      </c>
      <c r="C3909">
        <v>323</v>
      </c>
    </row>
    <row r="3910" spans="1:3" x14ac:dyDescent="0.25">
      <c r="A3910">
        <v>12</v>
      </c>
      <c r="B3910">
        <v>0</v>
      </c>
      <c r="C3910">
        <v>323</v>
      </c>
    </row>
    <row r="3911" spans="1:3" x14ac:dyDescent="0.25">
      <c r="A3911">
        <v>13</v>
      </c>
      <c r="B3911">
        <v>0</v>
      </c>
      <c r="C3911">
        <v>323</v>
      </c>
    </row>
    <row r="3912" spans="1:3" x14ac:dyDescent="0.25">
      <c r="A3912">
        <v>14</v>
      </c>
      <c r="B3912">
        <v>0</v>
      </c>
      <c r="C3912">
        <v>323</v>
      </c>
    </row>
    <row r="3913" spans="1:3" x14ac:dyDescent="0.25">
      <c r="A3913">
        <v>13</v>
      </c>
      <c r="B3913">
        <v>0</v>
      </c>
      <c r="C3913">
        <v>323</v>
      </c>
    </row>
    <row r="3914" spans="1:3" x14ac:dyDescent="0.25">
      <c r="A3914">
        <v>12</v>
      </c>
      <c r="B3914">
        <v>0</v>
      </c>
      <c r="C3914">
        <v>323</v>
      </c>
    </row>
    <row r="3915" spans="1:3" x14ac:dyDescent="0.25">
      <c r="A3915">
        <v>12</v>
      </c>
      <c r="B3915">
        <v>0</v>
      </c>
      <c r="C3915">
        <v>323</v>
      </c>
    </row>
    <row r="3916" spans="1:3" x14ac:dyDescent="0.25">
      <c r="A3916">
        <v>13</v>
      </c>
      <c r="B3916">
        <v>0</v>
      </c>
      <c r="C3916">
        <v>365</v>
      </c>
    </row>
    <row r="3917" spans="1:3" x14ac:dyDescent="0.25">
      <c r="A3917">
        <v>11</v>
      </c>
      <c r="B3917">
        <v>0</v>
      </c>
      <c r="C3917">
        <v>365</v>
      </c>
    </row>
    <row r="3918" spans="1:3" x14ac:dyDescent="0.25">
      <c r="A3918">
        <v>13</v>
      </c>
      <c r="B3918">
        <v>0</v>
      </c>
      <c r="C3918">
        <v>365</v>
      </c>
    </row>
    <row r="3919" spans="1:3" x14ac:dyDescent="0.25">
      <c r="A3919">
        <v>11</v>
      </c>
      <c r="B3919">
        <v>0</v>
      </c>
      <c r="C3919">
        <v>365</v>
      </c>
    </row>
    <row r="3920" spans="1:3" x14ac:dyDescent="0.25">
      <c r="A3920">
        <v>11</v>
      </c>
      <c r="B3920">
        <v>0</v>
      </c>
      <c r="C3920">
        <v>365</v>
      </c>
    </row>
    <row r="3921" spans="1:3" x14ac:dyDescent="0.25">
      <c r="A3921">
        <v>12</v>
      </c>
      <c r="B3921">
        <v>0</v>
      </c>
      <c r="C3921">
        <v>365</v>
      </c>
    </row>
    <row r="3922" spans="1:3" x14ac:dyDescent="0.25">
      <c r="A3922">
        <v>12</v>
      </c>
      <c r="B3922">
        <v>0</v>
      </c>
      <c r="C3922">
        <v>365</v>
      </c>
    </row>
    <row r="3923" spans="1:3" x14ac:dyDescent="0.25">
      <c r="A3923">
        <v>11</v>
      </c>
      <c r="B3923">
        <v>0</v>
      </c>
      <c r="C3923">
        <v>365</v>
      </c>
    </row>
    <row r="3924" spans="1:3" x14ac:dyDescent="0.25">
      <c r="A3924">
        <v>12</v>
      </c>
      <c r="B3924">
        <v>0</v>
      </c>
      <c r="C3924">
        <v>326</v>
      </c>
    </row>
    <row r="3925" spans="1:3" x14ac:dyDescent="0.25">
      <c r="A3925">
        <v>15</v>
      </c>
      <c r="B3925">
        <v>0</v>
      </c>
      <c r="C3925">
        <v>326</v>
      </c>
    </row>
    <row r="3926" spans="1:3" x14ac:dyDescent="0.25">
      <c r="A3926">
        <v>12</v>
      </c>
      <c r="B3926">
        <v>0</v>
      </c>
      <c r="C3926">
        <v>326</v>
      </c>
    </row>
    <row r="3927" spans="1:3" x14ac:dyDescent="0.25">
      <c r="A3927">
        <v>12</v>
      </c>
      <c r="B3927">
        <v>0</v>
      </c>
      <c r="C3927">
        <v>326</v>
      </c>
    </row>
    <row r="3928" spans="1:3" x14ac:dyDescent="0.25">
      <c r="A3928">
        <v>13</v>
      </c>
      <c r="B3928">
        <v>0</v>
      </c>
      <c r="C3928">
        <v>326</v>
      </c>
    </row>
    <row r="3929" spans="1:3" x14ac:dyDescent="0.25">
      <c r="A3929">
        <v>12</v>
      </c>
      <c r="B3929">
        <v>0</v>
      </c>
      <c r="C3929">
        <v>326</v>
      </c>
    </row>
    <row r="3930" spans="1:3" x14ac:dyDescent="0.25">
      <c r="A3930">
        <v>16</v>
      </c>
      <c r="B3930">
        <v>0</v>
      </c>
      <c r="C3930">
        <v>326</v>
      </c>
    </row>
    <row r="3931" spans="1:3" x14ac:dyDescent="0.25">
      <c r="A3931">
        <v>13</v>
      </c>
      <c r="B3931">
        <v>0</v>
      </c>
      <c r="C3931">
        <v>326</v>
      </c>
    </row>
    <row r="3932" spans="1:3" x14ac:dyDescent="0.25">
      <c r="A3932">
        <v>12</v>
      </c>
      <c r="B3932">
        <v>0</v>
      </c>
      <c r="C3932">
        <v>327</v>
      </c>
    </row>
    <row r="3933" spans="1:3" x14ac:dyDescent="0.25">
      <c r="A3933">
        <v>12</v>
      </c>
      <c r="B3933">
        <v>0</v>
      </c>
      <c r="C3933">
        <v>327</v>
      </c>
    </row>
    <row r="3934" spans="1:3" x14ac:dyDescent="0.25">
      <c r="A3934">
        <v>12</v>
      </c>
      <c r="B3934">
        <v>0</v>
      </c>
      <c r="C3934">
        <v>327</v>
      </c>
    </row>
    <row r="3935" spans="1:3" x14ac:dyDescent="0.25">
      <c r="A3935">
        <v>12</v>
      </c>
      <c r="B3935">
        <v>0</v>
      </c>
      <c r="C3935">
        <v>327</v>
      </c>
    </row>
    <row r="3936" spans="1:3" x14ac:dyDescent="0.25">
      <c r="A3936">
        <v>15</v>
      </c>
      <c r="B3936">
        <v>0</v>
      </c>
      <c r="C3936">
        <v>327</v>
      </c>
    </row>
    <row r="3937" spans="1:3" x14ac:dyDescent="0.25">
      <c r="A3937">
        <v>11</v>
      </c>
      <c r="B3937">
        <v>0</v>
      </c>
      <c r="C3937">
        <v>327</v>
      </c>
    </row>
    <row r="3938" spans="1:3" x14ac:dyDescent="0.25">
      <c r="A3938">
        <v>13</v>
      </c>
      <c r="B3938">
        <v>0</v>
      </c>
      <c r="C3938">
        <v>327</v>
      </c>
    </row>
    <row r="3939" spans="1:3" x14ac:dyDescent="0.25">
      <c r="A3939">
        <v>11</v>
      </c>
      <c r="B3939">
        <v>0</v>
      </c>
      <c r="C3939">
        <v>327</v>
      </c>
    </row>
    <row r="3940" spans="1:3" x14ac:dyDescent="0.25">
      <c r="A3940">
        <v>12</v>
      </c>
      <c r="B3940">
        <v>0</v>
      </c>
      <c r="C3940">
        <v>312</v>
      </c>
    </row>
    <row r="3941" spans="1:3" x14ac:dyDescent="0.25">
      <c r="A3941">
        <v>13</v>
      </c>
      <c r="B3941">
        <v>0</v>
      </c>
      <c r="C3941">
        <v>312</v>
      </c>
    </row>
    <row r="3942" spans="1:3" x14ac:dyDescent="0.25">
      <c r="A3942">
        <v>12</v>
      </c>
      <c r="B3942">
        <v>0</v>
      </c>
      <c r="C3942">
        <v>312</v>
      </c>
    </row>
    <row r="3943" spans="1:3" x14ac:dyDescent="0.25">
      <c r="A3943">
        <v>11</v>
      </c>
      <c r="B3943">
        <v>0</v>
      </c>
      <c r="C3943">
        <v>312</v>
      </c>
    </row>
    <row r="3944" spans="1:3" x14ac:dyDescent="0.25">
      <c r="A3944">
        <v>12</v>
      </c>
      <c r="B3944">
        <v>0</v>
      </c>
      <c r="C3944">
        <v>312</v>
      </c>
    </row>
    <row r="3945" spans="1:3" x14ac:dyDescent="0.25">
      <c r="A3945">
        <v>13</v>
      </c>
      <c r="B3945">
        <v>0</v>
      </c>
      <c r="C3945">
        <v>312</v>
      </c>
    </row>
    <row r="3946" spans="1:3" x14ac:dyDescent="0.25">
      <c r="A3946">
        <v>13</v>
      </c>
      <c r="B3946">
        <v>0</v>
      </c>
      <c r="C3946">
        <v>312</v>
      </c>
    </row>
    <row r="3947" spans="1:3" x14ac:dyDescent="0.25">
      <c r="A3947">
        <v>12</v>
      </c>
      <c r="B3947">
        <v>0</v>
      </c>
      <c r="C3947">
        <v>312</v>
      </c>
    </row>
    <row r="3948" spans="1:3" x14ac:dyDescent="0.25">
      <c r="A3948">
        <v>13</v>
      </c>
      <c r="B3948">
        <v>0</v>
      </c>
      <c r="C3948">
        <v>352</v>
      </c>
    </row>
    <row r="3949" spans="1:3" x14ac:dyDescent="0.25">
      <c r="A3949">
        <v>12</v>
      </c>
      <c r="B3949">
        <v>0</v>
      </c>
      <c r="C3949">
        <v>352</v>
      </c>
    </row>
    <row r="3950" spans="1:3" x14ac:dyDescent="0.25">
      <c r="A3950">
        <v>11</v>
      </c>
      <c r="B3950">
        <v>0</v>
      </c>
      <c r="C3950">
        <v>352</v>
      </c>
    </row>
    <row r="3951" spans="1:3" x14ac:dyDescent="0.25">
      <c r="A3951">
        <v>17</v>
      </c>
      <c r="B3951">
        <v>0</v>
      </c>
      <c r="C3951">
        <v>352</v>
      </c>
    </row>
    <row r="3952" spans="1:3" x14ac:dyDescent="0.25">
      <c r="A3952">
        <v>11</v>
      </c>
      <c r="B3952">
        <v>0</v>
      </c>
      <c r="C3952">
        <v>352</v>
      </c>
    </row>
    <row r="3953" spans="1:3" x14ac:dyDescent="0.25">
      <c r="A3953">
        <v>11</v>
      </c>
      <c r="B3953">
        <v>0</v>
      </c>
      <c r="C3953">
        <v>352</v>
      </c>
    </row>
    <row r="3954" spans="1:3" x14ac:dyDescent="0.25">
      <c r="A3954">
        <v>13</v>
      </c>
      <c r="B3954">
        <v>0</v>
      </c>
      <c r="C3954">
        <v>352</v>
      </c>
    </row>
    <row r="3955" spans="1:3" x14ac:dyDescent="0.25">
      <c r="A3955">
        <v>12</v>
      </c>
      <c r="B3955">
        <v>0</v>
      </c>
      <c r="C3955">
        <v>352</v>
      </c>
    </row>
    <row r="3956" spans="1:3" x14ac:dyDescent="0.25">
      <c r="A3956">
        <v>12</v>
      </c>
      <c r="B3956">
        <v>0</v>
      </c>
      <c r="C3956">
        <v>324</v>
      </c>
    </row>
    <row r="3957" spans="1:3" x14ac:dyDescent="0.25">
      <c r="A3957">
        <v>11</v>
      </c>
      <c r="B3957">
        <v>0</v>
      </c>
      <c r="C3957">
        <v>324</v>
      </c>
    </row>
    <row r="3958" spans="1:3" x14ac:dyDescent="0.25">
      <c r="A3958">
        <v>12</v>
      </c>
      <c r="B3958">
        <v>0</v>
      </c>
      <c r="C3958">
        <v>324</v>
      </c>
    </row>
    <row r="3959" spans="1:3" x14ac:dyDescent="0.25">
      <c r="A3959">
        <v>14</v>
      </c>
      <c r="B3959">
        <v>0</v>
      </c>
      <c r="C3959">
        <v>324</v>
      </c>
    </row>
    <row r="3960" spans="1:3" x14ac:dyDescent="0.25">
      <c r="A3960">
        <v>13</v>
      </c>
      <c r="B3960">
        <v>0</v>
      </c>
      <c r="C3960">
        <v>324</v>
      </c>
    </row>
    <row r="3961" spans="1:3" x14ac:dyDescent="0.25">
      <c r="A3961">
        <v>14</v>
      </c>
      <c r="B3961">
        <v>0</v>
      </c>
      <c r="C3961">
        <v>324</v>
      </c>
    </row>
    <row r="3962" spans="1:3" x14ac:dyDescent="0.25">
      <c r="A3962">
        <v>12</v>
      </c>
      <c r="B3962">
        <v>0</v>
      </c>
      <c r="C3962">
        <v>324</v>
      </c>
    </row>
    <row r="3963" spans="1:3" x14ac:dyDescent="0.25">
      <c r="A3963">
        <v>12</v>
      </c>
      <c r="B3963">
        <v>0</v>
      </c>
      <c r="C3963">
        <v>324</v>
      </c>
    </row>
    <row r="3964" spans="1:3" x14ac:dyDescent="0.25">
      <c r="A3964">
        <v>16</v>
      </c>
      <c r="B3964">
        <v>0</v>
      </c>
      <c r="C3964">
        <v>302</v>
      </c>
    </row>
    <row r="3965" spans="1:3" x14ac:dyDescent="0.25">
      <c r="A3965">
        <v>11</v>
      </c>
      <c r="B3965">
        <v>0</v>
      </c>
      <c r="C3965">
        <v>302</v>
      </c>
    </row>
    <row r="3966" spans="1:3" x14ac:dyDescent="0.25">
      <c r="A3966">
        <v>23</v>
      </c>
      <c r="B3966">
        <v>0</v>
      </c>
      <c r="C3966">
        <v>302</v>
      </c>
    </row>
    <row r="3967" spans="1:3" x14ac:dyDescent="0.25">
      <c r="A3967">
        <v>13</v>
      </c>
      <c r="B3967">
        <v>0</v>
      </c>
      <c r="C3967">
        <v>302</v>
      </c>
    </row>
    <row r="3968" spans="1:3" x14ac:dyDescent="0.25">
      <c r="A3968">
        <v>15</v>
      </c>
      <c r="B3968">
        <v>0</v>
      </c>
      <c r="C3968">
        <v>302</v>
      </c>
    </row>
    <row r="3969" spans="1:3" x14ac:dyDescent="0.25">
      <c r="A3969">
        <v>11</v>
      </c>
      <c r="B3969">
        <v>0</v>
      </c>
      <c r="C3969">
        <v>302</v>
      </c>
    </row>
    <row r="3970" spans="1:3" x14ac:dyDescent="0.25">
      <c r="A3970">
        <v>12</v>
      </c>
      <c r="B3970">
        <v>0</v>
      </c>
      <c r="C3970">
        <v>302</v>
      </c>
    </row>
    <row r="3971" spans="1:3" x14ac:dyDescent="0.25">
      <c r="A3971">
        <v>12</v>
      </c>
      <c r="B3971">
        <v>0</v>
      </c>
      <c r="C3971">
        <v>351</v>
      </c>
    </row>
    <row r="3972" spans="1:3" x14ac:dyDescent="0.25">
      <c r="A3972">
        <v>13</v>
      </c>
      <c r="B3972">
        <v>0</v>
      </c>
      <c r="C3972">
        <v>351</v>
      </c>
    </row>
    <row r="3973" spans="1:3" x14ac:dyDescent="0.25">
      <c r="A3973">
        <v>12</v>
      </c>
      <c r="B3973">
        <v>0</v>
      </c>
      <c r="C3973">
        <v>351</v>
      </c>
    </row>
    <row r="3974" spans="1:3" x14ac:dyDescent="0.25">
      <c r="A3974">
        <v>15</v>
      </c>
      <c r="B3974">
        <v>0</v>
      </c>
      <c r="C3974">
        <v>351</v>
      </c>
    </row>
    <row r="3975" spans="1:3" x14ac:dyDescent="0.25">
      <c r="A3975">
        <v>12</v>
      </c>
      <c r="B3975">
        <v>0</v>
      </c>
      <c r="C3975">
        <v>351</v>
      </c>
    </row>
    <row r="3976" spans="1:3" x14ac:dyDescent="0.25">
      <c r="A3976">
        <v>12</v>
      </c>
      <c r="B3976">
        <v>0</v>
      </c>
      <c r="C3976">
        <v>351</v>
      </c>
    </row>
    <row r="3977" spans="1:3" x14ac:dyDescent="0.25">
      <c r="A3977">
        <v>12</v>
      </c>
      <c r="B3977">
        <v>0</v>
      </c>
      <c r="C3977">
        <v>351</v>
      </c>
    </row>
    <row r="3978" spans="1:3" x14ac:dyDescent="0.25">
      <c r="A3978">
        <v>13</v>
      </c>
      <c r="B3978">
        <v>0</v>
      </c>
      <c r="C3978">
        <v>460</v>
      </c>
    </row>
    <row r="3979" spans="1:3" x14ac:dyDescent="0.25">
      <c r="A3979">
        <v>16</v>
      </c>
      <c r="B3979">
        <v>0</v>
      </c>
      <c r="C3979">
        <v>460</v>
      </c>
    </row>
    <row r="3980" spans="1:3" x14ac:dyDescent="0.25">
      <c r="A3980">
        <v>14</v>
      </c>
      <c r="B3980">
        <v>0</v>
      </c>
      <c r="C3980">
        <v>460</v>
      </c>
    </row>
    <row r="3981" spans="1:3" x14ac:dyDescent="0.25">
      <c r="A3981">
        <v>13</v>
      </c>
      <c r="B3981">
        <v>0</v>
      </c>
      <c r="C3981">
        <v>460</v>
      </c>
    </row>
    <row r="3982" spans="1:3" x14ac:dyDescent="0.25">
      <c r="A3982">
        <v>13</v>
      </c>
      <c r="B3982">
        <v>0</v>
      </c>
      <c r="C3982">
        <v>460</v>
      </c>
    </row>
    <row r="3983" spans="1:3" x14ac:dyDescent="0.25">
      <c r="A3983">
        <v>13</v>
      </c>
      <c r="B3983">
        <v>0</v>
      </c>
      <c r="C3983">
        <v>460</v>
      </c>
    </row>
    <row r="3984" spans="1:3" x14ac:dyDescent="0.25">
      <c r="A3984">
        <v>14</v>
      </c>
      <c r="B3984">
        <v>0</v>
      </c>
      <c r="C3984">
        <v>460</v>
      </c>
    </row>
    <row r="3985" spans="1:3" x14ac:dyDescent="0.25">
      <c r="A3985">
        <v>12</v>
      </c>
      <c r="B3985">
        <v>0</v>
      </c>
      <c r="C3985">
        <v>405</v>
      </c>
    </row>
    <row r="3986" spans="1:3" x14ac:dyDescent="0.25">
      <c r="A3986">
        <v>12</v>
      </c>
      <c r="B3986">
        <v>0</v>
      </c>
      <c r="C3986">
        <v>405</v>
      </c>
    </row>
    <row r="3987" spans="1:3" x14ac:dyDescent="0.25">
      <c r="A3987">
        <v>13</v>
      </c>
      <c r="B3987">
        <v>0</v>
      </c>
      <c r="C3987">
        <v>405</v>
      </c>
    </row>
    <row r="3988" spans="1:3" x14ac:dyDescent="0.25">
      <c r="A3988">
        <v>12</v>
      </c>
      <c r="B3988">
        <v>0</v>
      </c>
      <c r="C3988">
        <v>405</v>
      </c>
    </row>
    <row r="3989" spans="1:3" x14ac:dyDescent="0.25">
      <c r="A3989">
        <v>12</v>
      </c>
      <c r="B3989">
        <v>0</v>
      </c>
      <c r="C3989">
        <v>405</v>
      </c>
    </row>
    <row r="3990" spans="1:3" x14ac:dyDescent="0.25">
      <c r="A3990">
        <v>13</v>
      </c>
      <c r="B3990">
        <v>0</v>
      </c>
      <c r="C3990">
        <v>405</v>
      </c>
    </row>
    <row r="3991" spans="1:3" x14ac:dyDescent="0.25">
      <c r="A3991">
        <v>14</v>
      </c>
      <c r="B3991">
        <v>0</v>
      </c>
      <c r="C3991">
        <v>405</v>
      </c>
    </row>
    <row r="3992" spans="1:3" x14ac:dyDescent="0.25">
      <c r="A3992">
        <v>13</v>
      </c>
      <c r="B3992">
        <v>0</v>
      </c>
      <c r="C3992">
        <v>346</v>
      </c>
    </row>
    <row r="3993" spans="1:3" x14ac:dyDescent="0.25">
      <c r="A3993">
        <v>11</v>
      </c>
      <c r="B3993">
        <v>0</v>
      </c>
      <c r="C3993">
        <v>346</v>
      </c>
    </row>
    <row r="3994" spans="1:3" x14ac:dyDescent="0.25">
      <c r="A3994">
        <v>12</v>
      </c>
      <c r="B3994">
        <v>0</v>
      </c>
      <c r="C3994">
        <v>346</v>
      </c>
    </row>
    <row r="3995" spans="1:3" x14ac:dyDescent="0.25">
      <c r="A3995">
        <v>13</v>
      </c>
      <c r="B3995">
        <v>0</v>
      </c>
      <c r="C3995">
        <v>346</v>
      </c>
    </row>
    <row r="3996" spans="1:3" x14ac:dyDescent="0.25">
      <c r="A3996">
        <v>14</v>
      </c>
      <c r="B3996">
        <v>0</v>
      </c>
      <c r="C3996">
        <v>346</v>
      </c>
    </row>
    <row r="3997" spans="1:3" x14ac:dyDescent="0.25">
      <c r="A3997">
        <v>12</v>
      </c>
      <c r="B3997">
        <v>0</v>
      </c>
      <c r="C3997">
        <v>346</v>
      </c>
    </row>
    <row r="3998" spans="1:3" x14ac:dyDescent="0.25">
      <c r="A3998">
        <v>13</v>
      </c>
      <c r="B3998">
        <v>0</v>
      </c>
      <c r="C3998">
        <v>346</v>
      </c>
    </row>
    <row r="3999" spans="1:3" x14ac:dyDescent="0.25">
      <c r="A3999">
        <v>13</v>
      </c>
      <c r="B3999">
        <v>0</v>
      </c>
      <c r="C3999">
        <v>346</v>
      </c>
    </row>
    <row r="4000" spans="1:3" x14ac:dyDescent="0.25">
      <c r="A4000">
        <v>12</v>
      </c>
      <c r="B4000">
        <v>0</v>
      </c>
      <c r="C4000">
        <v>333</v>
      </c>
    </row>
    <row r="4001" spans="1:3" x14ac:dyDescent="0.25">
      <c r="A4001">
        <v>11</v>
      </c>
      <c r="B4001">
        <v>0</v>
      </c>
      <c r="C4001">
        <v>333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H17"/>
  <sheetViews>
    <sheetView workbookViewId="0">
      <selection activeCell="H16" sqref="H16"/>
    </sheetView>
  </sheetViews>
  <sheetFormatPr baseColWidth="10" defaultRowHeight="15" x14ac:dyDescent="0.25"/>
  <cols>
    <col min="2" max="2" width="24" bestFit="1" customWidth="1"/>
    <col min="6" max="6" width="23.140625" bestFit="1" customWidth="1"/>
    <col min="7" max="7" width="21.7109375" bestFit="1" customWidth="1"/>
  </cols>
  <sheetData>
    <row r="1" spans="2:8" ht="15.75" thickBot="1" x14ac:dyDescent="0.3"/>
    <row r="2" spans="2:8" x14ac:dyDescent="0.25">
      <c r="B2" s="1" t="s">
        <v>4</v>
      </c>
      <c r="C2" s="2">
        <v>1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200</v>
      </c>
      <c r="E3" s="11">
        <v>1</v>
      </c>
      <c r="F3" s="7">
        <v>16.145</v>
      </c>
      <c r="G3" s="7">
        <v>0</v>
      </c>
      <c r="H3" s="8">
        <v>0.362705</v>
      </c>
    </row>
    <row r="4" spans="2:8" ht="15.75" thickBot="1" x14ac:dyDescent="0.3">
      <c r="B4" s="5" t="s">
        <v>6</v>
      </c>
      <c r="C4" s="6">
        <v>40</v>
      </c>
      <c r="E4" s="11">
        <v>2</v>
      </c>
      <c r="F4" s="7">
        <v>12.835000000000001</v>
      </c>
      <c r="G4" s="7">
        <v>0</v>
      </c>
      <c r="H4" s="8">
        <v>0.38154500000000002</v>
      </c>
    </row>
    <row r="5" spans="2:8" x14ac:dyDescent="0.25">
      <c r="E5" s="11">
        <v>3</v>
      </c>
      <c r="F5" s="7">
        <v>12.385</v>
      </c>
      <c r="G5" s="7">
        <v>0</v>
      </c>
      <c r="H5" s="8">
        <v>0.340395</v>
      </c>
    </row>
    <row r="6" spans="2:8" x14ac:dyDescent="0.25">
      <c r="E6" s="11">
        <v>4</v>
      </c>
      <c r="F6" s="7">
        <v>12.74</v>
      </c>
      <c r="G6" s="7">
        <v>0</v>
      </c>
      <c r="H6" s="8">
        <v>0.36672500000000002</v>
      </c>
    </row>
    <row r="7" spans="2:8" x14ac:dyDescent="0.25">
      <c r="E7" s="11">
        <v>5</v>
      </c>
      <c r="F7" s="7">
        <v>12.414999999999999</v>
      </c>
      <c r="G7" s="7">
        <v>0</v>
      </c>
      <c r="H7" s="8">
        <v>0.34879500000000002</v>
      </c>
    </row>
    <row r="8" spans="2:8" x14ac:dyDescent="0.25">
      <c r="E8" s="11">
        <v>6</v>
      </c>
      <c r="F8" s="7">
        <v>12.17</v>
      </c>
      <c r="G8" s="7">
        <v>0</v>
      </c>
      <c r="H8" s="8">
        <v>0.34713499999999997</v>
      </c>
    </row>
    <row r="9" spans="2:8" x14ac:dyDescent="0.25">
      <c r="E9" s="11">
        <v>7</v>
      </c>
      <c r="F9" s="7">
        <v>12.755000000000001</v>
      </c>
      <c r="G9" s="7">
        <v>0</v>
      </c>
      <c r="H9" s="8">
        <v>0.34007500000000002</v>
      </c>
    </row>
    <row r="10" spans="2:8" x14ac:dyDescent="0.25">
      <c r="E10" s="11">
        <v>8</v>
      </c>
      <c r="F10" s="7">
        <v>12.46</v>
      </c>
      <c r="G10" s="7">
        <v>0</v>
      </c>
      <c r="H10" s="8">
        <v>0.35174500000000003</v>
      </c>
    </row>
    <row r="11" spans="2:8" x14ac:dyDescent="0.25">
      <c r="E11" s="11">
        <v>9</v>
      </c>
      <c r="F11" s="7">
        <v>12.68</v>
      </c>
      <c r="G11" s="7">
        <v>0</v>
      </c>
      <c r="H11" s="8">
        <v>0.36369000000000001</v>
      </c>
    </row>
    <row r="12" spans="2:8" ht="15.75" thickBot="1" x14ac:dyDescent="0.3">
      <c r="E12" s="12">
        <v>10</v>
      </c>
      <c r="F12" s="9">
        <v>12.38</v>
      </c>
      <c r="G12" s="9">
        <v>0</v>
      </c>
      <c r="H12" s="10">
        <v>0.34628500000000001</v>
      </c>
    </row>
    <row r="14" spans="2:8" x14ac:dyDescent="0.25">
      <c r="E14" s="23" t="s">
        <v>11</v>
      </c>
      <c r="F14" s="24">
        <f>AVERAGE(F3:F12)</f>
        <v>12.8965</v>
      </c>
      <c r="G14" s="24">
        <f t="shared" ref="G14:H14" si="0">AVERAGE(G3:G12)</f>
        <v>0</v>
      </c>
      <c r="H14" s="24">
        <f t="shared" si="0"/>
        <v>0.35490950000000004</v>
      </c>
    </row>
    <row r="15" spans="2:8" x14ac:dyDescent="0.25">
      <c r="E15" s="22" t="s">
        <v>33</v>
      </c>
      <c r="F15" s="22">
        <f>_xlfn.VAR.S(Datos1.2!A3:A2001)</f>
        <v>8.6490782929002137</v>
      </c>
      <c r="G15" s="22">
        <f>_xlfn.VAR.S(Datos1.2!B3:B2001)</f>
        <v>0</v>
      </c>
      <c r="H15" s="22">
        <f>_xlfn.VAR.S(Datos1.2!C3:C2001)*0.00001</f>
        <v>1.9588672945081174E-2</v>
      </c>
    </row>
    <row r="16" spans="2:8" x14ac:dyDescent="0.25">
      <c r="E16" s="22" t="s">
        <v>37</v>
      </c>
      <c r="F16" s="22">
        <f>SQRT(F15)</f>
        <v>2.9409315348882594</v>
      </c>
      <c r="G16" s="22">
        <f t="shared" ref="G16:H16" si="1">SQRT(G15)</f>
        <v>0</v>
      </c>
      <c r="H16" s="22">
        <f t="shared" si="1"/>
        <v>0.13995954038607433</v>
      </c>
    </row>
    <row r="17" spans="5:8" x14ac:dyDescent="0.25">
      <c r="E17" s="22" t="s">
        <v>35</v>
      </c>
      <c r="F17" s="22">
        <f>MEDIAN(Datos1.2!A3:A2001)</f>
        <v>12</v>
      </c>
      <c r="G17" s="22">
        <f>MEDIAN(Datos1.2!B3:B2001)</f>
        <v>0</v>
      </c>
      <c r="H17" s="22">
        <f>MEDIAN(H2:H12)</f>
        <v>0.35027000000000003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2001"/>
  <sheetViews>
    <sheetView workbookViewId="0">
      <selection activeCell="B4" sqref="B4"/>
    </sheetView>
  </sheetViews>
  <sheetFormatPr baseColWidth="10" defaultRowHeight="15" x14ac:dyDescent="0.25"/>
  <cols>
    <col min="1" max="3" width="10.710937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>
        <v>557</v>
      </c>
      <c r="B2">
        <v>0</v>
      </c>
      <c r="C2">
        <v>0</v>
      </c>
    </row>
    <row r="3" spans="1:3" x14ac:dyDescent="0.25">
      <c r="A3">
        <v>14</v>
      </c>
      <c r="B3">
        <v>0</v>
      </c>
      <c r="C3">
        <v>0</v>
      </c>
    </row>
    <row r="4" spans="1:3" x14ac:dyDescent="0.25">
      <c r="A4">
        <v>14</v>
      </c>
      <c r="B4">
        <v>0</v>
      </c>
      <c r="C4">
        <v>0</v>
      </c>
    </row>
    <row r="5" spans="1:3" x14ac:dyDescent="0.25">
      <c r="A5">
        <v>16</v>
      </c>
      <c r="B5">
        <v>0</v>
      </c>
      <c r="C5">
        <v>0</v>
      </c>
    </row>
    <row r="6" spans="1:3" x14ac:dyDescent="0.25">
      <c r="A6">
        <v>13</v>
      </c>
      <c r="B6">
        <v>0</v>
      </c>
      <c r="C6">
        <v>0</v>
      </c>
    </row>
    <row r="7" spans="1:3" x14ac:dyDescent="0.25">
      <c r="A7">
        <v>13</v>
      </c>
      <c r="B7">
        <v>0</v>
      </c>
      <c r="C7">
        <v>0</v>
      </c>
    </row>
    <row r="8" spans="1:3" x14ac:dyDescent="0.25">
      <c r="A8">
        <v>14</v>
      </c>
      <c r="B8">
        <v>0</v>
      </c>
      <c r="C8">
        <v>0</v>
      </c>
    </row>
    <row r="9" spans="1:3" x14ac:dyDescent="0.25">
      <c r="A9">
        <v>15</v>
      </c>
      <c r="B9">
        <v>0</v>
      </c>
      <c r="C9">
        <v>0</v>
      </c>
    </row>
    <row r="10" spans="1:3" x14ac:dyDescent="0.25">
      <c r="A10">
        <v>13</v>
      </c>
      <c r="B10">
        <v>0</v>
      </c>
      <c r="C10">
        <v>356</v>
      </c>
    </row>
    <row r="11" spans="1:3" x14ac:dyDescent="0.25">
      <c r="A11">
        <v>15</v>
      </c>
      <c r="B11">
        <v>0</v>
      </c>
      <c r="C11">
        <v>356</v>
      </c>
    </row>
    <row r="12" spans="1:3" x14ac:dyDescent="0.25">
      <c r="A12">
        <v>19</v>
      </c>
      <c r="B12">
        <v>0</v>
      </c>
      <c r="C12">
        <v>356</v>
      </c>
    </row>
    <row r="13" spans="1:3" x14ac:dyDescent="0.25">
      <c r="A13">
        <v>14</v>
      </c>
      <c r="B13">
        <v>0</v>
      </c>
      <c r="C13">
        <v>356</v>
      </c>
    </row>
    <row r="14" spans="1:3" x14ac:dyDescent="0.25">
      <c r="A14">
        <v>14</v>
      </c>
      <c r="B14">
        <v>0</v>
      </c>
      <c r="C14">
        <v>356</v>
      </c>
    </row>
    <row r="15" spans="1:3" x14ac:dyDescent="0.25">
      <c r="A15">
        <v>13</v>
      </c>
      <c r="B15">
        <v>0</v>
      </c>
      <c r="C15">
        <v>356</v>
      </c>
    </row>
    <row r="16" spans="1:3" x14ac:dyDescent="0.25">
      <c r="A16">
        <v>14</v>
      </c>
      <c r="B16">
        <v>0</v>
      </c>
      <c r="C16">
        <v>356</v>
      </c>
    </row>
    <row r="17" spans="1:3" x14ac:dyDescent="0.25">
      <c r="A17">
        <v>14</v>
      </c>
      <c r="B17">
        <v>0</v>
      </c>
      <c r="C17">
        <v>356</v>
      </c>
    </row>
    <row r="18" spans="1:3" x14ac:dyDescent="0.25">
      <c r="A18">
        <v>17</v>
      </c>
      <c r="B18">
        <v>0</v>
      </c>
      <c r="C18">
        <v>401</v>
      </c>
    </row>
    <row r="19" spans="1:3" x14ac:dyDescent="0.25">
      <c r="A19">
        <v>14</v>
      </c>
      <c r="B19">
        <v>0</v>
      </c>
      <c r="C19">
        <v>401</v>
      </c>
    </row>
    <row r="20" spans="1:3" x14ac:dyDescent="0.25">
      <c r="A20">
        <v>13</v>
      </c>
      <c r="B20">
        <v>0</v>
      </c>
      <c r="C20">
        <v>401</v>
      </c>
    </row>
    <row r="21" spans="1:3" x14ac:dyDescent="0.25">
      <c r="A21">
        <v>18</v>
      </c>
      <c r="B21">
        <v>0</v>
      </c>
      <c r="C21">
        <v>401</v>
      </c>
    </row>
    <row r="22" spans="1:3" x14ac:dyDescent="0.25">
      <c r="A22">
        <v>13</v>
      </c>
      <c r="B22">
        <v>0</v>
      </c>
      <c r="C22">
        <v>401</v>
      </c>
    </row>
    <row r="23" spans="1:3" x14ac:dyDescent="0.25">
      <c r="A23">
        <v>14</v>
      </c>
      <c r="B23">
        <v>0</v>
      </c>
      <c r="C23">
        <v>401</v>
      </c>
    </row>
    <row r="24" spans="1:3" x14ac:dyDescent="0.25">
      <c r="A24">
        <v>15</v>
      </c>
      <c r="B24">
        <v>0</v>
      </c>
      <c r="C24">
        <v>401</v>
      </c>
    </row>
    <row r="25" spans="1:3" x14ac:dyDescent="0.25">
      <c r="A25">
        <v>13</v>
      </c>
      <c r="B25">
        <v>0</v>
      </c>
      <c r="C25">
        <v>389</v>
      </c>
    </row>
    <row r="26" spans="1:3" x14ac:dyDescent="0.25">
      <c r="A26">
        <v>19</v>
      </c>
      <c r="B26">
        <v>0</v>
      </c>
      <c r="C26">
        <v>389</v>
      </c>
    </row>
    <row r="27" spans="1:3" x14ac:dyDescent="0.25">
      <c r="A27">
        <v>18</v>
      </c>
      <c r="B27">
        <v>0</v>
      </c>
      <c r="C27">
        <v>389</v>
      </c>
    </row>
    <row r="28" spans="1:3" x14ac:dyDescent="0.25">
      <c r="A28">
        <v>14</v>
      </c>
      <c r="B28">
        <v>0</v>
      </c>
      <c r="C28">
        <v>389</v>
      </c>
    </row>
    <row r="29" spans="1:3" x14ac:dyDescent="0.25">
      <c r="A29">
        <v>14</v>
      </c>
      <c r="B29">
        <v>0</v>
      </c>
      <c r="C29">
        <v>389</v>
      </c>
    </row>
    <row r="30" spans="1:3" x14ac:dyDescent="0.25">
      <c r="A30">
        <v>13</v>
      </c>
      <c r="B30">
        <v>0</v>
      </c>
      <c r="C30">
        <v>389</v>
      </c>
    </row>
    <row r="31" spans="1:3" x14ac:dyDescent="0.25">
      <c r="A31">
        <v>16</v>
      </c>
      <c r="B31">
        <v>0</v>
      </c>
      <c r="C31">
        <v>389</v>
      </c>
    </row>
    <row r="32" spans="1:3" x14ac:dyDescent="0.25">
      <c r="A32">
        <v>15</v>
      </c>
      <c r="B32">
        <v>0</v>
      </c>
      <c r="C32">
        <v>400</v>
      </c>
    </row>
    <row r="33" spans="1:3" x14ac:dyDescent="0.25">
      <c r="A33">
        <v>12</v>
      </c>
      <c r="B33">
        <v>0</v>
      </c>
      <c r="C33">
        <v>400</v>
      </c>
    </row>
    <row r="34" spans="1:3" x14ac:dyDescent="0.25">
      <c r="A34">
        <v>15</v>
      </c>
      <c r="B34">
        <v>0</v>
      </c>
      <c r="C34">
        <v>400</v>
      </c>
    </row>
    <row r="35" spans="1:3" x14ac:dyDescent="0.25">
      <c r="A35">
        <v>11</v>
      </c>
      <c r="B35">
        <v>0</v>
      </c>
      <c r="C35">
        <v>400</v>
      </c>
    </row>
    <row r="36" spans="1:3" x14ac:dyDescent="0.25">
      <c r="A36">
        <v>12</v>
      </c>
      <c r="B36">
        <v>0</v>
      </c>
      <c r="C36">
        <v>400</v>
      </c>
    </row>
    <row r="37" spans="1:3" x14ac:dyDescent="0.25">
      <c r="A37">
        <v>14</v>
      </c>
      <c r="B37">
        <v>0</v>
      </c>
      <c r="C37">
        <v>400</v>
      </c>
    </row>
    <row r="38" spans="1:3" x14ac:dyDescent="0.25">
      <c r="A38">
        <v>14</v>
      </c>
      <c r="B38">
        <v>0</v>
      </c>
      <c r="C38">
        <v>400</v>
      </c>
    </row>
    <row r="39" spans="1:3" x14ac:dyDescent="0.25">
      <c r="A39">
        <v>17</v>
      </c>
      <c r="B39">
        <v>0</v>
      </c>
      <c r="C39">
        <v>386</v>
      </c>
    </row>
    <row r="40" spans="1:3" x14ac:dyDescent="0.25">
      <c r="A40">
        <v>11</v>
      </c>
      <c r="B40">
        <v>0</v>
      </c>
      <c r="C40">
        <v>386</v>
      </c>
    </row>
    <row r="41" spans="1:3" x14ac:dyDescent="0.25">
      <c r="A41">
        <v>13</v>
      </c>
      <c r="B41">
        <v>0</v>
      </c>
      <c r="C41">
        <v>386</v>
      </c>
    </row>
    <row r="42" spans="1:3" x14ac:dyDescent="0.25">
      <c r="A42">
        <v>14</v>
      </c>
      <c r="B42">
        <v>0</v>
      </c>
      <c r="C42">
        <v>386</v>
      </c>
    </row>
    <row r="43" spans="1:3" x14ac:dyDescent="0.25">
      <c r="A43">
        <v>12</v>
      </c>
      <c r="B43">
        <v>0</v>
      </c>
      <c r="C43">
        <v>386</v>
      </c>
    </row>
    <row r="44" spans="1:3" x14ac:dyDescent="0.25">
      <c r="A44">
        <v>13</v>
      </c>
      <c r="B44">
        <v>0</v>
      </c>
      <c r="C44">
        <v>386</v>
      </c>
    </row>
    <row r="45" spans="1:3" x14ac:dyDescent="0.25">
      <c r="A45">
        <v>12</v>
      </c>
      <c r="B45">
        <v>0</v>
      </c>
      <c r="C45">
        <v>386</v>
      </c>
    </row>
    <row r="46" spans="1:3" x14ac:dyDescent="0.25">
      <c r="A46">
        <v>13</v>
      </c>
      <c r="B46">
        <v>0</v>
      </c>
      <c r="C46">
        <v>358</v>
      </c>
    </row>
    <row r="47" spans="1:3" x14ac:dyDescent="0.25">
      <c r="A47">
        <v>12</v>
      </c>
      <c r="B47">
        <v>0</v>
      </c>
      <c r="C47">
        <v>358</v>
      </c>
    </row>
    <row r="48" spans="1:3" x14ac:dyDescent="0.25">
      <c r="A48">
        <v>12</v>
      </c>
      <c r="B48">
        <v>0</v>
      </c>
      <c r="C48">
        <v>358</v>
      </c>
    </row>
    <row r="49" spans="1:3" x14ac:dyDescent="0.25">
      <c r="A49">
        <v>14</v>
      </c>
      <c r="B49">
        <v>0</v>
      </c>
      <c r="C49">
        <v>358</v>
      </c>
    </row>
    <row r="50" spans="1:3" x14ac:dyDescent="0.25">
      <c r="A50">
        <v>14</v>
      </c>
      <c r="B50">
        <v>0</v>
      </c>
      <c r="C50">
        <v>358</v>
      </c>
    </row>
    <row r="51" spans="1:3" x14ac:dyDescent="0.25">
      <c r="A51">
        <v>12</v>
      </c>
      <c r="B51">
        <v>0</v>
      </c>
      <c r="C51">
        <v>358</v>
      </c>
    </row>
    <row r="52" spans="1:3" x14ac:dyDescent="0.25">
      <c r="A52">
        <v>14</v>
      </c>
      <c r="B52">
        <v>0</v>
      </c>
      <c r="C52">
        <v>358</v>
      </c>
    </row>
    <row r="53" spans="1:3" x14ac:dyDescent="0.25">
      <c r="A53">
        <v>12</v>
      </c>
      <c r="B53">
        <v>0</v>
      </c>
      <c r="C53">
        <v>358</v>
      </c>
    </row>
    <row r="54" spans="1:3" x14ac:dyDescent="0.25">
      <c r="A54">
        <v>13</v>
      </c>
      <c r="B54">
        <v>0</v>
      </c>
      <c r="C54">
        <v>368</v>
      </c>
    </row>
    <row r="55" spans="1:3" x14ac:dyDescent="0.25">
      <c r="A55">
        <v>12</v>
      </c>
      <c r="B55">
        <v>0</v>
      </c>
      <c r="C55">
        <v>368</v>
      </c>
    </row>
    <row r="56" spans="1:3" x14ac:dyDescent="0.25">
      <c r="A56">
        <v>12</v>
      </c>
      <c r="B56">
        <v>0</v>
      </c>
      <c r="C56">
        <v>368</v>
      </c>
    </row>
    <row r="57" spans="1:3" x14ac:dyDescent="0.25">
      <c r="A57">
        <v>15</v>
      </c>
      <c r="B57">
        <v>0</v>
      </c>
      <c r="C57">
        <v>368</v>
      </c>
    </row>
    <row r="58" spans="1:3" x14ac:dyDescent="0.25">
      <c r="A58">
        <v>14</v>
      </c>
      <c r="B58">
        <v>0</v>
      </c>
      <c r="C58">
        <v>368</v>
      </c>
    </row>
    <row r="59" spans="1:3" x14ac:dyDescent="0.25">
      <c r="A59">
        <v>12</v>
      </c>
      <c r="B59">
        <v>0</v>
      </c>
      <c r="C59">
        <v>368</v>
      </c>
    </row>
    <row r="60" spans="1:3" x14ac:dyDescent="0.25">
      <c r="A60">
        <v>14</v>
      </c>
      <c r="B60">
        <v>0</v>
      </c>
      <c r="C60">
        <v>368</v>
      </c>
    </row>
    <row r="61" spans="1:3" x14ac:dyDescent="0.25">
      <c r="A61">
        <v>13</v>
      </c>
      <c r="B61">
        <v>0</v>
      </c>
      <c r="C61">
        <v>368</v>
      </c>
    </row>
    <row r="62" spans="1:3" x14ac:dyDescent="0.25">
      <c r="A62">
        <v>12</v>
      </c>
      <c r="B62">
        <v>0</v>
      </c>
      <c r="C62">
        <v>389</v>
      </c>
    </row>
    <row r="63" spans="1:3" x14ac:dyDescent="0.25">
      <c r="A63">
        <v>13</v>
      </c>
      <c r="B63">
        <v>0</v>
      </c>
      <c r="C63">
        <v>389</v>
      </c>
    </row>
    <row r="64" spans="1:3" x14ac:dyDescent="0.25">
      <c r="A64">
        <v>15</v>
      </c>
      <c r="B64">
        <v>0</v>
      </c>
      <c r="C64">
        <v>389</v>
      </c>
    </row>
    <row r="65" spans="1:3" x14ac:dyDescent="0.25">
      <c r="A65">
        <v>12</v>
      </c>
      <c r="B65">
        <v>0</v>
      </c>
      <c r="C65">
        <v>389</v>
      </c>
    </row>
    <row r="66" spans="1:3" x14ac:dyDescent="0.25">
      <c r="A66">
        <v>13</v>
      </c>
      <c r="B66">
        <v>0</v>
      </c>
      <c r="C66">
        <v>389</v>
      </c>
    </row>
    <row r="67" spans="1:3" x14ac:dyDescent="0.25">
      <c r="A67">
        <v>13</v>
      </c>
      <c r="B67">
        <v>0</v>
      </c>
      <c r="C67">
        <v>389</v>
      </c>
    </row>
    <row r="68" spans="1:3" x14ac:dyDescent="0.25">
      <c r="A68">
        <v>12</v>
      </c>
      <c r="B68">
        <v>0</v>
      </c>
      <c r="C68">
        <v>389</v>
      </c>
    </row>
    <row r="69" spans="1:3" x14ac:dyDescent="0.25">
      <c r="A69">
        <v>13</v>
      </c>
      <c r="B69">
        <v>0</v>
      </c>
      <c r="C69">
        <v>389</v>
      </c>
    </row>
    <row r="70" spans="1:3" x14ac:dyDescent="0.25">
      <c r="A70">
        <v>13</v>
      </c>
      <c r="B70">
        <v>0</v>
      </c>
      <c r="C70">
        <v>347</v>
      </c>
    </row>
    <row r="71" spans="1:3" x14ac:dyDescent="0.25">
      <c r="A71">
        <v>14</v>
      </c>
      <c r="B71">
        <v>0</v>
      </c>
      <c r="C71">
        <v>347</v>
      </c>
    </row>
    <row r="72" spans="1:3" x14ac:dyDescent="0.25">
      <c r="A72">
        <v>12</v>
      </c>
      <c r="B72">
        <v>0</v>
      </c>
      <c r="C72">
        <v>347</v>
      </c>
    </row>
    <row r="73" spans="1:3" x14ac:dyDescent="0.25">
      <c r="A73">
        <v>13</v>
      </c>
      <c r="B73">
        <v>0</v>
      </c>
      <c r="C73">
        <v>347</v>
      </c>
    </row>
    <row r="74" spans="1:3" x14ac:dyDescent="0.25">
      <c r="A74">
        <v>12</v>
      </c>
      <c r="B74">
        <v>0</v>
      </c>
      <c r="C74">
        <v>347</v>
      </c>
    </row>
    <row r="75" spans="1:3" x14ac:dyDescent="0.25">
      <c r="A75">
        <v>17</v>
      </c>
      <c r="B75">
        <v>0</v>
      </c>
      <c r="C75">
        <v>347</v>
      </c>
    </row>
    <row r="76" spans="1:3" x14ac:dyDescent="0.25">
      <c r="A76">
        <v>13</v>
      </c>
      <c r="B76">
        <v>0</v>
      </c>
      <c r="C76">
        <v>347</v>
      </c>
    </row>
    <row r="77" spans="1:3" x14ac:dyDescent="0.25">
      <c r="A77">
        <v>13</v>
      </c>
      <c r="B77">
        <v>0</v>
      </c>
      <c r="C77">
        <v>347</v>
      </c>
    </row>
    <row r="78" spans="1:3" x14ac:dyDescent="0.25">
      <c r="A78">
        <v>15</v>
      </c>
      <c r="B78">
        <v>0</v>
      </c>
      <c r="C78">
        <v>395</v>
      </c>
    </row>
    <row r="79" spans="1:3" x14ac:dyDescent="0.25">
      <c r="A79">
        <v>21</v>
      </c>
      <c r="B79">
        <v>0</v>
      </c>
      <c r="C79">
        <v>395</v>
      </c>
    </row>
    <row r="80" spans="1:3" x14ac:dyDescent="0.25">
      <c r="A80">
        <v>18</v>
      </c>
      <c r="B80">
        <v>0</v>
      </c>
      <c r="C80">
        <v>395</v>
      </c>
    </row>
    <row r="81" spans="1:3" x14ac:dyDescent="0.25">
      <c r="A81">
        <v>13</v>
      </c>
      <c r="B81">
        <v>0</v>
      </c>
      <c r="C81">
        <v>395</v>
      </c>
    </row>
    <row r="82" spans="1:3" x14ac:dyDescent="0.25">
      <c r="A82">
        <v>13</v>
      </c>
      <c r="B82">
        <v>0</v>
      </c>
      <c r="C82">
        <v>395</v>
      </c>
    </row>
    <row r="83" spans="1:3" x14ac:dyDescent="0.25">
      <c r="A83">
        <v>12</v>
      </c>
      <c r="B83">
        <v>0</v>
      </c>
      <c r="C83">
        <v>395</v>
      </c>
    </row>
    <row r="84" spans="1:3" x14ac:dyDescent="0.25">
      <c r="A84">
        <v>15</v>
      </c>
      <c r="B84">
        <v>0</v>
      </c>
      <c r="C84">
        <v>395</v>
      </c>
    </row>
    <row r="85" spans="1:3" x14ac:dyDescent="0.25">
      <c r="A85">
        <v>13</v>
      </c>
      <c r="B85">
        <v>0</v>
      </c>
      <c r="C85">
        <v>529</v>
      </c>
    </row>
    <row r="86" spans="1:3" x14ac:dyDescent="0.25">
      <c r="A86">
        <v>13</v>
      </c>
      <c r="B86">
        <v>0</v>
      </c>
      <c r="C86">
        <v>529</v>
      </c>
    </row>
    <row r="87" spans="1:3" x14ac:dyDescent="0.25">
      <c r="A87">
        <v>13</v>
      </c>
      <c r="B87">
        <v>0</v>
      </c>
      <c r="C87">
        <v>529</v>
      </c>
    </row>
    <row r="88" spans="1:3" x14ac:dyDescent="0.25">
      <c r="A88">
        <v>11</v>
      </c>
      <c r="B88">
        <v>0</v>
      </c>
      <c r="C88">
        <v>529</v>
      </c>
    </row>
    <row r="89" spans="1:3" x14ac:dyDescent="0.25">
      <c r="A89">
        <v>14</v>
      </c>
      <c r="B89">
        <v>0</v>
      </c>
      <c r="C89">
        <v>529</v>
      </c>
    </row>
    <row r="90" spans="1:3" x14ac:dyDescent="0.25">
      <c r="A90">
        <v>13</v>
      </c>
      <c r="B90">
        <v>0</v>
      </c>
      <c r="C90">
        <v>529</v>
      </c>
    </row>
    <row r="91" spans="1:3" x14ac:dyDescent="0.25">
      <c r="A91">
        <v>15</v>
      </c>
      <c r="B91">
        <v>0</v>
      </c>
      <c r="C91">
        <v>529</v>
      </c>
    </row>
    <row r="92" spans="1:3" x14ac:dyDescent="0.25">
      <c r="A92">
        <v>14</v>
      </c>
      <c r="B92">
        <v>0</v>
      </c>
      <c r="C92">
        <v>529</v>
      </c>
    </row>
    <row r="93" spans="1:3" x14ac:dyDescent="0.25">
      <c r="A93">
        <v>13</v>
      </c>
      <c r="B93">
        <v>0</v>
      </c>
      <c r="C93">
        <v>330</v>
      </c>
    </row>
    <row r="94" spans="1:3" x14ac:dyDescent="0.25">
      <c r="A94">
        <v>13</v>
      </c>
      <c r="B94">
        <v>0</v>
      </c>
      <c r="C94">
        <v>330</v>
      </c>
    </row>
    <row r="95" spans="1:3" x14ac:dyDescent="0.25">
      <c r="A95">
        <v>13</v>
      </c>
      <c r="B95">
        <v>0</v>
      </c>
      <c r="C95">
        <v>330</v>
      </c>
    </row>
    <row r="96" spans="1:3" x14ac:dyDescent="0.25">
      <c r="A96">
        <v>13</v>
      </c>
      <c r="B96">
        <v>0</v>
      </c>
      <c r="C96">
        <v>330</v>
      </c>
    </row>
    <row r="97" spans="1:3" x14ac:dyDescent="0.25">
      <c r="A97">
        <v>12</v>
      </c>
      <c r="B97">
        <v>0</v>
      </c>
      <c r="C97">
        <v>330</v>
      </c>
    </row>
    <row r="98" spans="1:3" x14ac:dyDescent="0.25">
      <c r="A98">
        <v>13</v>
      </c>
      <c r="B98">
        <v>0</v>
      </c>
      <c r="C98">
        <v>330</v>
      </c>
    </row>
    <row r="99" spans="1:3" x14ac:dyDescent="0.25">
      <c r="A99">
        <v>13</v>
      </c>
      <c r="B99">
        <v>0</v>
      </c>
      <c r="C99">
        <v>330</v>
      </c>
    </row>
    <row r="100" spans="1:3" x14ac:dyDescent="0.25">
      <c r="A100">
        <v>14</v>
      </c>
      <c r="B100">
        <v>0</v>
      </c>
      <c r="C100">
        <v>330</v>
      </c>
    </row>
    <row r="101" spans="1:3" x14ac:dyDescent="0.25">
      <c r="A101">
        <v>13</v>
      </c>
      <c r="B101">
        <v>0</v>
      </c>
      <c r="C101">
        <v>399</v>
      </c>
    </row>
    <row r="102" spans="1:3" x14ac:dyDescent="0.25">
      <c r="A102">
        <v>12</v>
      </c>
      <c r="B102">
        <v>0</v>
      </c>
      <c r="C102">
        <v>399</v>
      </c>
    </row>
    <row r="103" spans="1:3" x14ac:dyDescent="0.25">
      <c r="A103">
        <v>12</v>
      </c>
      <c r="B103">
        <v>0</v>
      </c>
      <c r="C103">
        <v>399</v>
      </c>
    </row>
    <row r="104" spans="1:3" x14ac:dyDescent="0.25">
      <c r="A104">
        <v>14</v>
      </c>
      <c r="B104">
        <v>0</v>
      </c>
      <c r="C104">
        <v>399</v>
      </c>
    </row>
    <row r="105" spans="1:3" x14ac:dyDescent="0.25">
      <c r="A105">
        <v>13</v>
      </c>
      <c r="B105">
        <v>0</v>
      </c>
      <c r="C105">
        <v>399</v>
      </c>
    </row>
    <row r="106" spans="1:3" x14ac:dyDescent="0.25">
      <c r="A106">
        <v>12</v>
      </c>
      <c r="B106">
        <v>0</v>
      </c>
      <c r="C106">
        <v>399</v>
      </c>
    </row>
    <row r="107" spans="1:3" x14ac:dyDescent="0.25">
      <c r="A107">
        <v>15</v>
      </c>
      <c r="B107">
        <v>0</v>
      </c>
      <c r="C107">
        <v>399</v>
      </c>
    </row>
    <row r="108" spans="1:3" x14ac:dyDescent="0.25">
      <c r="A108">
        <v>12</v>
      </c>
      <c r="B108">
        <v>0</v>
      </c>
      <c r="C108">
        <v>399</v>
      </c>
    </row>
    <row r="109" spans="1:3" x14ac:dyDescent="0.25">
      <c r="A109">
        <v>13</v>
      </c>
      <c r="B109">
        <v>0</v>
      </c>
      <c r="C109">
        <v>392</v>
      </c>
    </row>
    <row r="110" spans="1:3" x14ac:dyDescent="0.25">
      <c r="A110">
        <v>13</v>
      </c>
      <c r="B110">
        <v>0</v>
      </c>
      <c r="C110">
        <v>392</v>
      </c>
    </row>
    <row r="111" spans="1:3" x14ac:dyDescent="0.25">
      <c r="A111">
        <v>15</v>
      </c>
      <c r="B111">
        <v>0</v>
      </c>
      <c r="C111">
        <v>392</v>
      </c>
    </row>
    <row r="112" spans="1:3" x14ac:dyDescent="0.25">
      <c r="A112">
        <v>15</v>
      </c>
      <c r="B112">
        <v>0</v>
      </c>
      <c r="C112">
        <v>392</v>
      </c>
    </row>
    <row r="113" spans="1:3" x14ac:dyDescent="0.25">
      <c r="A113">
        <v>12</v>
      </c>
      <c r="B113">
        <v>0</v>
      </c>
      <c r="C113">
        <v>392</v>
      </c>
    </row>
    <row r="114" spans="1:3" x14ac:dyDescent="0.25">
      <c r="A114">
        <v>13</v>
      </c>
      <c r="B114">
        <v>0</v>
      </c>
      <c r="C114">
        <v>392</v>
      </c>
    </row>
    <row r="115" spans="1:3" x14ac:dyDescent="0.25">
      <c r="A115">
        <v>13</v>
      </c>
      <c r="B115">
        <v>0</v>
      </c>
      <c r="C115">
        <v>392</v>
      </c>
    </row>
    <row r="116" spans="1:3" x14ac:dyDescent="0.25">
      <c r="A116">
        <v>13</v>
      </c>
      <c r="B116">
        <v>0</v>
      </c>
      <c r="C116">
        <v>392</v>
      </c>
    </row>
    <row r="117" spans="1:3" x14ac:dyDescent="0.25">
      <c r="A117">
        <v>14</v>
      </c>
      <c r="B117">
        <v>0</v>
      </c>
      <c r="C117">
        <v>344</v>
      </c>
    </row>
    <row r="118" spans="1:3" x14ac:dyDescent="0.25">
      <c r="A118">
        <v>11</v>
      </c>
      <c r="B118">
        <v>0</v>
      </c>
      <c r="C118">
        <v>344</v>
      </c>
    </row>
    <row r="119" spans="1:3" x14ac:dyDescent="0.25">
      <c r="A119">
        <v>12</v>
      </c>
      <c r="B119">
        <v>0</v>
      </c>
      <c r="C119">
        <v>344</v>
      </c>
    </row>
    <row r="120" spans="1:3" x14ac:dyDescent="0.25">
      <c r="A120">
        <v>12</v>
      </c>
      <c r="B120">
        <v>0</v>
      </c>
      <c r="C120">
        <v>344</v>
      </c>
    </row>
    <row r="121" spans="1:3" x14ac:dyDescent="0.25">
      <c r="A121">
        <v>14</v>
      </c>
      <c r="B121">
        <v>0</v>
      </c>
      <c r="C121">
        <v>344</v>
      </c>
    </row>
    <row r="122" spans="1:3" x14ac:dyDescent="0.25">
      <c r="A122">
        <v>12</v>
      </c>
      <c r="B122">
        <v>0</v>
      </c>
      <c r="C122">
        <v>344</v>
      </c>
    </row>
    <row r="123" spans="1:3" x14ac:dyDescent="0.25">
      <c r="A123">
        <v>12</v>
      </c>
      <c r="B123">
        <v>0</v>
      </c>
      <c r="C123">
        <v>344</v>
      </c>
    </row>
    <row r="124" spans="1:3" x14ac:dyDescent="0.25">
      <c r="A124">
        <v>15</v>
      </c>
      <c r="B124">
        <v>0</v>
      </c>
      <c r="C124">
        <v>344</v>
      </c>
    </row>
    <row r="125" spans="1:3" x14ac:dyDescent="0.25">
      <c r="A125">
        <v>12</v>
      </c>
      <c r="B125">
        <v>0</v>
      </c>
      <c r="C125">
        <v>326</v>
      </c>
    </row>
    <row r="126" spans="1:3" x14ac:dyDescent="0.25">
      <c r="A126">
        <v>13</v>
      </c>
      <c r="B126">
        <v>0</v>
      </c>
      <c r="C126">
        <v>326</v>
      </c>
    </row>
    <row r="127" spans="1:3" x14ac:dyDescent="0.25">
      <c r="A127">
        <v>14</v>
      </c>
      <c r="B127">
        <v>0</v>
      </c>
      <c r="C127">
        <v>326</v>
      </c>
    </row>
    <row r="128" spans="1:3" x14ac:dyDescent="0.25">
      <c r="A128">
        <v>12</v>
      </c>
      <c r="B128">
        <v>0</v>
      </c>
      <c r="C128">
        <v>326</v>
      </c>
    </row>
    <row r="129" spans="1:3" x14ac:dyDescent="0.25">
      <c r="A129">
        <v>15</v>
      </c>
      <c r="B129">
        <v>0</v>
      </c>
      <c r="C129">
        <v>326</v>
      </c>
    </row>
    <row r="130" spans="1:3" x14ac:dyDescent="0.25">
      <c r="A130">
        <v>12</v>
      </c>
      <c r="B130">
        <v>0</v>
      </c>
      <c r="C130">
        <v>326</v>
      </c>
    </row>
    <row r="131" spans="1:3" x14ac:dyDescent="0.25">
      <c r="A131">
        <v>12</v>
      </c>
      <c r="B131">
        <v>0</v>
      </c>
      <c r="C131">
        <v>326</v>
      </c>
    </row>
    <row r="132" spans="1:3" x14ac:dyDescent="0.25">
      <c r="A132">
        <v>17</v>
      </c>
      <c r="B132">
        <v>0</v>
      </c>
      <c r="C132">
        <v>326</v>
      </c>
    </row>
    <row r="133" spans="1:3" x14ac:dyDescent="0.25">
      <c r="A133">
        <v>11</v>
      </c>
      <c r="B133">
        <v>0</v>
      </c>
      <c r="C133">
        <v>326</v>
      </c>
    </row>
    <row r="134" spans="1:3" x14ac:dyDescent="0.25">
      <c r="A134">
        <v>11</v>
      </c>
      <c r="B134">
        <v>0</v>
      </c>
      <c r="C134">
        <v>326</v>
      </c>
    </row>
    <row r="135" spans="1:3" x14ac:dyDescent="0.25">
      <c r="A135">
        <v>11</v>
      </c>
      <c r="B135">
        <v>0</v>
      </c>
      <c r="C135">
        <v>326</v>
      </c>
    </row>
    <row r="136" spans="1:3" x14ac:dyDescent="0.25">
      <c r="A136">
        <v>12</v>
      </c>
      <c r="B136">
        <v>0</v>
      </c>
      <c r="C136">
        <v>326</v>
      </c>
    </row>
    <row r="137" spans="1:3" x14ac:dyDescent="0.25">
      <c r="A137">
        <v>12</v>
      </c>
      <c r="B137">
        <v>0</v>
      </c>
      <c r="C137">
        <v>326</v>
      </c>
    </row>
    <row r="138" spans="1:3" x14ac:dyDescent="0.25">
      <c r="A138">
        <v>21</v>
      </c>
      <c r="B138">
        <v>0</v>
      </c>
      <c r="C138">
        <v>326</v>
      </c>
    </row>
    <row r="139" spans="1:3" x14ac:dyDescent="0.25">
      <c r="A139">
        <v>13</v>
      </c>
      <c r="B139">
        <v>0</v>
      </c>
      <c r="C139">
        <v>326</v>
      </c>
    </row>
    <row r="140" spans="1:3" x14ac:dyDescent="0.25">
      <c r="A140">
        <v>15</v>
      </c>
      <c r="B140">
        <v>0</v>
      </c>
      <c r="C140">
        <v>326</v>
      </c>
    </row>
    <row r="141" spans="1:3" x14ac:dyDescent="0.25">
      <c r="A141">
        <v>13</v>
      </c>
      <c r="B141">
        <v>0</v>
      </c>
      <c r="C141">
        <v>393</v>
      </c>
    </row>
    <row r="142" spans="1:3" x14ac:dyDescent="0.25">
      <c r="A142">
        <v>12</v>
      </c>
      <c r="B142">
        <v>0</v>
      </c>
      <c r="C142">
        <v>393</v>
      </c>
    </row>
    <row r="143" spans="1:3" x14ac:dyDescent="0.25">
      <c r="A143">
        <v>13</v>
      </c>
      <c r="B143">
        <v>0</v>
      </c>
      <c r="C143">
        <v>393</v>
      </c>
    </row>
    <row r="144" spans="1:3" x14ac:dyDescent="0.25">
      <c r="A144">
        <v>13</v>
      </c>
      <c r="B144">
        <v>0</v>
      </c>
      <c r="C144">
        <v>393</v>
      </c>
    </row>
    <row r="145" spans="1:3" x14ac:dyDescent="0.25">
      <c r="A145">
        <v>12</v>
      </c>
      <c r="B145">
        <v>0</v>
      </c>
      <c r="C145">
        <v>393</v>
      </c>
    </row>
    <row r="146" spans="1:3" x14ac:dyDescent="0.25">
      <c r="A146">
        <v>12</v>
      </c>
      <c r="B146">
        <v>0</v>
      </c>
      <c r="C146">
        <v>393</v>
      </c>
    </row>
    <row r="147" spans="1:3" x14ac:dyDescent="0.25">
      <c r="A147">
        <v>15</v>
      </c>
      <c r="B147">
        <v>0</v>
      </c>
      <c r="C147">
        <v>393</v>
      </c>
    </row>
    <row r="148" spans="1:3" x14ac:dyDescent="0.25">
      <c r="A148">
        <v>13</v>
      </c>
      <c r="B148">
        <v>0</v>
      </c>
      <c r="C148">
        <v>393</v>
      </c>
    </row>
    <row r="149" spans="1:3" x14ac:dyDescent="0.25">
      <c r="A149">
        <v>11</v>
      </c>
      <c r="B149">
        <v>0</v>
      </c>
      <c r="C149">
        <v>363</v>
      </c>
    </row>
    <row r="150" spans="1:3" x14ac:dyDescent="0.25">
      <c r="A150">
        <v>12</v>
      </c>
      <c r="B150">
        <v>0</v>
      </c>
      <c r="C150">
        <v>363</v>
      </c>
    </row>
    <row r="151" spans="1:3" x14ac:dyDescent="0.25">
      <c r="A151">
        <v>12</v>
      </c>
      <c r="B151">
        <v>0</v>
      </c>
      <c r="C151">
        <v>363</v>
      </c>
    </row>
    <row r="152" spans="1:3" x14ac:dyDescent="0.25">
      <c r="A152">
        <v>12</v>
      </c>
      <c r="B152">
        <v>0</v>
      </c>
      <c r="C152">
        <v>363</v>
      </c>
    </row>
    <row r="153" spans="1:3" x14ac:dyDescent="0.25">
      <c r="A153">
        <v>18</v>
      </c>
      <c r="B153">
        <v>0</v>
      </c>
      <c r="C153">
        <v>363</v>
      </c>
    </row>
    <row r="154" spans="1:3" x14ac:dyDescent="0.25">
      <c r="A154">
        <v>12</v>
      </c>
      <c r="B154">
        <v>0</v>
      </c>
      <c r="C154">
        <v>363</v>
      </c>
    </row>
    <row r="155" spans="1:3" x14ac:dyDescent="0.25">
      <c r="A155">
        <v>13</v>
      </c>
      <c r="B155">
        <v>0</v>
      </c>
      <c r="C155">
        <v>363</v>
      </c>
    </row>
    <row r="156" spans="1:3" x14ac:dyDescent="0.25">
      <c r="A156">
        <v>16</v>
      </c>
      <c r="B156">
        <v>0</v>
      </c>
      <c r="C156">
        <v>363</v>
      </c>
    </row>
    <row r="157" spans="1:3" x14ac:dyDescent="0.25">
      <c r="A157">
        <v>14</v>
      </c>
      <c r="B157">
        <v>0</v>
      </c>
      <c r="C157">
        <v>361</v>
      </c>
    </row>
    <row r="158" spans="1:3" x14ac:dyDescent="0.25">
      <c r="A158">
        <v>12</v>
      </c>
      <c r="B158">
        <v>0</v>
      </c>
      <c r="C158">
        <v>361</v>
      </c>
    </row>
    <row r="159" spans="1:3" x14ac:dyDescent="0.25">
      <c r="A159">
        <v>12</v>
      </c>
      <c r="B159">
        <v>0</v>
      </c>
      <c r="C159">
        <v>361</v>
      </c>
    </row>
    <row r="160" spans="1:3" x14ac:dyDescent="0.25">
      <c r="A160">
        <v>13</v>
      </c>
      <c r="B160">
        <v>0</v>
      </c>
      <c r="C160">
        <v>361</v>
      </c>
    </row>
    <row r="161" spans="1:3" x14ac:dyDescent="0.25">
      <c r="A161">
        <v>12</v>
      </c>
      <c r="B161">
        <v>0</v>
      </c>
      <c r="C161">
        <v>361</v>
      </c>
    </row>
    <row r="162" spans="1:3" x14ac:dyDescent="0.25">
      <c r="A162">
        <v>13</v>
      </c>
      <c r="B162">
        <v>0</v>
      </c>
      <c r="C162">
        <v>361</v>
      </c>
    </row>
    <row r="163" spans="1:3" x14ac:dyDescent="0.25">
      <c r="A163">
        <v>12</v>
      </c>
      <c r="B163">
        <v>0</v>
      </c>
      <c r="C163">
        <v>361</v>
      </c>
    </row>
    <row r="164" spans="1:3" x14ac:dyDescent="0.25">
      <c r="A164">
        <v>16</v>
      </c>
      <c r="B164">
        <v>0</v>
      </c>
      <c r="C164">
        <v>361</v>
      </c>
    </row>
    <row r="165" spans="1:3" x14ac:dyDescent="0.25">
      <c r="A165">
        <v>13</v>
      </c>
      <c r="B165">
        <v>0</v>
      </c>
      <c r="C165">
        <v>401</v>
      </c>
    </row>
    <row r="166" spans="1:3" x14ac:dyDescent="0.25">
      <c r="A166">
        <v>13</v>
      </c>
      <c r="B166">
        <v>0</v>
      </c>
      <c r="C166">
        <v>401</v>
      </c>
    </row>
    <row r="167" spans="1:3" x14ac:dyDescent="0.25">
      <c r="A167">
        <v>21</v>
      </c>
      <c r="B167">
        <v>0</v>
      </c>
      <c r="C167">
        <v>401</v>
      </c>
    </row>
    <row r="168" spans="1:3" x14ac:dyDescent="0.25">
      <c r="A168">
        <v>13</v>
      </c>
      <c r="B168">
        <v>0</v>
      </c>
      <c r="C168">
        <v>401</v>
      </c>
    </row>
    <row r="169" spans="1:3" x14ac:dyDescent="0.25">
      <c r="A169">
        <v>12</v>
      </c>
      <c r="B169">
        <v>0</v>
      </c>
      <c r="C169">
        <v>401</v>
      </c>
    </row>
    <row r="170" spans="1:3" x14ac:dyDescent="0.25">
      <c r="A170">
        <v>11</v>
      </c>
      <c r="B170">
        <v>0</v>
      </c>
      <c r="C170">
        <v>401</v>
      </c>
    </row>
    <row r="171" spans="1:3" x14ac:dyDescent="0.25">
      <c r="A171">
        <v>16</v>
      </c>
      <c r="B171">
        <v>0</v>
      </c>
      <c r="C171">
        <v>355</v>
      </c>
    </row>
    <row r="172" spans="1:3" x14ac:dyDescent="0.25">
      <c r="A172">
        <v>17</v>
      </c>
      <c r="B172">
        <v>0</v>
      </c>
      <c r="C172">
        <v>355</v>
      </c>
    </row>
    <row r="173" spans="1:3" x14ac:dyDescent="0.25">
      <c r="A173">
        <v>15</v>
      </c>
      <c r="B173">
        <v>0</v>
      </c>
      <c r="C173">
        <v>355</v>
      </c>
    </row>
    <row r="174" spans="1:3" x14ac:dyDescent="0.25">
      <c r="A174">
        <v>18</v>
      </c>
      <c r="B174">
        <v>0</v>
      </c>
      <c r="C174">
        <v>355</v>
      </c>
    </row>
    <row r="175" spans="1:3" x14ac:dyDescent="0.25">
      <c r="A175">
        <v>13</v>
      </c>
      <c r="B175">
        <v>0</v>
      </c>
      <c r="C175">
        <v>355</v>
      </c>
    </row>
    <row r="176" spans="1:3" x14ac:dyDescent="0.25">
      <c r="A176">
        <v>13</v>
      </c>
      <c r="B176">
        <v>0</v>
      </c>
      <c r="C176">
        <v>355</v>
      </c>
    </row>
    <row r="177" spans="1:3" x14ac:dyDescent="0.25">
      <c r="A177">
        <v>12</v>
      </c>
      <c r="B177">
        <v>0</v>
      </c>
      <c r="C177">
        <v>355</v>
      </c>
    </row>
    <row r="178" spans="1:3" x14ac:dyDescent="0.25">
      <c r="A178">
        <v>12</v>
      </c>
      <c r="B178">
        <v>0</v>
      </c>
      <c r="C178">
        <v>355</v>
      </c>
    </row>
    <row r="179" spans="1:3" x14ac:dyDescent="0.25">
      <c r="A179">
        <v>11</v>
      </c>
      <c r="B179">
        <v>0</v>
      </c>
      <c r="C179">
        <v>383</v>
      </c>
    </row>
    <row r="180" spans="1:3" x14ac:dyDescent="0.25">
      <c r="A180">
        <v>11</v>
      </c>
      <c r="B180">
        <v>0</v>
      </c>
      <c r="C180">
        <v>383</v>
      </c>
    </row>
    <row r="181" spans="1:3" x14ac:dyDescent="0.25">
      <c r="A181">
        <v>12</v>
      </c>
      <c r="B181">
        <v>0</v>
      </c>
      <c r="C181">
        <v>383</v>
      </c>
    </row>
    <row r="182" spans="1:3" x14ac:dyDescent="0.25">
      <c r="A182">
        <v>12</v>
      </c>
      <c r="B182">
        <v>0</v>
      </c>
      <c r="C182">
        <v>383</v>
      </c>
    </row>
    <row r="183" spans="1:3" x14ac:dyDescent="0.25">
      <c r="A183">
        <v>14</v>
      </c>
      <c r="B183">
        <v>0</v>
      </c>
      <c r="C183">
        <v>383</v>
      </c>
    </row>
    <row r="184" spans="1:3" x14ac:dyDescent="0.25">
      <c r="A184">
        <v>13</v>
      </c>
      <c r="B184">
        <v>0</v>
      </c>
      <c r="C184">
        <v>383</v>
      </c>
    </row>
    <row r="185" spans="1:3" x14ac:dyDescent="0.25">
      <c r="A185">
        <v>12</v>
      </c>
      <c r="B185">
        <v>0</v>
      </c>
      <c r="C185">
        <v>383</v>
      </c>
    </row>
    <row r="186" spans="1:3" x14ac:dyDescent="0.25">
      <c r="A186">
        <v>13</v>
      </c>
      <c r="B186">
        <v>0</v>
      </c>
      <c r="C186">
        <v>383</v>
      </c>
    </row>
    <row r="187" spans="1:3" x14ac:dyDescent="0.25">
      <c r="A187">
        <v>13</v>
      </c>
      <c r="B187">
        <v>0</v>
      </c>
      <c r="C187">
        <v>342</v>
      </c>
    </row>
    <row r="188" spans="1:3" x14ac:dyDescent="0.25">
      <c r="A188">
        <v>12</v>
      </c>
      <c r="B188">
        <v>0</v>
      </c>
      <c r="C188">
        <v>342</v>
      </c>
    </row>
    <row r="189" spans="1:3" x14ac:dyDescent="0.25">
      <c r="A189">
        <v>17</v>
      </c>
      <c r="B189">
        <v>0</v>
      </c>
      <c r="C189">
        <v>342</v>
      </c>
    </row>
    <row r="190" spans="1:3" x14ac:dyDescent="0.25">
      <c r="A190">
        <v>13</v>
      </c>
      <c r="B190">
        <v>0</v>
      </c>
      <c r="C190">
        <v>342</v>
      </c>
    </row>
    <row r="191" spans="1:3" x14ac:dyDescent="0.25">
      <c r="A191">
        <v>12</v>
      </c>
      <c r="B191">
        <v>0</v>
      </c>
      <c r="C191">
        <v>342</v>
      </c>
    </row>
    <row r="192" spans="1:3" x14ac:dyDescent="0.25">
      <c r="A192">
        <v>14</v>
      </c>
      <c r="B192">
        <v>0</v>
      </c>
      <c r="C192">
        <v>342</v>
      </c>
    </row>
    <row r="193" spans="1:3" x14ac:dyDescent="0.25">
      <c r="A193">
        <v>12</v>
      </c>
      <c r="B193">
        <v>0</v>
      </c>
      <c r="C193">
        <v>342</v>
      </c>
    </row>
    <row r="194" spans="1:3" x14ac:dyDescent="0.25">
      <c r="A194">
        <v>12</v>
      </c>
      <c r="B194">
        <v>0</v>
      </c>
      <c r="C194">
        <v>424</v>
      </c>
    </row>
    <row r="195" spans="1:3" x14ac:dyDescent="0.25">
      <c r="A195">
        <v>11</v>
      </c>
      <c r="B195">
        <v>0</v>
      </c>
      <c r="C195">
        <v>424</v>
      </c>
    </row>
    <row r="196" spans="1:3" x14ac:dyDescent="0.25">
      <c r="A196">
        <v>12</v>
      </c>
      <c r="B196">
        <v>0</v>
      </c>
      <c r="C196">
        <v>424</v>
      </c>
    </row>
    <row r="197" spans="1:3" x14ac:dyDescent="0.25">
      <c r="A197">
        <v>12</v>
      </c>
      <c r="B197">
        <v>0</v>
      </c>
      <c r="C197">
        <v>424</v>
      </c>
    </row>
    <row r="198" spans="1:3" x14ac:dyDescent="0.25">
      <c r="A198">
        <v>13</v>
      </c>
      <c r="B198">
        <v>0</v>
      </c>
      <c r="C198">
        <v>424</v>
      </c>
    </row>
    <row r="199" spans="1:3" x14ac:dyDescent="0.25">
      <c r="A199">
        <v>12</v>
      </c>
      <c r="B199">
        <v>0</v>
      </c>
      <c r="C199">
        <v>424</v>
      </c>
    </row>
    <row r="200" spans="1:3" x14ac:dyDescent="0.25">
      <c r="A200">
        <v>12</v>
      </c>
      <c r="B200">
        <v>0</v>
      </c>
      <c r="C200">
        <v>424</v>
      </c>
    </row>
    <row r="201" spans="1:3" x14ac:dyDescent="0.25">
      <c r="A201">
        <v>14</v>
      </c>
      <c r="B201">
        <v>0</v>
      </c>
      <c r="C201">
        <v>424</v>
      </c>
    </row>
    <row r="202" spans="1:3" x14ac:dyDescent="0.25">
      <c r="A202">
        <v>13</v>
      </c>
      <c r="B202">
        <v>0</v>
      </c>
      <c r="C202">
        <v>396</v>
      </c>
    </row>
    <row r="203" spans="1:3" x14ac:dyDescent="0.25">
      <c r="A203">
        <v>15</v>
      </c>
      <c r="B203">
        <v>0</v>
      </c>
      <c r="C203">
        <v>396</v>
      </c>
    </row>
    <row r="204" spans="1:3" x14ac:dyDescent="0.25">
      <c r="A204">
        <v>12</v>
      </c>
      <c r="B204">
        <v>0</v>
      </c>
      <c r="C204">
        <v>396</v>
      </c>
    </row>
    <row r="205" spans="1:3" x14ac:dyDescent="0.25">
      <c r="A205">
        <v>12</v>
      </c>
      <c r="B205">
        <v>0</v>
      </c>
      <c r="C205">
        <v>396</v>
      </c>
    </row>
    <row r="206" spans="1:3" x14ac:dyDescent="0.25">
      <c r="A206">
        <v>13</v>
      </c>
      <c r="B206">
        <v>0</v>
      </c>
      <c r="C206">
        <v>396</v>
      </c>
    </row>
    <row r="207" spans="1:3" x14ac:dyDescent="0.25">
      <c r="A207">
        <v>13</v>
      </c>
      <c r="B207">
        <v>0</v>
      </c>
      <c r="C207">
        <v>396</v>
      </c>
    </row>
    <row r="208" spans="1:3" x14ac:dyDescent="0.25">
      <c r="A208">
        <v>13</v>
      </c>
      <c r="B208">
        <v>0</v>
      </c>
      <c r="C208">
        <v>396</v>
      </c>
    </row>
    <row r="209" spans="1:3" x14ac:dyDescent="0.25">
      <c r="A209">
        <v>12</v>
      </c>
      <c r="B209">
        <v>0</v>
      </c>
      <c r="C209">
        <v>396</v>
      </c>
    </row>
    <row r="210" spans="1:3" x14ac:dyDescent="0.25">
      <c r="A210">
        <v>13</v>
      </c>
      <c r="B210">
        <v>0</v>
      </c>
      <c r="C210">
        <v>371</v>
      </c>
    </row>
    <row r="211" spans="1:3" x14ac:dyDescent="0.25">
      <c r="A211">
        <v>12</v>
      </c>
      <c r="B211">
        <v>0</v>
      </c>
      <c r="C211">
        <v>371</v>
      </c>
    </row>
    <row r="212" spans="1:3" x14ac:dyDescent="0.25">
      <c r="A212">
        <v>12</v>
      </c>
      <c r="B212">
        <v>0</v>
      </c>
      <c r="C212">
        <v>371</v>
      </c>
    </row>
    <row r="213" spans="1:3" x14ac:dyDescent="0.25">
      <c r="A213">
        <v>15</v>
      </c>
      <c r="B213">
        <v>0</v>
      </c>
      <c r="C213">
        <v>371</v>
      </c>
    </row>
    <row r="214" spans="1:3" x14ac:dyDescent="0.25">
      <c r="A214">
        <v>12</v>
      </c>
      <c r="B214">
        <v>0</v>
      </c>
      <c r="C214">
        <v>371</v>
      </c>
    </row>
    <row r="215" spans="1:3" x14ac:dyDescent="0.25">
      <c r="A215">
        <v>12</v>
      </c>
      <c r="B215">
        <v>0</v>
      </c>
      <c r="C215">
        <v>371</v>
      </c>
    </row>
    <row r="216" spans="1:3" x14ac:dyDescent="0.25">
      <c r="A216">
        <v>13</v>
      </c>
      <c r="B216">
        <v>0</v>
      </c>
      <c r="C216">
        <v>371</v>
      </c>
    </row>
    <row r="217" spans="1:3" x14ac:dyDescent="0.25">
      <c r="A217">
        <v>12</v>
      </c>
      <c r="B217">
        <v>0</v>
      </c>
      <c r="C217">
        <v>371</v>
      </c>
    </row>
    <row r="218" spans="1:3" x14ac:dyDescent="0.25">
      <c r="A218">
        <v>12</v>
      </c>
      <c r="B218">
        <v>0</v>
      </c>
      <c r="C218">
        <v>379</v>
      </c>
    </row>
    <row r="219" spans="1:3" x14ac:dyDescent="0.25">
      <c r="A219">
        <v>16</v>
      </c>
      <c r="B219">
        <v>0</v>
      </c>
      <c r="C219">
        <v>379</v>
      </c>
    </row>
    <row r="220" spans="1:3" x14ac:dyDescent="0.25">
      <c r="A220">
        <v>12</v>
      </c>
      <c r="B220">
        <v>0</v>
      </c>
      <c r="C220">
        <v>379</v>
      </c>
    </row>
    <row r="221" spans="1:3" x14ac:dyDescent="0.25">
      <c r="A221">
        <v>13</v>
      </c>
      <c r="B221">
        <v>0</v>
      </c>
      <c r="C221">
        <v>379</v>
      </c>
    </row>
    <row r="222" spans="1:3" x14ac:dyDescent="0.25">
      <c r="A222">
        <v>13</v>
      </c>
      <c r="B222">
        <v>0</v>
      </c>
      <c r="C222">
        <v>379</v>
      </c>
    </row>
    <row r="223" spans="1:3" x14ac:dyDescent="0.25">
      <c r="A223">
        <v>12</v>
      </c>
      <c r="B223">
        <v>0</v>
      </c>
      <c r="C223">
        <v>379</v>
      </c>
    </row>
    <row r="224" spans="1:3" x14ac:dyDescent="0.25">
      <c r="A224">
        <v>18</v>
      </c>
      <c r="B224">
        <v>0</v>
      </c>
      <c r="C224">
        <v>379</v>
      </c>
    </row>
    <row r="225" spans="1:3" x14ac:dyDescent="0.25">
      <c r="A225">
        <v>14</v>
      </c>
      <c r="B225">
        <v>0</v>
      </c>
      <c r="C225">
        <v>379</v>
      </c>
    </row>
    <row r="226" spans="1:3" x14ac:dyDescent="0.25">
      <c r="A226">
        <v>12</v>
      </c>
      <c r="B226">
        <v>0</v>
      </c>
      <c r="C226">
        <v>396</v>
      </c>
    </row>
    <row r="227" spans="1:3" x14ac:dyDescent="0.25">
      <c r="A227">
        <v>12</v>
      </c>
      <c r="B227">
        <v>0</v>
      </c>
      <c r="C227">
        <v>396</v>
      </c>
    </row>
    <row r="228" spans="1:3" x14ac:dyDescent="0.25">
      <c r="A228">
        <v>15</v>
      </c>
      <c r="B228">
        <v>0</v>
      </c>
      <c r="C228">
        <v>396</v>
      </c>
    </row>
    <row r="229" spans="1:3" x14ac:dyDescent="0.25">
      <c r="A229">
        <v>12</v>
      </c>
      <c r="B229">
        <v>0</v>
      </c>
      <c r="C229">
        <v>396</v>
      </c>
    </row>
    <row r="230" spans="1:3" x14ac:dyDescent="0.25">
      <c r="A230">
        <v>12</v>
      </c>
      <c r="B230">
        <v>0</v>
      </c>
      <c r="C230">
        <v>396</v>
      </c>
    </row>
    <row r="231" spans="1:3" x14ac:dyDescent="0.25">
      <c r="A231">
        <v>17</v>
      </c>
      <c r="B231">
        <v>0</v>
      </c>
      <c r="C231">
        <v>396</v>
      </c>
    </row>
    <row r="232" spans="1:3" x14ac:dyDescent="0.25">
      <c r="A232">
        <v>20</v>
      </c>
      <c r="B232">
        <v>0</v>
      </c>
      <c r="C232">
        <v>396</v>
      </c>
    </row>
    <row r="233" spans="1:3" x14ac:dyDescent="0.25">
      <c r="A233">
        <v>13</v>
      </c>
      <c r="B233">
        <v>0</v>
      </c>
      <c r="C233">
        <v>438</v>
      </c>
    </row>
    <row r="234" spans="1:3" x14ac:dyDescent="0.25">
      <c r="A234">
        <v>13</v>
      </c>
      <c r="B234">
        <v>0</v>
      </c>
      <c r="C234">
        <v>438</v>
      </c>
    </row>
    <row r="235" spans="1:3" x14ac:dyDescent="0.25">
      <c r="A235">
        <v>12</v>
      </c>
      <c r="B235">
        <v>0</v>
      </c>
      <c r="C235">
        <v>438</v>
      </c>
    </row>
    <row r="236" spans="1:3" x14ac:dyDescent="0.25">
      <c r="A236">
        <v>19</v>
      </c>
      <c r="B236">
        <v>0</v>
      </c>
      <c r="C236">
        <v>343</v>
      </c>
    </row>
    <row r="237" spans="1:3" x14ac:dyDescent="0.25">
      <c r="A237">
        <v>12</v>
      </c>
      <c r="B237">
        <v>0</v>
      </c>
      <c r="C237">
        <v>343</v>
      </c>
    </row>
    <row r="238" spans="1:3" x14ac:dyDescent="0.25">
      <c r="A238">
        <v>12</v>
      </c>
      <c r="B238">
        <v>0</v>
      </c>
      <c r="C238">
        <v>343</v>
      </c>
    </row>
    <row r="239" spans="1:3" x14ac:dyDescent="0.25">
      <c r="A239">
        <v>12</v>
      </c>
      <c r="B239">
        <v>0</v>
      </c>
      <c r="C239">
        <v>343</v>
      </c>
    </row>
    <row r="240" spans="1:3" x14ac:dyDescent="0.25">
      <c r="A240">
        <v>13</v>
      </c>
      <c r="B240">
        <v>0</v>
      </c>
      <c r="C240">
        <v>343</v>
      </c>
    </row>
    <row r="241" spans="1:3" x14ac:dyDescent="0.25">
      <c r="A241">
        <v>13</v>
      </c>
      <c r="B241">
        <v>0</v>
      </c>
      <c r="C241">
        <v>343</v>
      </c>
    </row>
    <row r="242" spans="1:3" x14ac:dyDescent="0.25">
      <c r="A242">
        <v>12</v>
      </c>
      <c r="B242">
        <v>0</v>
      </c>
      <c r="C242">
        <v>343</v>
      </c>
    </row>
    <row r="243" spans="1:3" x14ac:dyDescent="0.25">
      <c r="A243">
        <v>12</v>
      </c>
      <c r="B243">
        <v>0</v>
      </c>
      <c r="C243">
        <v>343</v>
      </c>
    </row>
    <row r="244" spans="1:3" x14ac:dyDescent="0.25">
      <c r="A244">
        <v>13</v>
      </c>
      <c r="B244">
        <v>0</v>
      </c>
      <c r="C244">
        <v>336</v>
      </c>
    </row>
    <row r="245" spans="1:3" x14ac:dyDescent="0.25">
      <c r="A245">
        <v>12</v>
      </c>
      <c r="B245">
        <v>0</v>
      </c>
      <c r="C245">
        <v>336</v>
      </c>
    </row>
    <row r="246" spans="1:3" x14ac:dyDescent="0.25">
      <c r="A246">
        <v>13</v>
      </c>
      <c r="B246">
        <v>0</v>
      </c>
      <c r="C246">
        <v>336</v>
      </c>
    </row>
    <row r="247" spans="1:3" x14ac:dyDescent="0.25">
      <c r="A247">
        <v>12</v>
      </c>
      <c r="B247">
        <v>0</v>
      </c>
      <c r="C247">
        <v>336</v>
      </c>
    </row>
    <row r="248" spans="1:3" x14ac:dyDescent="0.25">
      <c r="A248">
        <v>13</v>
      </c>
      <c r="B248">
        <v>0</v>
      </c>
      <c r="C248">
        <v>336</v>
      </c>
    </row>
    <row r="249" spans="1:3" x14ac:dyDescent="0.25">
      <c r="A249">
        <v>13</v>
      </c>
      <c r="B249">
        <v>0</v>
      </c>
      <c r="C249">
        <v>336</v>
      </c>
    </row>
    <row r="250" spans="1:3" x14ac:dyDescent="0.25">
      <c r="A250">
        <v>13</v>
      </c>
      <c r="B250">
        <v>0</v>
      </c>
      <c r="C250">
        <v>336</v>
      </c>
    </row>
    <row r="251" spans="1:3" x14ac:dyDescent="0.25">
      <c r="A251">
        <v>14</v>
      </c>
      <c r="B251">
        <v>0</v>
      </c>
      <c r="C251">
        <v>336</v>
      </c>
    </row>
    <row r="252" spans="1:3" x14ac:dyDescent="0.25">
      <c r="A252">
        <v>12</v>
      </c>
      <c r="B252">
        <v>0</v>
      </c>
      <c r="C252">
        <v>382</v>
      </c>
    </row>
    <row r="253" spans="1:3" x14ac:dyDescent="0.25">
      <c r="A253">
        <v>12</v>
      </c>
      <c r="B253">
        <v>0</v>
      </c>
      <c r="C253">
        <v>382</v>
      </c>
    </row>
    <row r="254" spans="1:3" x14ac:dyDescent="0.25">
      <c r="A254">
        <v>11</v>
      </c>
      <c r="B254">
        <v>0</v>
      </c>
      <c r="C254">
        <v>382</v>
      </c>
    </row>
    <row r="255" spans="1:3" x14ac:dyDescent="0.25">
      <c r="A255">
        <v>11</v>
      </c>
      <c r="B255">
        <v>0</v>
      </c>
      <c r="C255">
        <v>382</v>
      </c>
    </row>
    <row r="256" spans="1:3" x14ac:dyDescent="0.25">
      <c r="A256">
        <v>15</v>
      </c>
      <c r="B256">
        <v>0</v>
      </c>
      <c r="C256">
        <v>382</v>
      </c>
    </row>
    <row r="257" spans="1:3" x14ac:dyDescent="0.25">
      <c r="A257">
        <v>12</v>
      </c>
      <c r="B257">
        <v>0</v>
      </c>
      <c r="C257">
        <v>382</v>
      </c>
    </row>
    <row r="258" spans="1:3" x14ac:dyDescent="0.25">
      <c r="A258">
        <v>12</v>
      </c>
      <c r="B258">
        <v>0</v>
      </c>
      <c r="C258">
        <v>382</v>
      </c>
    </row>
    <row r="259" spans="1:3" x14ac:dyDescent="0.25">
      <c r="A259">
        <v>15</v>
      </c>
      <c r="B259">
        <v>0</v>
      </c>
      <c r="C259">
        <v>382</v>
      </c>
    </row>
    <row r="260" spans="1:3" x14ac:dyDescent="0.25">
      <c r="A260">
        <v>12</v>
      </c>
      <c r="B260">
        <v>0</v>
      </c>
      <c r="C260">
        <v>382</v>
      </c>
    </row>
    <row r="261" spans="1:3" x14ac:dyDescent="0.25">
      <c r="A261">
        <v>13</v>
      </c>
      <c r="B261">
        <v>0</v>
      </c>
      <c r="C261">
        <v>382</v>
      </c>
    </row>
    <row r="262" spans="1:3" x14ac:dyDescent="0.25">
      <c r="A262">
        <v>15</v>
      </c>
      <c r="B262">
        <v>0</v>
      </c>
      <c r="C262">
        <v>382</v>
      </c>
    </row>
    <row r="263" spans="1:3" x14ac:dyDescent="0.25">
      <c r="A263">
        <v>12</v>
      </c>
      <c r="B263">
        <v>0</v>
      </c>
      <c r="C263">
        <v>382</v>
      </c>
    </row>
    <row r="264" spans="1:3" x14ac:dyDescent="0.25">
      <c r="A264">
        <v>14</v>
      </c>
      <c r="B264">
        <v>0</v>
      </c>
      <c r="C264">
        <v>382</v>
      </c>
    </row>
    <row r="265" spans="1:3" x14ac:dyDescent="0.25">
      <c r="A265">
        <v>12</v>
      </c>
      <c r="B265">
        <v>0</v>
      </c>
      <c r="C265">
        <v>382</v>
      </c>
    </row>
    <row r="266" spans="1:3" x14ac:dyDescent="0.25">
      <c r="A266">
        <v>15</v>
      </c>
      <c r="B266">
        <v>0</v>
      </c>
      <c r="C266">
        <v>382</v>
      </c>
    </row>
    <row r="267" spans="1:3" x14ac:dyDescent="0.25">
      <c r="A267">
        <v>13</v>
      </c>
      <c r="B267">
        <v>0</v>
      </c>
      <c r="C267">
        <v>440</v>
      </c>
    </row>
    <row r="268" spans="1:3" x14ac:dyDescent="0.25">
      <c r="A268">
        <v>15</v>
      </c>
      <c r="B268">
        <v>0</v>
      </c>
      <c r="C268">
        <v>440</v>
      </c>
    </row>
    <row r="269" spans="1:3" x14ac:dyDescent="0.25">
      <c r="A269">
        <v>13</v>
      </c>
      <c r="B269">
        <v>0</v>
      </c>
      <c r="C269">
        <v>440</v>
      </c>
    </row>
    <row r="270" spans="1:3" x14ac:dyDescent="0.25">
      <c r="A270">
        <v>14</v>
      </c>
      <c r="B270">
        <v>0</v>
      </c>
      <c r="C270">
        <v>440</v>
      </c>
    </row>
    <row r="271" spans="1:3" x14ac:dyDescent="0.25">
      <c r="A271">
        <v>14</v>
      </c>
      <c r="B271">
        <v>0</v>
      </c>
      <c r="C271">
        <v>440</v>
      </c>
    </row>
    <row r="272" spans="1:3" x14ac:dyDescent="0.25">
      <c r="A272">
        <v>14</v>
      </c>
      <c r="B272">
        <v>0</v>
      </c>
      <c r="C272">
        <v>440</v>
      </c>
    </row>
    <row r="273" spans="1:3" x14ac:dyDescent="0.25">
      <c r="A273">
        <v>12</v>
      </c>
      <c r="B273">
        <v>0</v>
      </c>
      <c r="C273">
        <v>440</v>
      </c>
    </row>
    <row r="274" spans="1:3" x14ac:dyDescent="0.25">
      <c r="A274">
        <v>13</v>
      </c>
      <c r="B274">
        <v>0</v>
      </c>
      <c r="C274">
        <v>450</v>
      </c>
    </row>
    <row r="275" spans="1:3" x14ac:dyDescent="0.25">
      <c r="A275">
        <v>12</v>
      </c>
      <c r="B275">
        <v>0</v>
      </c>
      <c r="C275">
        <v>450</v>
      </c>
    </row>
    <row r="276" spans="1:3" x14ac:dyDescent="0.25">
      <c r="A276">
        <v>12</v>
      </c>
      <c r="B276">
        <v>0</v>
      </c>
      <c r="C276">
        <v>450</v>
      </c>
    </row>
    <row r="277" spans="1:3" x14ac:dyDescent="0.25">
      <c r="A277">
        <v>13</v>
      </c>
      <c r="B277">
        <v>0</v>
      </c>
      <c r="C277">
        <v>450</v>
      </c>
    </row>
    <row r="278" spans="1:3" x14ac:dyDescent="0.25">
      <c r="A278">
        <v>12</v>
      </c>
      <c r="B278">
        <v>0</v>
      </c>
      <c r="C278">
        <v>450</v>
      </c>
    </row>
    <row r="279" spans="1:3" x14ac:dyDescent="0.25">
      <c r="A279">
        <v>12</v>
      </c>
      <c r="B279">
        <v>0</v>
      </c>
      <c r="C279">
        <v>450</v>
      </c>
    </row>
    <row r="280" spans="1:3" x14ac:dyDescent="0.25">
      <c r="A280">
        <v>20</v>
      </c>
      <c r="B280">
        <v>0</v>
      </c>
      <c r="C280">
        <v>450</v>
      </c>
    </row>
    <row r="281" spans="1:3" x14ac:dyDescent="0.25">
      <c r="A281">
        <v>14</v>
      </c>
      <c r="B281">
        <v>0</v>
      </c>
      <c r="C281">
        <v>450</v>
      </c>
    </row>
    <row r="282" spans="1:3" x14ac:dyDescent="0.25">
      <c r="A282">
        <v>12</v>
      </c>
      <c r="B282">
        <v>0</v>
      </c>
      <c r="C282">
        <v>387</v>
      </c>
    </row>
    <row r="283" spans="1:3" x14ac:dyDescent="0.25">
      <c r="A283">
        <v>11</v>
      </c>
      <c r="B283">
        <v>0</v>
      </c>
      <c r="C283">
        <v>387</v>
      </c>
    </row>
    <row r="284" spans="1:3" x14ac:dyDescent="0.25">
      <c r="A284">
        <v>12</v>
      </c>
      <c r="B284">
        <v>0</v>
      </c>
      <c r="C284">
        <v>387</v>
      </c>
    </row>
    <row r="285" spans="1:3" x14ac:dyDescent="0.25">
      <c r="A285">
        <v>12</v>
      </c>
      <c r="B285">
        <v>0</v>
      </c>
      <c r="C285">
        <v>387</v>
      </c>
    </row>
    <row r="286" spans="1:3" x14ac:dyDescent="0.25">
      <c r="A286">
        <v>13</v>
      </c>
      <c r="B286">
        <v>0</v>
      </c>
      <c r="C286">
        <v>387</v>
      </c>
    </row>
    <row r="287" spans="1:3" x14ac:dyDescent="0.25">
      <c r="A287">
        <v>15</v>
      </c>
      <c r="B287">
        <v>0</v>
      </c>
      <c r="C287">
        <v>387</v>
      </c>
    </row>
    <row r="288" spans="1:3" x14ac:dyDescent="0.25">
      <c r="A288">
        <v>11</v>
      </c>
      <c r="B288">
        <v>0</v>
      </c>
      <c r="C288">
        <v>387</v>
      </c>
    </row>
    <row r="289" spans="1:3" x14ac:dyDescent="0.25">
      <c r="A289">
        <v>13</v>
      </c>
      <c r="B289">
        <v>0</v>
      </c>
      <c r="C289">
        <v>493</v>
      </c>
    </row>
    <row r="290" spans="1:3" x14ac:dyDescent="0.25">
      <c r="A290">
        <v>12</v>
      </c>
      <c r="B290">
        <v>0</v>
      </c>
      <c r="C290">
        <v>493</v>
      </c>
    </row>
    <row r="291" spans="1:3" x14ac:dyDescent="0.25">
      <c r="A291">
        <v>12</v>
      </c>
      <c r="B291">
        <v>0</v>
      </c>
      <c r="C291">
        <v>493</v>
      </c>
    </row>
    <row r="292" spans="1:3" x14ac:dyDescent="0.25">
      <c r="A292">
        <v>13</v>
      </c>
      <c r="B292">
        <v>0</v>
      </c>
      <c r="C292">
        <v>493</v>
      </c>
    </row>
    <row r="293" spans="1:3" x14ac:dyDescent="0.25">
      <c r="A293">
        <v>15</v>
      </c>
      <c r="B293">
        <v>0</v>
      </c>
      <c r="C293">
        <v>493</v>
      </c>
    </row>
    <row r="294" spans="1:3" x14ac:dyDescent="0.25">
      <c r="A294">
        <v>12</v>
      </c>
      <c r="B294">
        <v>0</v>
      </c>
      <c r="C294">
        <v>493</v>
      </c>
    </row>
    <row r="295" spans="1:3" x14ac:dyDescent="0.25">
      <c r="A295">
        <v>14</v>
      </c>
      <c r="B295">
        <v>0</v>
      </c>
      <c r="C295">
        <v>493</v>
      </c>
    </row>
    <row r="296" spans="1:3" x14ac:dyDescent="0.25">
      <c r="A296">
        <v>12</v>
      </c>
      <c r="B296">
        <v>0</v>
      </c>
      <c r="C296">
        <v>468</v>
      </c>
    </row>
    <row r="297" spans="1:3" x14ac:dyDescent="0.25">
      <c r="A297">
        <v>16</v>
      </c>
      <c r="B297">
        <v>0</v>
      </c>
      <c r="C297">
        <v>468</v>
      </c>
    </row>
    <row r="298" spans="1:3" x14ac:dyDescent="0.25">
      <c r="A298">
        <v>16</v>
      </c>
      <c r="B298">
        <v>0</v>
      </c>
      <c r="C298">
        <v>468</v>
      </c>
    </row>
    <row r="299" spans="1:3" x14ac:dyDescent="0.25">
      <c r="A299">
        <v>11</v>
      </c>
      <c r="B299">
        <v>0</v>
      </c>
      <c r="C299">
        <v>468</v>
      </c>
    </row>
    <row r="300" spans="1:3" x14ac:dyDescent="0.25">
      <c r="A300">
        <v>11</v>
      </c>
      <c r="B300">
        <v>0</v>
      </c>
      <c r="C300">
        <v>468</v>
      </c>
    </row>
    <row r="301" spans="1:3" x14ac:dyDescent="0.25">
      <c r="A301">
        <v>11</v>
      </c>
      <c r="B301">
        <v>0</v>
      </c>
      <c r="C301">
        <v>468</v>
      </c>
    </row>
    <row r="302" spans="1:3" x14ac:dyDescent="0.25">
      <c r="A302">
        <v>11</v>
      </c>
      <c r="B302">
        <v>0</v>
      </c>
      <c r="C302">
        <v>468</v>
      </c>
    </row>
    <row r="303" spans="1:3" x14ac:dyDescent="0.25">
      <c r="A303">
        <v>13</v>
      </c>
      <c r="B303">
        <v>0</v>
      </c>
      <c r="C303">
        <v>468</v>
      </c>
    </row>
    <row r="304" spans="1:3" x14ac:dyDescent="0.25">
      <c r="A304">
        <v>12</v>
      </c>
      <c r="B304">
        <v>0</v>
      </c>
      <c r="C304">
        <v>365</v>
      </c>
    </row>
    <row r="305" spans="1:3" x14ac:dyDescent="0.25">
      <c r="A305">
        <v>12</v>
      </c>
      <c r="B305">
        <v>0</v>
      </c>
      <c r="C305">
        <v>365</v>
      </c>
    </row>
    <row r="306" spans="1:3" x14ac:dyDescent="0.25">
      <c r="A306">
        <v>12</v>
      </c>
      <c r="B306">
        <v>0</v>
      </c>
      <c r="C306">
        <v>365</v>
      </c>
    </row>
    <row r="307" spans="1:3" x14ac:dyDescent="0.25">
      <c r="A307">
        <v>12</v>
      </c>
      <c r="B307">
        <v>0</v>
      </c>
      <c r="C307">
        <v>365</v>
      </c>
    </row>
    <row r="308" spans="1:3" x14ac:dyDescent="0.25">
      <c r="A308">
        <v>12</v>
      </c>
      <c r="B308">
        <v>0</v>
      </c>
      <c r="C308">
        <v>365</v>
      </c>
    </row>
    <row r="309" spans="1:3" x14ac:dyDescent="0.25">
      <c r="A309">
        <v>12</v>
      </c>
      <c r="B309">
        <v>0</v>
      </c>
      <c r="C309">
        <v>365</v>
      </c>
    </row>
    <row r="310" spans="1:3" x14ac:dyDescent="0.25">
      <c r="A310">
        <v>14</v>
      </c>
      <c r="B310">
        <v>0</v>
      </c>
      <c r="C310">
        <v>365</v>
      </c>
    </row>
    <row r="311" spans="1:3" x14ac:dyDescent="0.25">
      <c r="A311">
        <v>15</v>
      </c>
      <c r="B311">
        <v>0</v>
      </c>
      <c r="C311">
        <v>460</v>
      </c>
    </row>
    <row r="312" spans="1:3" x14ac:dyDescent="0.25">
      <c r="A312">
        <v>13</v>
      </c>
      <c r="B312">
        <v>0</v>
      </c>
      <c r="C312">
        <v>460</v>
      </c>
    </row>
    <row r="313" spans="1:3" x14ac:dyDescent="0.25">
      <c r="A313">
        <v>11</v>
      </c>
      <c r="B313">
        <v>0</v>
      </c>
      <c r="C313">
        <v>460</v>
      </c>
    </row>
    <row r="314" spans="1:3" x14ac:dyDescent="0.25">
      <c r="A314">
        <v>15</v>
      </c>
      <c r="B314">
        <v>0</v>
      </c>
      <c r="C314">
        <v>460</v>
      </c>
    </row>
    <row r="315" spans="1:3" x14ac:dyDescent="0.25">
      <c r="A315">
        <v>13</v>
      </c>
      <c r="B315">
        <v>0</v>
      </c>
      <c r="C315">
        <v>460</v>
      </c>
    </row>
    <row r="316" spans="1:3" x14ac:dyDescent="0.25">
      <c r="A316">
        <v>12</v>
      </c>
      <c r="B316">
        <v>0</v>
      </c>
      <c r="C316">
        <v>460</v>
      </c>
    </row>
    <row r="317" spans="1:3" x14ac:dyDescent="0.25">
      <c r="A317">
        <v>13</v>
      </c>
      <c r="B317">
        <v>0</v>
      </c>
      <c r="C317">
        <v>460</v>
      </c>
    </row>
    <row r="318" spans="1:3" x14ac:dyDescent="0.25">
      <c r="A318">
        <v>12</v>
      </c>
      <c r="B318">
        <v>0</v>
      </c>
      <c r="C318">
        <v>460</v>
      </c>
    </row>
    <row r="319" spans="1:3" x14ac:dyDescent="0.25">
      <c r="A319">
        <v>13</v>
      </c>
      <c r="B319">
        <v>0</v>
      </c>
      <c r="C319">
        <v>336</v>
      </c>
    </row>
    <row r="320" spans="1:3" x14ac:dyDescent="0.25">
      <c r="A320">
        <v>12</v>
      </c>
      <c r="B320">
        <v>0</v>
      </c>
      <c r="C320">
        <v>336</v>
      </c>
    </row>
    <row r="321" spans="1:3" x14ac:dyDescent="0.25">
      <c r="A321">
        <v>13</v>
      </c>
      <c r="B321">
        <v>0</v>
      </c>
      <c r="C321">
        <v>336</v>
      </c>
    </row>
    <row r="322" spans="1:3" x14ac:dyDescent="0.25">
      <c r="A322">
        <v>12</v>
      </c>
      <c r="B322">
        <v>0</v>
      </c>
      <c r="C322">
        <v>336</v>
      </c>
    </row>
    <row r="323" spans="1:3" x14ac:dyDescent="0.25">
      <c r="A323">
        <v>12</v>
      </c>
      <c r="B323">
        <v>0</v>
      </c>
      <c r="C323">
        <v>336</v>
      </c>
    </row>
    <row r="324" spans="1:3" x14ac:dyDescent="0.25">
      <c r="A324">
        <v>12</v>
      </c>
      <c r="B324">
        <v>0</v>
      </c>
      <c r="C324">
        <v>336</v>
      </c>
    </row>
    <row r="325" spans="1:3" x14ac:dyDescent="0.25">
      <c r="A325">
        <v>12</v>
      </c>
      <c r="B325">
        <v>0</v>
      </c>
      <c r="C325">
        <v>336</v>
      </c>
    </row>
    <row r="326" spans="1:3" x14ac:dyDescent="0.25">
      <c r="A326">
        <v>12</v>
      </c>
      <c r="B326">
        <v>0</v>
      </c>
      <c r="C326">
        <v>336</v>
      </c>
    </row>
    <row r="327" spans="1:3" x14ac:dyDescent="0.25">
      <c r="A327">
        <v>13</v>
      </c>
      <c r="B327">
        <v>0</v>
      </c>
      <c r="C327">
        <v>322</v>
      </c>
    </row>
    <row r="328" spans="1:3" x14ac:dyDescent="0.25">
      <c r="A328">
        <v>12</v>
      </c>
      <c r="B328">
        <v>0</v>
      </c>
      <c r="C328">
        <v>322</v>
      </c>
    </row>
    <row r="329" spans="1:3" x14ac:dyDescent="0.25">
      <c r="A329">
        <v>11</v>
      </c>
      <c r="B329">
        <v>0</v>
      </c>
      <c r="C329">
        <v>322</v>
      </c>
    </row>
    <row r="330" spans="1:3" x14ac:dyDescent="0.25">
      <c r="A330">
        <v>11</v>
      </c>
      <c r="B330">
        <v>0</v>
      </c>
      <c r="C330">
        <v>322</v>
      </c>
    </row>
    <row r="331" spans="1:3" x14ac:dyDescent="0.25">
      <c r="A331">
        <v>14</v>
      </c>
      <c r="B331">
        <v>0</v>
      </c>
      <c r="C331">
        <v>322</v>
      </c>
    </row>
    <row r="332" spans="1:3" x14ac:dyDescent="0.25">
      <c r="A332">
        <v>12</v>
      </c>
      <c r="B332">
        <v>0</v>
      </c>
      <c r="C332">
        <v>322</v>
      </c>
    </row>
    <row r="333" spans="1:3" x14ac:dyDescent="0.25">
      <c r="A333">
        <v>12</v>
      </c>
      <c r="B333">
        <v>0</v>
      </c>
      <c r="C333">
        <v>322</v>
      </c>
    </row>
    <row r="334" spans="1:3" x14ac:dyDescent="0.25">
      <c r="A334">
        <v>12</v>
      </c>
      <c r="B334">
        <v>0</v>
      </c>
      <c r="C334">
        <v>322</v>
      </c>
    </row>
    <row r="335" spans="1:3" x14ac:dyDescent="0.25">
      <c r="A335">
        <v>12</v>
      </c>
      <c r="B335">
        <v>0</v>
      </c>
      <c r="C335">
        <v>338</v>
      </c>
    </row>
    <row r="336" spans="1:3" x14ac:dyDescent="0.25">
      <c r="A336">
        <v>15</v>
      </c>
      <c r="B336">
        <v>0</v>
      </c>
      <c r="C336">
        <v>338</v>
      </c>
    </row>
    <row r="337" spans="1:3" x14ac:dyDescent="0.25">
      <c r="A337">
        <v>14</v>
      </c>
      <c r="B337">
        <v>0</v>
      </c>
      <c r="C337">
        <v>338</v>
      </c>
    </row>
    <row r="338" spans="1:3" x14ac:dyDescent="0.25">
      <c r="A338">
        <v>13</v>
      </c>
      <c r="B338">
        <v>0</v>
      </c>
      <c r="C338">
        <v>338</v>
      </c>
    </row>
    <row r="339" spans="1:3" x14ac:dyDescent="0.25">
      <c r="A339">
        <v>12</v>
      </c>
      <c r="B339">
        <v>0</v>
      </c>
      <c r="C339">
        <v>338</v>
      </c>
    </row>
    <row r="340" spans="1:3" x14ac:dyDescent="0.25">
      <c r="A340">
        <v>13</v>
      </c>
      <c r="B340">
        <v>0</v>
      </c>
      <c r="C340">
        <v>338</v>
      </c>
    </row>
    <row r="341" spans="1:3" x14ac:dyDescent="0.25">
      <c r="A341">
        <v>11</v>
      </c>
      <c r="B341">
        <v>0</v>
      </c>
      <c r="C341">
        <v>338</v>
      </c>
    </row>
    <row r="342" spans="1:3" x14ac:dyDescent="0.25">
      <c r="A342">
        <v>12</v>
      </c>
      <c r="B342">
        <v>0</v>
      </c>
      <c r="C342">
        <v>338</v>
      </c>
    </row>
    <row r="343" spans="1:3" x14ac:dyDescent="0.25">
      <c r="A343">
        <v>12</v>
      </c>
      <c r="B343">
        <v>0</v>
      </c>
      <c r="C343">
        <v>386</v>
      </c>
    </row>
    <row r="344" spans="1:3" x14ac:dyDescent="0.25">
      <c r="A344">
        <v>15</v>
      </c>
      <c r="B344">
        <v>0</v>
      </c>
      <c r="C344">
        <v>386</v>
      </c>
    </row>
    <row r="345" spans="1:3" x14ac:dyDescent="0.25">
      <c r="A345">
        <v>12</v>
      </c>
      <c r="B345">
        <v>0</v>
      </c>
      <c r="C345">
        <v>386</v>
      </c>
    </row>
    <row r="346" spans="1:3" x14ac:dyDescent="0.25">
      <c r="A346">
        <v>16</v>
      </c>
      <c r="B346">
        <v>0</v>
      </c>
      <c r="C346">
        <v>386</v>
      </c>
    </row>
    <row r="347" spans="1:3" x14ac:dyDescent="0.25">
      <c r="A347">
        <v>12</v>
      </c>
      <c r="B347">
        <v>0</v>
      </c>
      <c r="C347">
        <v>386</v>
      </c>
    </row>
    <row r="348" spans="1:3" x14ac:dyDescent="0.25">
      <c r="A348">
        <v>12</v>
      </c>
      <c r="B348">
        <v>0</v>
      </c>
      <c r="C348">
        <v>386</v>
      </c>
    </row>
    <row r="349" spans="1:3" x14ac:dyDescent="0.25">
      <c r="A349">
        <v>13</v>
      </c>
      <c r="B349">
        <v>0</v>
      </c>
      <c r="C349">
        <v>386</v>
      </c>
    </row>
    <row r="350" spans="1:3" x14ac:dyDescent="0.25">
      <c r="A350">
        <v>16</v>
      </c>
      <c r="B350">
        <v>0</v>
      </c>
      <c r="C350">
        <v>386</v>
      </c>
    </row>
    <row r="351" spans="1:3" x14ac:dyDescent="0.25">
      <c r="A351">
        <v>12</v>
      </c>
      <c r="B351">
        <v>0</v>
      </c>
      <c r="C351">
        <v>363</v>
      </c>
    </row>
    <row r="352" spans="1:3" x14ac:dyDescent="0.25">
      <c r="A352">
        <v>12</v>
      </c>
      <c r="B352">
        <v>0</v>
      </c>
      <c r="C352">
        <v>363</v>
      </c>
    </row>
    <row r="353" spans="1:3" x14ac:dyDescent="0.25">
      <c r="A353">
        <v>12</v>
      </c>
      <c r="B353">
        <v>0</v>
      </c>
      <c r="C353">
        <v>363</v>
      </c>
    </row>
    <row r="354" spans="1:3" x14ac:dyDescent="0.25">
      <c r="A354">
        <v>12</v>
      </c>
      <c r="B354">
        <v>0</v>
      </c>
      <c r="C354">
        <v>363</v>
      </c>
    </row>
    <row r="355" spans="1:3" x14ac:dyDescent="0.25">
      <c r="A355">
        <v>11</v>
      </c>
      <c r="B355">
        <v>0</v>
      </c>
      <c r="C355">
        <v>363</v>
      </c>
    </row>
    <row r="356" spans="1:3" x14ac:dyDescent="0.25">
      <c r="A356">
        <v>14</v>
      </c>
      <c r="B356">
        <v>0</v>
      </c>
      <c r="C356">
        <v>363</v>
      </c>
    </row>
    <row r="357" spans="1:3" x14ac:dyDescent="0.25">
      <c r="A357">
        <v>13</v>
      </c>
      <c r="B357">
        <v>0</v>
      </c>
      <c r="C357">
        <v>363</v>
      </c>
    </row>
    <row r="358" spans="1:3" x14ac:dyDescent="0.25">
      <c r="A358">
        <v>12</v>
      </c>
      <c r="B358">
        <v>0</v>
      </c>
      <c r="C358">
        <v>363</v>
      </c>
    </row>
    <row r="359" spans="1:3" x14ac:dyDescent="0.25">
      <c r="A359">
        <v>11</v>
      </c>
      <c r="B359">
        <v>0</v>
      </c>
      <c r="C359">
        <v>350</v>
      </c>
    </row>
    <row r="360" spans="1:3" x14ac:dyDescent="0.25">
      <c r="A360">
        <v>12</v>
      </c>
      <c r="B360">
        <v>0</v>
      </c>
      <c r="C360">
        <v>350</v>
      </c>
    </row>
    <row r="361" spans="1:3" x14ac:dyDescent="0.25">
      <c r="A361">
        <v>12</v>
      </c>
      <c r="B361">
        <v>0</v>
      </c>
      <c r="C361">
        <v>350</v>
      </c>
    </row>
    <row r="362" spans="1:3" x14ac:dyDescent="0.25">
      <c r="A362">
        <v>12</v>
      </c>
      <c r="B362">
        <v>0</v>
      </c>
      <c r="C362">
        <v>350</v>
      </c>
    </row>
    <row r="363" spans="1:3" x14ac:dyDescent="0.25">
      <c r="A363">
        <v>13</v>
      </c>
      <c r="B363">
        <v>0</v>
      </c>
      <c r="C363">
        <v>350</v>
      </c>
    </row>
    <row r="364" spans="1:3" x14ac:dyDescent="0.25">
      <c r="A364">
        <v>12</v>
      </c>
      <c r="B364">
        <v>0</v>
      </c>
      <c r="C364">
        <v>350</v>
      </c>
    </row>
    <row r="365" spans="1:3" x14ac:dyDescent="0.25">
      <c r="A365">
        <v>12</v>
      </c>
      <c r="B365">
        <v>0</v>
      </c>
      <c r="C365">
        <v>350</v>
      </c>
    </row>
    <row r="366" spans="1:3" x14ac:dyDescent="0.25">
      <c r="A366">
        <v>12</v>
      </c>
      <c r="B366">
        <v>0</v>
      </c>
      <c r="C366">
        <v>350</v>
      </c>
    </row>
    <row r="367" spans="1:3" x14ac:dyDescent="0.25">
      <c r="A367">
        <v>11</v>
      </c>
      <c r="B367">
        <v>0</v>
      </c>
      <c r="C367">
        <v>367</v>
      </c>
    </row>
    <row r="368" spans="1:3" x14ac:dyDescent="0.25">
      <c r="A368">
        <v>12</v>
      </c>
      <c r="B368">
        <v>0</v>
      </c>
      <c r="C368">
        <v>367</v>
      </c>
    </row>
    <row r="369" spans="1:3" x14ac:dyDescent="0.25">
      <c r="A369">
        <v>15</v>
      </c>
      <c r="B369">
        <v>0</v>
      </c>
      <c r="C369">
        <v>367</v>
      </c>
    </row>
    <row r="370" spans="1:3" x14ac:dyDescent="0.25">
      <c r="A370">
        <v>11</v>
      </c>
      <c r="B370">
        <v>0</v>
      </c>
      <c r="C370">
        <v>367</v>
      </c>
    </row>
    <row r="371" spans="1:3" x14ac:dyDescent="0.25">
      <c r="A371">
        <v>15</v>
      </c>
      <c r="B371">
        <v>0</v>
      </c>
      <c r="C371">
        <v>367</v>
      </c>
    </row>
    <row r="372" spans="1:3" x14ac:dyDescent="0.25">
      <c r="A372">
        <v>13</v>
      </c>
      <c r="B372">
        <v>0</v>
      </c>
      <c r="C372">
        <v>367</v>
      </c>
    </row>
    <row r="373" spans="1:3" x14ac:dyDescent="0.25">
      <c r="A373">
        <v>12</v>
      </c>
      <c r="B373">
        <v>0</v>
      </c>
      <c r="C373">
        <v>367</v>
      </c>
    </row>
    <row r="374" spans="1:3" x14ac:dyDescent="0.25">
      <c r="A374">
        <v>12</v>
      </c>
      <c r="B374">
        <v>0</v>
      </c>
      <c r="C374">
        <v>367</v>
      </c>
    </row>
    <row r="375" spans="1:3" x14ac:dyDescent="0.25">
      <c r="A375">
        <v>14</v>
      </c>
      <c r="B375">
        <v>0</v>
      </c>
      <c r="C375">
        <v>359</v>
      </c>
    </row>
    <row r="376" spans="1:3" x14ac:dyDescent="0.25">
      <c r="A376">
        <v>12</v>
      </c>
      <c r="B376">
        <v>0</v>
      </c>
      <c r="C376">
        <v>359</v>
      </c>
    </row>
    <row r="377" spans="1:3" x14ac:dyDescent="0.25">
      <c r="A377">
        <v>12</v>
      </c>
      <c r="B377">
        <v>0</v>
      </c>
      <c r="C377">
        <v>359</v>
      </c>
    </row>
    <row r="378" spans="1:3" x14ac:dyDescent="0.25">
      <c r="A378">
        <v>11</v>
      </c>
      <c r="B378">
        <v>0</v>
      </c>
      <c r="C378">
        <v>359</v>
      </c>
    </row>
    <row r="379" spans="1:3" x14ac:dyDescent="0.25">
      <c r="A379">
        <v>11</v>
      </c>
      <c r="B379">
        <v>0</v>
      </c>
      <c r="C379">
        <v>359</v>
      </c>
    </row>
    <row r="380" spans="1:3" x14ac:dyDescent="0.25">
      <c r="A380">
        <v>14</v>
      </c>
      <c r="B380">
        <v>0</v>
      </c>
      <c r="C380">
        <v>359</v>
      </c>
    </row>
    <row r="381" spans="1:3" x14ac:dyDescent="0.25">
      <c r="A381">
        <v>12</v>
      </c>
      <c r="B381">
        <v>0</v>
      </c>
      <c r="C381">
        <v>359</v>
      </c>
    </row>
    <row r="382" spans="1:3" x14ac:dyDescent="0.25">
      <c r="A382">
        <v>14</v>
      </c>
      <c r="B382">
        <v>0</v>
      </c>
      <c r="C382">
        <v>359</v>
      </c>
    </row>
    <row r="383" spans="1:3" x14ac:dyDescent="0.25">
      <c r="A383">
        <v>13</v>
      </c>
      <c r="B383">
        <v>0</v>
      </c>
      <c r="C383">
        <v>324</v>
      </c>
    </row>
    <row r="384" spans="1:3" x14ac:dyDescent="0.25">
      <c r="A384">
        <v>13</v>
      </c>
      <c r="B384">
        <v>0</v>
      </c>
      <c r="C384">
        <v>324</v>
      </c>
    </row>
    <row r="385" spans="1:3" x14ac:dyDescent="0.25">
      <c r="A385">
        <v>12</v>
      </c>
      <c r="B385">
        <v>0</v>
      </c>
      <c r="C385">
        <v>324</v>
      </c>
    </row>
    <row r="386" spans="1:3" x14ac:dyDescent="0.25">
      <c r="A386">
        <v>12</v>
      </c>
      <c r="B386">
        <v>0</v>
      </c>
      <c r="C386">
        <v>324</v>
      </c>
    </row>
    <row r="387" spans="1:3" x14ac:dyDescent="0.25">
      <c r="A387">
        <v>12</v>
      </c>
      <c r="B387">
        <v>0</v>
      </c>
      <c r="C387">
        <v>324</v>
      </c>
    </row>
    <row r="388" spans="1:3" x14ac:dyDescent="0.25">
      <c r="A388">
        <v>12</v>
      </c>
      <c r="B388">
        <v>0</v>
      </c>
      <c r="C388">
        <v>324</v>
      </c>
    </row>
    <row r="389" spans="1:3" x14ac:dyDescent="0.25">
      <c r="A389">
        <v>12</v>
      </c>
      <c r="B389">
        <v>0</v>
      </c>
      <c r="C389">
        <v>324</v>
      </c>
    </row>
    <row r="390" spans="1:3" x14ac:dyDescent="0.25">
      <c r="A390">
        <v>13</v>
      </c>
      <c r="B390">
        <v>0</v>
      </c>
      <c r="C390">
        <v>324</v>
      </c>
    </row>
    <row r="391" spans="1:3" x14ac:dyDescent="0.25">
      <c r="A391">
        <v>12</v>
      </c>
      <c r="B391">
        <v>0</v>
      </c>
      <c r="C391">
        <v>355</v>
      </c>
    </row>
    <row r="392" spans="1:3" x14ac:dyDescent="0.25">
      <c r="A392">
        <v>12</v>
      </c>
      <c r="B392">
        <v>0</v>
      </c>
      <c r="C392">
        <v>355</v>
      </c>
    </row>
    <row r="393" spans="1:3" x14ac:dyDescent="0.25">
      <c r="A393">
        <v>14</v>
      </c>
      <c r="B393">
        <v>0</v>
      </c>
      <c r="C393">
        <v>355</v>
      </c>
    </row>
    <row r="394" spans="1:3" x14ac:dyDescent="0.25">
      <c r="A394">
        <v>13</v>
      </c>
      <c r="B394">
        <v>0</v>
      </c>
      <c r="C394">
        <v>355</v>
      </c>
    </row>
    <row r="395" spans="1:3" x14ac:dyDescent="0.25">
      <c r="A395">
        <v>11</v>
      </c>
      <c r="B395">
        <v>0</v>
      </c>
      <c r="C395">
        <v>355</v>
      </c>
    </row>
    <row r="396" spans="1:3" x14ac:dyDescent="0.25">
      <c r="A396">
        <v>14</v>
      </c>
      <c r="B396">
        <v>0</v>
      </c>
      <c r="C396">
        <v>355</v>
      </c>
    </row>
    <row r="397" spans="1:3" x14ac:dyDescent="0.25">
      <c r="A397">
        <v>11</v>
      </c>
      <c r="B397">
        <v>0</v>
      </c>
      <c r="C397">
        <v>355</v>
      </c>
    </row>
    <row r="398" spans="1:3" x14ac:dyDescent="0.25">
      <c r="A398">
        <v>20</v>
      </c>
      <c r="B398">
        <v>0</v>
      </c>
      <c r="C398">
        <v>355</v>
      </c>
    </row>
    <row r="399" spans="1:3" x14ac:dyDescent="0.25">
      <c r="A399">
        <v>11</v>
      </c>
      <c r="B399">
        <v>0</v>
      </c>
      <c r="C399">
        <v>358</v>
      </c>
    </row>
    <row r="400" spans="1:3" x14ac:dyDescent="0.25">
      <c r="A400">
        <v>14</v>
      </c>
      <c r="B400">
        <v>0</v>
      </c>
      <c r="C400">
        <v>358</v>
      </c>
    </row>
    <row r="401" spans="1:3" x14ac:dyDescent="0.25">
      <c r="A401">
        <v>12</v>
      </c>
      <c r="B401">
        <v>0</v>
      </c>
      <c r="C401">
        <v>358</v>
      </c>
    </row>
    <row r="402" spans="1:3" x14ac:dyDescent="0.25">
      <c r="A402">
        <v>13</v>
      </c>
      <c r="B402">
        <v>0</v>
      </c>
      <c r="C402">
        <v>358</v>
      </c>
    </row>
    <row r="403" spans="1:3" x14ac:dyDescent="0.25">
      <c r="A403">
        <v>14</v>
      </c>
      <c r="B403">
        <v>0</v>
      </c>
      <c r="C403">
        <v>358</v>
      </c>
    </row>
    <row r="404" spans="1:3" x14ac:dyDescent="0.25">
      <c r="A404">
        <v>11</v>
      </c>
      <c r="B404">
        <v>0</v>
      </c>
      <c r="C404">
        <v>358</v>
      </c>
    </row>
    <row r="405" spans="1:3" x14ac:dyDescent="0.25">
      <c r="A405">
        <v>12</v>
      </c>
      <c r="B405">
        <v>0</v>
      </c>
      <c r="C405">
        <v>358</v>
      </c>
    </row>
    <row r="406" spans="1:3" x14ac:dyDescent="0.25">
      <c r="A406">
        <v>13</v>
      </c>
      <c r="B406">
        <v>0</v>
      </c>
      <c r="C406">
        <v>349</v>
      </c>
    </row>
    <row r="407" spans="1:3" x14ac:dyDescent="0.25">
      <c r="A407">
        <v>12</v>
      </c>
      <c r="B407">
        <v>0</v>
      </c>
      <c r="C407">
        <v>349</v>
      </c>
    </row>
    <row r="408" spans="1:3" x14ac:dyDescent="0.25">
      <c r="A408">
        <v>11</v>
      </c>
      <c r="B408">
        <v>0</v>
      </c>
      <c r="C408">
        <v>349</v>
      </c>
    </row>
    <row r="409" spans="1:3" x14ac:dyDescent="0.25">
      <c r="A409">
        <v>11</v>
      </c>
      <c r="B409">
        <v>0</v>
      </c>
      <c r="C409">
        <v>349</v>
      </c>
    </row>
    <row r="410" spans="1:3" x14ac:dyDescent="0.25">
      <c r="A410">
        <v>11</v>
      </c>
      <c r="B410">
        <v>0</v>
      </c>
      <c r="C410">
        <v>349</v>
      </c>
    </row>
    <row r="411" spans="1:3" x14ac:dyDescent="0.25">
      <c r="A411">
        <v>11</v>
      </c>
      <c r="B411">
        <v>0</v>
      </c>
      <c r="C411">
        <v>349</v>
      </c>
    </row>
    <row r="412" spans="1:3" x14ac:dyDescent="0.25">
      <c r="A412">
        <v>15</v>
      </c>
      <c r="B412">
        <v>0</v>
      </c>
      <c r="C412">
        <v>349</v>
      </c>
    </row>
    <row r="413" spans="1:3" x14ac:dyDescent="0.25">
      <c r="A413">
        <v>11</v>
      </c>
      <c r="B413">
        <v>0</v>
      </c>
      <c r="C413">
        <v>349</v>
      </c>
    </row>
    <row r="414" spans="1:3" x14ac:dyDescent="0.25">
      <c r="A414">
        <v>11</v>
      </c>
      <c r="B414">
        <v>0</v>
      </c>
      <c r="C414">
        <v>373</v>
      </c>
    </row>
    <row r="415" spans="1:3" x14ac:dyDescent="0.25">
      <c r="A415">
        <v>12</v>
      </c>
      <c r="B415">
        <v>0</v>
      </c>
      <c r="C415">
        <v>373</v>
      </c>
    </row>
    <row r="416" spans="1:3" x14ac:dyDescent="0.25">
      <c r="A416">
        <v>12</v>
      </c>
      <c r="B416">
        <v>0</v>
      </c>
      <c r="C416">
        <v>373</v>
      </c>
    </row>
    <row r="417" spans="1:3" x14ac:dyDescent="0.25">
      <c r="A417">
        <v>13</v>
      </c>
      <c r="B417">
        <v>0</v>
      </c>
      <c r="C417">
        <v>373</v>
      </c>
    </row>
    <row r="418" spans="1:3" x14ac:dyDescent="0.25">
      <c r="A418">
        <v>11</v>
      </c>
      <c r="B418">
        <v>0</v>
      </c>
      <c r="C418">
        <v>373</v>
      </c>
    </row>
    <row r="419" spans="1:3" x14ac:dyDescent="0.25">
      <c r="A419">
        <v>12</v>
      </c>
      <c r="B419">
        <v>0</v>
      </c>
      <c r="C419">
        <v>373</v>
      </c>
    </row>
    <row r="420" spans="1:3" x14ac:dyDescent="0.25">
      <c r="A420">
        <v>12</v>
      </c>
      <c r="B420">
        <v>0</v>
      </c>
      <c r="C420">
        <v>373</v>
      </c>
    </row>
    <row r="421" spans="1:3" x14ac:dyDescent="0.25">
      <c r="A421">
        <v>13</v>
      </c>
      <c r="B421">
        <v>0</v>
      </c>
      <c r="C421">
        <v>373</v>
      </c>
    </row>
    <row r="422" spans="1:3" x14ac:dyDescent="0.25">
      <c r="A422">
        <v>12</v>
      </c>
      <c r="B422">
        <v>0</v>
      </c>
      <c r="C422">
        <v>335</v>
      </c>
    </row>
    <row r="423" spans="1:3" x14ac:dyDescent="0.25">
      <c r="A423">
        <v>14</v>
      </c>
      <c r="B423">
        <v>0</v>
      </c>
      <c r="C423">
        <v>335</v>
      </c>
    </row>
    <row r="424" spans="1:3" x14ac:dyDescent="0.25">
      <c r="A424">
        <v>13</v>
      </c>
      <c r="B424">
        <v>0</v>
      </c>
      <c r="C424">
        <v>335</v>
      </c>
    </row>
    <row r="425" spans="1:3" x14ac:dyDescent="0.25">
      <c r="A425">
        <v>13</v>
      </c>
      <c r="B425">
        <v>0</v>
      </c>
      <c r="C425">
        <v>335</v>
      </c>
    </row>
    <row r="426" spans="1:3" x14ac:dyDescent="0.25">
      <c r="A426">
        <v>12</v>
      </c>
      <c r="B426">
        <v>0</v>
      </c>
      <c r="C426">
        <v>335</v>
      </c>
    </row>
    <row r="427" spans="1:3" x14ac:dyDescent="0.25">
      <c r="A427">
        <v>12</v>
      </c>
      <c r="B427">
        <v>0</v>
      </c>
      <c r="C427">
        <v>335</v>
      </c>
    </row>
    <row r="428" spans="1:3" x14ac:dyDescent="0.25">
      <c r="A428">
        <v>12</v>
      </c>
      <c r="B428">
        <v>0</v>
      </c>
      <c r="C428">
        <v>335</v>
      </c>
    </row>
    <row r="429" spans="1:3" x14ac:dyDescent="0.25">
      <c r="A429">
        <v>12</v>
      </c>
      <c r="B429">
        <v>0</v>
      </c>
      <c r="C429">
        <v>335</v>
      </c>
    </row>
    <row r="430" spans="1:3" x14ac:dyDescent="0.25">
      <c r="A430">
        <v>12</v>
      </c>
      <c r="B430">
        <v>0</v>
      </c>
      <c r="C430">
        <v>359</v>
      </c>
    </row>
    <row r="431" spans="1:3" x14ac:dyDescent="0.25">
      <c r="A431">
        <v>12</v>
      </c>
      <c r="B431">
        <v>0</v>
      </c>
      <c r="C431">
        <v>359</v>
      </c>
    </row>
    <row r="432" spans="1:3" x14ac:dyDescent="0.25">
      <c r="A432">
        <v>12</v>
      </c>
      <c r="B432">
        <v>0</v>
      </c>
      <c r="C432">
        <v>359</v>
      </c>
    </row>
    <row r="433" spans="1:3" x14ac:dyDescent="0.25">
      <c r="A433">
        <v>12</v>
      </c>
      <c r="B433">
        <v>0</v>
      </c>
      <c r="C433">
        <v>359</v>
      </c>
    </row>
    <row r="434" spans="1:3" x14ac:dyDescent="0.25">
      <c r="A434">
        <v>15</v>
      </c>
      <c r="B434">
        <v>0</v>
      </c>
      <c r="C434">
        <v>359</v>
      </c>
    </row>
    <row r="435" spans="1:3" x14ac:dyDescent="0.25">
      <c r="A435">
        <v>16</v>
      </c>
      <c r="B435">
        <v>0</v>
      </c>
      <c r="C435">
        <v>359</v>
      </c>
    </row>
    <row r="436" spans="1:3" x14ac:dyDescent="0.25">
      <c r="A436">
        <v>11</v>
      </c>
      <c r="B436">
        <v>0</v>
      </c>
      <c r="C436">
        <v>359</v>
      </c>
    </row>
    <row r="437" spans="1:3" x14ac:dyDescent="0.25">
      <c r="A437">
        <v>12</v>
      </c>
      <c r="B437">
        <v>0</v>
      </c>
      <c r="C437">
        <v>359</v>
      </c>
    </row>
    <row r="438" spans="1:3" x14ac:dyDescent="0.25">
      <c r="A438">
        <v>12</v>
      </c>
      <c r="B438">
        <v>0</v>
      </c>
      <c r="C438">
        <v>319</v>
      </c>
    </row>
    <row r="439" spans="1:3" x14ac:dyDescent="0.25">
      <c r="A439">
        <v>12</v>
      </c>
      <c r="B439">
        <v>0</v>
      </c>
      <c r="C439">
        <v>319</v>
      </c>
    </row>
    <row r="440" spans="1:3" x14ac:dyDescent="0.25">
      <c r="A440">
        <v>12</v>
      </c>
      <c r="B440">
        <v>0</v>
      </c>
      <c r="C440">
        <v>319</v>
      </c>
    </row>
    <row r="441" spans="1:3" x14ac:dyDescent="0.25">
      <c r="A441">
        <v>14</v>
      </c>
      <c r="B441">
        <v>0</v>
      </c>
      <c r="C441">
        <v>319</v>
      </c>
    </row>
    <row r="442" spans="1:3" x14ac:dyDescent="0.25">
      <c r="A442">
        <v>12</v>
      </c>
      <c r="B442">
        <v>0</v>
      </c>
      <c r="C442">
        <v>319</v>
      </c>
    </row>
    <row r="443" spans="1:3" x14ac:dyDescent="0.25">
      <c r="A443">
        <v>13</v>
      </c>
      <c r="B443">
        <v>0</v>
      </c>
      <c r="C443">
        <v>319</v>
      </c>
    </row>
    <row r="444" spans="1:3" x14ac:dyDescent="0.25">
      <c r="A444">
        <v>14</v>
      </c>
      <c r="B444">
        <v>0</v>
      </c>
      <c r="C444">
        <v>319</v>
      </c>
    </row>
    <row r="445" spans="1:3" x14ac:dyDescent="0.25">
      <c r="A445">
        <v>13</v>
      </c>
      <c r="B445">
        <v>0</v>
      </c>
      <c r="C445">
        <v>319</v>
      </c>
    </row>
    <row r="446" spans="1:3" x14ac:dyDescent="0.25">
      <c r="A446">
        <v>11</v>
      </c>
      <c r="B446">
        <v>0</v>
      </c>
      <c r="C446">
        <v>329</v>
      </c>
    </row>
    <row r="447" spans="1:3" x14ac:dyDescent="0.25">
      <c r="A447">
        <v>13</v>
      </c>
      <c r="B447">
        <v>0</v>
      </c>
      <c r="C447">
        <v>329</v>
      </c>
    </row>
    <row r="448" spans="1:3" x14ac:dyDescent="0.25">
      <c r="A448">
        <v>14</v>
      </c>
      <c r="B448">
        <v>0</v>
      </c>
      <c r="C448">
        <v>329</v>
      </c>
    </row>
    <row r="449" spans="1:3" x14ac:dyDescent="0.25">
      <c r="A449">
        <v>11</v>
      </c>
      <c r="B449">
        <v>0</v>
      </c>
      <c r="C449">
        <v>329</v>
      </c>
    </row>
    <row r="450" spans="1:3" x14ac:dyDescent="0.25">
      <c r="A450">
        <v>12</v>
      </c>
      <c r="B450">
        <v>0</v>
      </c>
      <c r="C450">
        <v>329</v>
      </c>
    </row>
    <row r="451" spans="1:3" x14ac:dyDescent="0.25">
      <c r="A451">
        <v>11</v>
      </c>
      <c r="B451">
        <v>0</v>
      </c>
      <c r="C451">
        <v>329</v>
      </c>
    </row>
    <row r="452" spans="1:3" x14ac:dyDescent="0.25">
      <c r="A452">
        <v>12</v>
      </c>
      <c r="B452">
        <v>0</v>
      </c>
      <c r="C452">
        <v>329</v>
      </c>
    </row>
    <row r="453" spans="1:3" x14ac:dyDescent="0.25">
      <c r="A453">
        <v>13</v>
      </c>
      <c r="B453">
        <v>0</v>
      </c>
      <c r="C453">
        <v>329</v>
      </c>
    </row>
    <row r="454" spans="1:3" x14ac:dyDescent="0.25">
      <c r="A454">
        <v>13</v>
      </c>
      <c r="B454">
        <v>0</v>
      </c>
      <c r="C454">
        <v>337</v>
      </c>
    </row>
    <row r="455" spans="1:3" x14ac:dyDescent="0.25">
      <c r="A455">
        <v>12</v>
      </c>
      <c r="B455">
        <v>0</v>
      </c>
      <c r="C455">
        <v>337</v>
      </c>
    </row>
    <row r="456" spans="1:3" x14ac:dyDescent="0.25">
      <c r="A456">
        <v>15</v>
      </c>
      <c r="B456">
        <v>0</v>
      </c>
      <c r="C456">
        <v>337</v>
      </c>
    </row>
    <row r="457" spans="1:3" x14ac:dyDescent="0.25">
      <c r="A457">
        <v>11</v>
      </c>
      <c r="B457">
        <v>0</v>
      </c>
      <c r="C457">
        <v>337</v>
      </c>
    </row>
    <row r="458" spans="1:3" x14ac:dyDescent="0.25">
      <c r="A458">
        <v>12</v>
      </c>
      <c r="B458">
        <v>0</v>
      </c>
      <c r="C458">
        <v>337</v>
      </c>
    </row>
    <row r="459" spans="1:3" x14ac:dyDescent="0.25">
      <c r="A459">
        <v>12</v>
      </c>
      <c r="B459">
        <v>0</v>
      </c>
      <c r="C459">
        <v>337</v>
      </c>
    </row>
    <row r="460" spans="1:3" x14ac:dyDescent="0.25">
      <c r="A460">
        <v>13</v>
      </c>
      <c r="B460">
        <v>0</v>
      </c>
      <c r="C460">
        <v>337</v>
      </c>
    </row>
    <row r="461" spans="1:3" x14ac:dyDescent="0.25">
      <c r="A461">
        <v>14</v>
      </c>
      <c r="B461">
        <v>0</v>
      </c>
      <c r="C461">
        <v>456</v>
      </c>
    </row>
    <row r="462" spans="1:3" x14ac:dyDescent="0.25">
      <c r="A462">
        <v>12</v>
      </c>
      <c r="B462">
        <v>0</v>
      </c>
      <c r="C462">
        <v>456</v>
      </c>
    </row>
    <row r="463" spans="1:3" x14ac:dyDescent="0.25">
      <c r="A463">
        <v>13</v>
      </c>
      <c r="B463">
        <v>0</v>
      </c>
      <c r="C463">
        <v>456</v>
      </c>
    </row>
    <row r="464" spans="1:3" x14ac:dyDescent="0.25">
      <c r="A464">
        <v>12</v>
      </c>
      <c r="B464">
        <v>0</v>
      </c>
      <c r="C464">
        <v>456</v>
      </c>
    </row>
    <row r="465" spans="1:3" x14ac:dyDescent="0.25">
      <c r="A465">
        <v>11</v>
      </c>
      <c r="B465">
        <v>0</v>
      </c>
      <c r="C465">
        <v>456</v>
      </c>
    </row>
    <row r="466" spans="1:3" x14ac:dyDescent="0.25">
      <c r="A466">
        <v>13</v>
      </c>
      <c r="B466">
        <v>0</v>
      </c>
      <c r="C466">
        <v>456</v>
      </c>
    </row>
    <row r="467" spans="1:3" x14ac:dyDescent="0.25">
      <c r="A467">
        <v>12</v>
      </c>
      <c r="B467">
        <v>0</v>
      </c>
      <c r="C467">
        <v>456</v>
      </c>
    </row>
    <row r="468" spans="1:3" x14ac:dyDescent="0.25">
      <c r="A468">
        <v>13</v>
      </c>
      <c r="B468">
        <v>0</v>
      </c>
      <c r="C468">
        <v>456</v>
      </c>
    </row>
    <row r="469" spans="1:3" x14ac:dyDescent="0.25">
      <c r="A469">
        <v>11</v>
      </c>
      <c r="B469">
        <v>0</v>
      </c>
      <c r="C469">
        <v>329</v>
      </c>
    </row>
    <row r="470" spans="1:3" x14ac:dyDescent="0.25">
      <c r="A470">
        <v>16</v>
      </c>
      <c r="B470">
        <v>0</v>
      </c>
      <c r="C470">
        <v>329</v>
      </c>
    </row>
    <row r="471" spans="1:3" x14ac:dyDescent="0.25">
      <c r="A471">
        <v>11</v>
      </c>
      <c r="B471">
        <v>0</v>
      </c>
      <c r="C471">
        <v>329</v>
      </c>
    </row>
    <row r="472" spans="1:3" x14ac:dyDescent="0.25">
      <c r="A472">
        <v>16</v>
      </c>
      <c r="B472">
        <v>0</v>
      </c>
      <c r="C472">
        <v>329</v>
      </c>
    </row>
    <row r="473" spans="1:3" x14ac:dyDescent="0.25">
      <c r="A473">
        <v>13</v>
      </c>
      <c r="B473">
        <v>0</v>
      </c>
      <c r="C473">
        <v>329</v>
      </c>
    </row>
    <row r="474" spans="1:3" x14ac:dyDescent="0.25">
      <c r="A474">
        <v>12</v>
      </c>
      <c r="B474">
        <v>0</v>
      </c>
      <c r="C474">
        <v>329</v>
      </c>
    </row>
    <row r="475" spans="1:3" x14ac:dyDescent="0.25">
      <c r="A475">
        <v>12</v>
      </c>
      <c r="B475">
        <v>0</v>
      </c>
      <c r="C475">
        <v>329</v>
      </c>
    </row>
    <row r="476" spans="1:3" x14ac:dyDescent="0.25">
      <c r="A476">
        <v>12</v>
      </c>
      <c r="B476">
        <v>0</v>
      </c>
      <c r="C476">
        <v>341</v>
      </c>
    </row>
    <row r="477" spans="1:3" x14ac:dyDescent="0.25">
      <c r="A477">
        <v>13</v>
      </c>
      <c r="B477">
        <v>0</v>
      </c>
      <c r="C477">
        <v>341</v>
      </c>
    </row>
    <row r="478" spans="1:3" x14ac:dyDescent="0.25">
      <c r="A478">
        <v>11</v>
      </c>
      <c r="B478">
        <v>0</v>
      </c>
      <c r="C478">
        <v>341</v>
      </c>
    </row>
    <row r="479" spans="1:3" x14ac:dyDescent="0.25">
      <c r="A479">
        <v>12</v>
      </c>
      <c r="B479">
        <v>0</v>
      </c>
      <c r="C479">
        <v>341</v>
      </c>
    </row>
    <row r="480" spans="1:3" x14ac:dyDescent="0.25">
      <c r="A480">
        <v>12</v>
      </c>
      <c r="B480">
        <v>0</v>
      </c>
      <c r="C480">
        <v>341</v>
      </c>
    </row>
    <row r="481" spans="1:3" x14ac:dyDescent="0.25">
      <c r="A481">
        <v>12</v>
      </c>
      <c r="B481">
        <v>0</v>
      </c>
      <c r="C481">
        <v>341</v>
      </c>
    </row>
    <row r="482" spans="1:3" x14ac:dyDescent="0.25">
      <c r="A482">
        <v>11</v>
      </c>
      <c r="B482">
        <v>0</v>
      </c>
      <c r="C482">
        <v>341</v>
      </c>
    </row>
    <row r="483" spans="1:3" x14ac:dyDescent="0.25">
      <c r="A483">
        <v>12</v>
      </c>
      <c r="B483">
        <v>0</v>
      </c>
      <c r="C483">
        <v>341</v>
      </c>
    </row>
    <row r="484" spans="1:3" x14ac:dyDescent="0.25">
      <c r="A484">
        <v>12</v>
      </c>
      <c r="B484">
        <v>0</v>
      </c>
      <c r="C484">
        <v>326</v>
      </c>
    </row>
    <row r="485" spans="1:3" x14ac:dyDescent="0.25">
      <c r="A485">
        <v>13</v>
      </c>
      <c r="B485">
        <v>0</v>
      </c>
      <c r="C485">
        <v>326</v>
      </c>
    </row>
    <row r="486" spans="1:3" x14ac:dyDescent="0.25">
      <c r="A486">
        <v>13</v>
      </c>
      <c r="B486">
        <v>0</v>
      </c>
      <c r="C486">
        <v>326</v>
      </c>
    </row>
    <row r="487" spans="1:3" x14ac:dyDescent="0.25">
      <c r="A487">
        <v>12</v>
      </c>
      <c r="B487">
        <v>0</v>
      </c>
      <c r="C487">
        <v>326</v>
      </c>
    </row>
    <row r="488" spans="1:3" x14ac:dyDescent="0.25">
      <c r="A488">
        <v>13</v>
      </c>
      <c r="B488">
        <v>0</v>
      </c>
      <c r="C488">
        <v>326</v>
      </c>
    </row>
    <row r="489" spans="1:3" x14ac:dyDescent="0.25">
      <c r="A489">
        <v>12</v>
      </c>
      <c r="B489">
        <v>0</v>
      </c>
      <c r="C489">
        <v>326</v>
      </c>
    </row>
    <row r="490" spans="1:3" x14ac:dyDescent="0.25">
      <c r="A490">
        <v>11</v>
      </c>
      <c r="B490">
        <v>0</v>
      </c>
      <c r="C490">
        <v>326</v>
      </c>
    </row>
    <row r="491" spans="1:3" x14ac:dyDescent="0.25">
      <c r="A491">
        <v>13</v>
      </c>
      <c r="B491">
        <v>0</v>
      </c>
      <c r="C491">
        <v>326</v>
      </c>
    </row>
    <row r="492" spans="1:3" x14ac:dyDescent="0.25">
      <c r="A492">
        <v>11</v>
      </c>
      <c r="B492">
        <v>0</v>
      </c>
      <c r="C492">
        <v>355</v>
      </c>
    </row>
    <row r="493" spans="1:3" x14ac:dyDescent="0.25">
      <c r="A493">
        <v>11</v>
      </c>
      <c r="B493">
        <v>0</v>
      </c>
      <c r="C493">
        <v>355</v>
      </c>
    </row>
    <row r="494" spans="1:3" x14ac:dyDescent="0.25">
      <c r="A494">
        <v>11</v>
      </c>
      <c r="B494">
        <v>0</v>
      </c>
      <c r="C494">
        <v>355</v>
      </c>
    </row>
    <row r="495" spans="1:3" x14ac:dyDescent="0.25">
      <c r="A495">
        <v>12</v>
      </c>
      <c r="B495">
        <v>0</v>
      </c>
      <c r="C495">
        <v>355</v>
      </c>
    </row>
    <row r="496" spans="1:3" x14ac:dyDescent="0.25">
      <c r="A496">
        <v>12</v>
      </c>
      <c r="B496">
        <v>0</v>
      </c>
      <c r="C496">
        <v>355</v>
      </c>
    </row>
    <row r="497" spans="1:3" x14ac:dyDescent="0.25">
      <c r="A497">
        <v>11</v>
      </c>
      <c r="B497">
        <v>0</v>
      </c>
      <c r="C497">
        <v>355</v>
      </c>
    </row>
    <row r="498" spans="1:3" x14ac:dyDescent="0.25">
      <c r="A498">
        <v>12</v>
      </c>
      <c r="B498">
        <v>0</v>
      </c>
      <c r="C498">
        <v>355</v>
      </c>
    </row>
    <row r="499" spans="1:3" x14ac:dyDescent="0.25">
      <c r="A499">
        <v>15</v>
      </c>
      <c r="B499">
        <v>0</v>
      </c>
      <c r="C499">
        <v>355</v>
      </c>
    </row>
    <row r="500" spans="1:3" x14ac:dyDescent="0.25">
      <c r="A500">
        <v>12</v>
      </c>
      <c r="B500">
        <v>0</v>
      </c>
      <c r="C500">
        <v>352</v>
      </c>
    </row>
    <row r="501" spans="1:3" x14ac:dyDescent="0.25">
      <c r="A501">
        <v>12</v>
      </c>
      <c r="B501">
        <v>0</v>
      </c>
      <c r="C501">
        <v>352</v>
      </c>
    </row>
    <row r="502" spans="1:3" x14ac:dyDescent="0.25">
      <c r="A502">
        <v>11</v>
      </c>
      <c r="B502">
        <v>0</v>
      </c>
      <c r="C502">
        <v>352</v>
      </c>
    </row>
    <row r="503" spans="1:3" x14ac:dyDescent="0.25">
      <c r="A503">
        <v>12</v>
      </c>
      <c r="B503">
        <v>0</v>
      </c>
      <c r="C503">
        <v>352</v>
      </c>
    </row>
    <row r="504" spans="1:3" x14ac:dyDescent="0.25">
      <c r="A504">
        <v>11</v>
      </c>
      <c r="B504">
        <v>0</v>
      </c>
      <c r="C504">
        <v>352</v>
      </c>
    </row>
    <row r="505" spans="1:3" x14ac:dyDescent="0.25">
      <c r="A505">
        <v>11</v>
      </c>
      <c r="B505">
        <v>0</v>
      </c>
      <c r="C505">
        <v>352</v>
      </c>
    </row>
    <row r="506" spans="1:3" x14ac:dyDescent="0.25">
      <c r="A506">
        <v>12</v>
      </c>
      <c r="B506">
        <v>0</v>
      </c>
      <c r="C506">
        <v>352</v>
      </c>
    </row>
    <row r="507" spans="1:3" x14ac:dyDescent="0.25">
      <c r="A507">
        <v>12</v>
      </c>
      <c r="B507">
        <v>0</v>
      </c>
      <c r="C507">
        <v>352</v>
      </c>
    </row>
    <row r="508" spans="1:3" x14ac:dyDescent="0.25">
      <c r="A508">
        <v>12</v>
      </c>
      <c r="B508">
        <v>0</v>
      </c>
      <c r="C508">
        <v>336</v>
      </c>
    </row>
    <row r="509" spans="1:3" x14ac:dyDescent="0.25">
      <c r="A509">
        <v>12</v>
      </c>
      <c r="B509">
        <v>0</v>
      </c>
      <c r="C509">
        <v>336</v>
      </c>
    </row>
    <row r="510" spans="1:3" x14ac:dyDescent="0.25">
      <c r="A510">
        <v>11</v>
      </c>
      <c r="B510">
        <v>0</v>
      </c>
      <c r="C510">
        <v>336</v>
      </c>
    </row>
    <row r="511" spans="1:3" x14ac:dyDescent="0.25">
      <c r="A511">
        <v>12</v>
      </c>
      <c r="B511">
        <v>0</v>
      </c>
      <c r="C511">
        <v>336</v>
      </c>
    </row>
    <row r="512" spans="1:3" x14ac:dyDescent="0.25">
      <c r="A512">
        <v>11</v>
      </c>
      <c r="B512">
        <v>0</v>
      </c>
      <c r="C512">
        <v>336</v>
      </c>
    </row>
    <row r="513" spans="1:3" x14ac:dyDescent="0.25">
      <c r="A513">
        <v>17</v>
      </c>
      <c r="B513">
        <v>0</v>
      </c>
      <c r="C513">
        <v>336</v>
      </c>
    </row>
    <row r="514" spans="1:3" x14ac:dyDescent="0.25">
      <c r="A514">
        <v>15</v>
      </c>
      <c r="B514">
        <v>0</v>
      </c>
      <c r="C514">
        <v>336</v>
      </c>
    </row>
    <row r="515" spans="1:3" x14ac:dyDescent="0.25">
      <c r="A515">
        <v>12</v>
      </c>
      <c r="B515">
        <v>0</v>
      </c>
      <c r="C515">
        <v>336</v>
      </c>
    </row>
    <row r="516" spans="1:3" x14ac:dyDescent="0.25">
      <c r="A516">
        <v>12</v>
      </c>
      <c r="B516">
        <v>0</v>
      </c>
      <c r="C516">
        <v>341</v>
      </c>
    </row>
    <row r="517" spans="1:3" x14ac:dyDescent="0.25">
      <c r="A517">
        <v>11</v>
      </c>
      <c r="B517">
        <v>0</v>
      </c>
      <c r="C517">
        <v>341</v>
      </c>
    </row>
    <row r="518" spans="1:3" x14ac:dyDescent="0.25">
      <c r="A518">
        <v>12</v>
      </c>
      <c r="B518">
        <v>0</v>
      </c>
      <c r="C518">
        <v>341</v>
      </c>
    </row>
    <row r="519" spans="1:3" x14ac:dyDescent="0.25">
      <c r="A519">
        <v>15</v>
      </c>
      <c r="B519">
        <v>0</v>
      </c>
      <c r="C519">
        <v>341</v>
      </c>
    </row>
    <row r="520" spans="1:3" x14ac:dyDescent="0.25">
      <c r="A520">
        <v>11</v>
      </c>
      <c r="B520">
        <v>0</v>
      </c>
      <c r="C520">
        <v>341</v>
      </c>
    </row>
    <row r="521" spans="1:3" x14ac:dyDescent="0.25">
      <c r="A521">
        <v>12</v>
      </c>
      <c r="B521">
        <v>0</v>
      </c>
      <c r="C521">
        <v>341</v>
      </c>
    </row>
    <row r="522" spans="1:3" x14ac:dyDescent="0.25">
      <c r="A522">
        <v>13</v>
      </c>
      <c r="B522">
        <v>0</v>
      </c>
      <c r="C522">
        <v>341</v>
      </c>
    </row>
    <row r="523" spans="1:3" x14ac:dyDescent="0.25">
      <c r="A523">
        <v>13</v>
      </c>
      <c r="B523">
        <v>0</v>
      </c>
      <c r="C523">
        <v>311</v>
      </c>
    </row>
    <row r="524" spans="1:3" x14ac:dyDescent="0.25">
      <c r="A524">
        <v>12</v>
      </c>
      <c r="B524">
        <v>0</v>
      </c>
      <c r="C524">
        <v>311</v>
      </c>
    </row>
    <row r="525" spans="1:3" x14ac:dyDescent="0.25">
      <c r="A525">
        <v>11</v>
      </c>
      <c r="B525">
        <v>0</v>
      </c>
      <c r="C525">
        <v>311</v>
      </c>
    </row>
    <row r="526" spans="1:3" x14ac:dyDescent="0.25">
      <c r="A526">
        <v>11</v>
      </c>
      <c r="B526">
        <v>0</v>
      </c>
      <c r="C526">
        <v>311</v>
      </c>
    </row>
    <row r="527" spans="1:3" x14ac:dyDescent="0.25">
      <c r="A527">
        <v>11</v>
      </c>
      <c r="B527">
        <v>0</v>
      </c>
      <c r="C527">
        <v>311</v>
      </c>
    </row>
    <row r="528" spans="1:3" x14ac:dyDescent="0.25">
      <c r="A528">
        <v>16</v>
      </c>
      <c r="B528">
        <v>0</v>
      </c>
      <c r="C528">
        <v>311</v>
      </c>
    </row>
    <row r="529" spans="1:3" x14ac:dyDescent="0.25">
      <c r="A529">
        <v>12</v>
      </c>
      <c r="B529">
        <v>0</v>
      </c>
      <c r="C529">
        <v>311</v>
      </c>
    </row>
    <row r="530" spans="1:3" x14ac:dyDescent="0.25">
      <c r="A530">
        <v>12</v>
      </c>
      <c r="B530">
        <v>0</v>
      </c>
      <c r="C530">
        <v>311</v>
      </c>
    </row>
    <row r="531" spans="1:3" x14ac:dyDescent="0.25">
      <c r="A531">
        <v>11</v>
      </c>
      <c r="B531">
        <v>0</v>
      </c>
      <c r="C531">
        <v>358</v>
      </c>
    </row>
    <row r="532" spans="1:3" x14ac:dyDescent="0.25">
      <c r="A532">
        <v>12</v>
      </c>
      <c r="B532">
        <v>0</v>
      </c>
      <c r="C532">
        <v>358</v>
      </c>
    </row>
    <row r="533" spans="1:3" x14ac:dyDescent="0.25">
      <c r="A533">
        <v>12</v>
      </c>
      <c r="B533">
        <v>0</v>
      </c>
      <c r="C533">
        <v>358</v>
      </c>
    </row>
    <row r="534" spans="1:3" x14ac:dyDescent="0.25">
      <c r="A534">
        <v>12</v>
      </c>
      <c r="B534">
        <v>0</v>
      </c>
      <c r="C534">
        <v>358</v>
      </c>
    </row>
    <row r="535" spans="1:3" x14ac:dyDescent="0.25">
      <c r="A535">
        <v>11</v>
      </c>
      <c r="B535">
        <v>0</v>
      </c>
      <c r="C535">
        <v>358</v>
      </c>
    </row>
    <row r="536" spans="1:3" x14ac:dyDescent="0.25">
      <c r="A536">
        <v>12</v>
      </c>
      <c r="B536">
        <v>0</v>
      </c>
      <c r="C536">
        <v>358</v>
      </c>
    </row>
    <row r="537" spans="1:3" x14ac:dyDescent="0.25">
      <c r="A537">
        <v>12</v>
      </c>
      <c r="B537">
        <v>0</v>
      </c>
      <c r="C537">
        <v>358</v>
      </c>
    </row>
    <row r="538" spans="1:3" x14ac:dyDescent="0.25">
      <c r="A538">
        <v>11</v>
      </c>
      <c r="B538">
        <v>0</v>
      </c>
      <c r="C538">
        <v>358</v>
      </c>
    </row>
    <row r="539" spans="1:3" x14ac:dyDescent="0.25">
      <c r="A539">
        <v>12</v>
      </c>
      <c r="B539">
        <v>0</v>
      </c>
      <c r="C539">
        <v>356</v>
      </c>
    </row>
    <row r="540" spans="1:3" x14ac:dyDescent="0.25">
      <c r="A540">
        <v>12</v>
      </c>
      <c r="B540">
        <v>0</v>
      </c>
      <c r="C540">
        <v>356</v>
      </c>
    </row>
    <row r="541" spans="1:3" x14ac:dyDescent="0.25">
      <c r="A541">
        <v>12</v>
      </c>
      <c r="B541">
        <v>0</v>
      </c>
      <c r="C541">
        <v>356</v>
      </c>
    </row>
    <row r="542" spans="1:3" x14ac:dyDescent="0.25">
      <c r="A542">
        <v>12</v>
      </c>
      <c r="B542">
        <v>0</v>
      </c>
      <c r="C542">
        <v>356</v>
      </c>
    </row>
    <row r="543" spans="1:3" x14ac:dyDescent="0.25">
      <c r="A543">
        <v>18</v>
      </c>
      <c r="B543">
        <v>0</v>
      </c>
      <c r="C543">
        <v>356</v>
      </c>
    </row>
    <row r="544" spans="1:3" x14ac:dyDescent="0.25">
      <c r="A544">
        <v>14</v>
      </c>
      <c r="B544">
        <v>0</v>
      </c>
      <c r="C544">
        <v>356</v>
      </c>
    </row>
    <row r="545" spans="1:3" x14ac:dyDescent="0.25">
      <c r="A545">
        <v>14</v>
      </c>
      <c r="B545">
        <v>0</v>
      </c>
      <c r="C545">
        <v>356</v>
      </c>
    </row>
    <row r="546" spans="1:3" x14ac:dyDescent="0.25">
      <c r="A546">
        <v>12</v>
      </c>
      <c r="B546">
        <v>0</v>
      </c>
      <c r="C546">
        <v>356</v>
      </c>
    </row>
    <row r="547" spans="1:3" x14ac:dyDescent="0.25">
      <c r="A547">
        <v>11</v>
      </c>
      <c r="B547">
        <v>0</v>
      </c>
      <c r="C547">
        <v>337</v>
      </c>
    </row>
    <row r="548" spans="1:3" x14ac:dyDescent="0.25">
      <c r="A548">
        <v>12</v>
      </c>
      <c r="B548">
        <v>0</v>
      </c>
      <c r="C548">
        <v>337</v>
      </c>
    </row>
    <row r="549" spans="1:3" x14ac:dyDescent="0.25">
      <c r="A549">
        <v>12</v>
      </c>
      <c r="B549">
        <v>0</v>
      </c>
      <c r="C549">
        <v>337</v>
      </c>
    </row>
    <row r="550" spans="1:3" x14ac:dyDescent="0.25">
      <c r="A550">
        <v>12</v>
      </c>
      <c r="B550">
        <v>0</v>
      </c>
      <c r="C550">
        <v>337</v>
      </c>
    </row>
    <row r="551" spans="1:3" x14ac:dyDescent="0.25">
      <c r="A551">
        <v>12</v>
      </c>
      <c r="B551">
        <v>0</v>
      </c>
      <c r="C551">
        <v>337</v>
      </c>
    </row>
    <row r="552" spans="1:3" x14ac:dyDescent="0.25">
      <c r="A552">
        <v>12</v>
      </c>
      <c r="B552">
        <v>0</v>
      </c>
      <c r="C552">
        <v>337</v>
      </c>
    </row>
    <row r="553" spans="1:3" x14ac:dyDescent="0.25">
      <c r="A553">
        <v>12</v>
      </c>
      <c r="B553">
        <v>0</v>
      </c>
      <c r="C553">
        <v>337</v>
      </c>
    </row>
    <row r="554" spans="1:3" x14ac:dyDescent="0.25">
      <c r="A554">
        <v>12</v>
      </c>
      <c r="B554">
        <v>0</v>
      </c>
      <c r="C554">
        <v>337</v>
      </c>
    </row>
    <row r="555" spans="1:3" x14ac:dyDescent="0.25">
      <c r="A555">
        <v>12</v>
      </c>
      <c r="B555">
        <v>0</v>
      </c>
      <c r="C555">
        <v>315</v>
      </c>
    </row>
    <row r="556" spans="1:3" x14ac:dyDescent="0.25">
      <c r="A556">
        <v>12</v>
      </c>
      <c r="B556">
        <v>0</v>
      </c>
      <c r="C556">
        <v>315</v>
      </c>
    </row>
    <row r="557" spans="1:3" x14ac:dyDescent="0.25">
      <c r="A557">
        <v>14</v>
      </c>
      <c r="B557">
        <v>0</v>
      </c>
      <c r="C557">
        <v>315</v>
      </c>
    </row>
    <row r="558" spans="1:3" x14ac:dyDescent="0.25">
      <c r="A558">
        <v>13</v>
      </c>
      <c r="B558">
        <v>0</v>
      </c>
      <c r="C558">
        <v>315</v>
      </c>
    </row>
    <row r="559" spans="1:3" x14ac:dyDescent="0.25">
      <c r="A559">
        <v>15</v>
      </c>
      <c r="B559">
        <v>0</v>
      </c>
      <c r="C559">
        <v>315</v>
      </c>
    </row>
    <row r="560" spans="1:3" x14ac:dyDescent="0.25">
      <c r="A560">
        <v>11</v>
      </c>
      <c r="B560">
        <v>0</v>
      </c>
      <c r="C560">
        <v>315</v>
      </c>
    </row>
    <row r="561" spans="1:3" x14ac:dyDescent="0.25">
      <c r="A561">
        <v>12</v>
      </c>
      <c r="B561">
        <v>0</v>
      </c>
      <c r="C561">
        <v>315</v>
      </c>
    </row>
    <row r="562" spans="1:3" x14ac:dyDescent="0.25">
      <c r="A562">
        <v>12</v>
      </c>
      <c r="B562">
        <v>0</v>
      </c>
      <c r="C562">
        <v>315</v>
      </c>
    </row>
    <row r="563" spans="1:3" x14ac:dyDescent="0.25">
      <c r="A563">
        <v>13</v>
      </c>
      <c r="B563">
        <v>0</v>
      </c>
      <c r="C563">
        <v>336</v>
      </c>
    </row>
    <row r="564" spans="1:3" x14ac:dyDescent="0.25">
      <c r="A564">
        <v>12</v>
      </c>
      <c r="B564">
        <v>0</v>
      </c>
      <c r="C564">
        <v>336</v>
      </c>
    </row>
    <row r="565" spans="1:3" x14ac:dyDescent="0.25">
      <c r="A565">
        <v>12</v>
      </c>
      <c r="B565">
        <v>0</v>
      </c>
      <c r="C565">
        <v>336</v>
      </c>
    </row>
    <row r="566" spans="1:3" x14ac:dyDescent="0.25">
      <c r="A566">
        <v>12</v>
      </c>
      <c r="B566">
        <v>0</v>
      </c>
      <c r="C566">
        <v>336</v>
      </c>
    </row>
    <row r="567" spans="1:3" x14ac:dyDescent="0.25">
      <c r="A567">
        <v>11</v>
      </c>
      <c r="B567">
        <v>0</v>
      </c>
      <c r="C567">
        <v>336</v>
      </c>
    </row>
    <row r="568" spans="1:3" x14ac:dyDescent="0.25">
      <c r="A568">
        <v>12</v>
      </c>
      <c r="B568">
        <v>0</v>
      </c>
      <c r="C568">
        <v>336</v>
      </c>
    </row>
    <row r="569" spans="1:3" x14ac:dyDescent="0.25">
      <c r="A569">
        <v>13</v>
      </c>
      <c r="B569">
        <v>0</v>
      </c>
      <c r="C569">
        <v>336</v>
      </c>
    </row>
    <row r="570" spans="1:3" x14ac:dyDescent="0.25">
      <c r="A570">
        <v>12</v>
      </c>
      <c r="B570">
        <v>0</v>
      </c>
      <c r="C570">
        <v>336</v>
      </c>
    </row>
    <row r="571" spans="1:3" x14ac:dyDescent="0.25">
      <c r="A571">
        <v>13</v>
      </c>
      <c r="B571">
        <v>0</v>
      </c>
      <c r="C571">
        <v>283</v>
      </c>
    </row>
    <row r="572" spans="1:3" x14ac:dyDescent="0.25">
      <c r="A572">
        <v>12</v>
      </c>
      <c r="B572">
        <v>0</v>
      </c>
      <c r="C572">
        <v>283</v>
      </c>
    </row>
    <row r="573" spans="1:3" x14ac:dyDescent="0.25">
      <c r="A573">
        <v>12</v>
      </c>
      <c r="B573">
        <v>0</v>
      </c>
      <c r="C573">
        <v>283</v>
      </c>
    </row>
    <row r="574" spans="1:3" x14ac:dyDescent="0.25">
      <c r="A574">
        <v>10</v>
      </c>
      <c r="B574">
        <v>0</v>
      </c>
      <c r="C574">
        <v>283</v>
      </c>
    </row>
    <row r="575" spans="1:3" x14ac:dyDescent="0.25">
      <c r="A575">
        <v>15</v>
      </c>
      <c r="B575">
        <v>0</v>
      </c>
      <c r="C575">
        <v>283</v>
      </c>
    </row>
    <row r="576" spans="1:3" x14ac:dyDescent="0.25">
      <c r="A576">
        <v>11</v>
      </c>
      <c r="B576">
        <v>0</v>
      </c>
      <c r="C576">
        <v>283</v>
      </c>
    </row>
    <row r="577" spans="1:3" x14ac:dyDescent="0.25">
      <c r="A577">
        <v>14</v>
      </c>
      <c r="B577">
        <v>0</v>
      </c>
      <c r="C577">
        <v>283</v>
      </c>
    </row>
    <row r="578" spans="1:3" x14ac:dyDescent="0.25">
      <c r="A578">
        <v>12</v>
      </c>
      <c r="B578">
        <v>0</v>
      </c>
      <c r="C578">
        <v>283</v>
      </c>
    </row>
    <row r="579" spans="1:3" x14ac:dyDescent="0.25">
      <c r="A579">
        <v>14</v>
      </c>
      <c r="B579">
        <v>0</v>
      </c>
      <c r="C579">
        <v>313</v>
      </c>
    </row>
    <row r="580" spans="1:3" x14ac:dyDescent="0.25">
      <c r="A580">
        <v>12</v>
      </c>
      <c r="B580">
        <v>0</v>
      </c>
      <c r="C580">
        <v>313</v>
      </c>
    </row>
    <row r="581" spans="1:3" x14ac:dyDescent="0.25">
      <c r="A581">
        <v>13</v>
      </c>
      <c r="B581">
        <v>0</v>
      </c>
      <c r="C581">
        <v>313</v>
      </c>
    </row>
    <row r="582" spans="1:3" x14ac:dyDescent="0.25">
      <c r="A582">
        <v>13</v>
      </c>
      <c r="B582">
        <v>0</v>
      </c>
      <c r="C582">
        <v>313</v>
      </c>
    </row>
    <row r="583" spans="1:3" x14ac:dyDescent="0.25">
      <c r="A583">
        <v>16</v>
      </c>
      <c r="B583">
        <v>0</v>
      </c>
      <c r="C583">
        <v>313</v>
      </c>
    </row>
    <row r="584" spans="1:3" x14ac:dyDescent="0.25">
      <c r="A584">
        <v>11</v>
      </c>
      <c r="B584">
        <v>0</v>
      </c>
      <c r="C584">
        <v>313</v>
      </c>
    </row>
    <row r="585" spans="1:3" x14ac:dyDescent="0.25">
      <c r="A585">
        <v>14</v>
      </c>
      <c r="B585">
        <v>0</v>
      </c>
      <c r="C585">
        <v>313</v>
      </c>
    </row>
    <row r="586" spans="1:3" x14ac:dyDescent="0.25">
      <c r="A586">
        <v>15</v>
      </c>
      <c r="B586">
        <v>0</v>
      </c>
      <c r="C586">
        <v>313</v>
      </c>
    </row>
    <row r="587" spans="1:3" x14ac:dyDescent="0.25">
      <c r="A587">
        <v>12</v>
      </c>
      <c r="B587">
        <v>0</v>
      </c>
      <c r="C587">
        <v>322</v>
      </c>
    </row>
    <row r="588" spans="1:3" x14ac:dyDescent="0.25">
      <c r="A588">
        <v>15</v>
      </c>
      <c r="B588">
        <v>0</v>
      </c>
      <c r="C588">
        <v>322</v>
      </c>
    </row>
    <row r="589" spans="1:3" x14ac:dyDescent="0.25">
      <c r="A589">
        <v>12</v>
      </c>
      <c r="B589">
        <v>0</v>
      </c>
      <c r="C589">
        <v>322</v>
      </c>
    </row>
    <row r="590" spans="1:3" x14ac:dyDescent="0.25">
      <c r="A590">
        <v>12</v>
      </c>
      <c r="B590">
        <v>0</v>
      </c>
      <c r="C590">
        <v>322</v>
      </c>
    </row>
    <row r="591" spans="1:3" x14ac:dyDescent="0.25">
      <c r="A591">
        <v>13</v>
      </c>
      <c r="B591">
        <v>0</v>
      </c>
      <c r="C591">
        <v>322</v>
      </c>
    </row>
    <row r="592" spans="1:3" x14ac:dyDescent="0.25">
      <c r="A592">
        <v>11</v>
      </c>
      <c r="B592">
        <v>0</v>
      </c>
      <c r="C592">
        <v>322</v>
      </c>
    </row>
    <row r="593" spans="1:3" x14ac:dyDescent="0.25">
      <c r="A593">
        <v>12</v>
      </c>
      <c r="B593">
        <v>0</v>
      </c>
      <c r="C593">
        <v>322</v>
      </c>
    </row>
    <row r="594" spans="1:3" x14ac:dyDescent="0.25">
      <c r="A594">
        <v>12</v>
      </c>
      <c r="B594">
        <v>0</v>
      </c>
      <c r="C594">
        <v>322</v>
      </c>
    </row>
    <row r="595" spans="1:3" x14ac:dyDescent="0.25">
      <c r="A595">
        <v>12</v>
      </c>
      <c r="B595">
        <v>0</v>
      </c>
      <c r="C595">
        <v>330</v>
      </c>
    </row>
    <row r="596" spans="1:3" x14ac:dyDescent="0.25">
      <c r="A596">
        <v>14</v>
      </c>
      <c r="B596">
        <v>0</v>
      </c>
      <c r="C596">
        <v>330</v>
      </c>
    </row>
    <row r="597" spans="1:3" x14ac:dyDescent="0.25">
      <c r="A597">
        <v>12</v>
      </c>
      <c r="B597">
        <v>0</v>
      </c>
      <c r="C597">
        <v>330</v>
      </c>
    </row>
    <row r="598" spans="1:3" x14ac:dyDescent="0.25">
      <c r="A598">
        <v>14</v>
      </c>
      <c r="B598">
        <v>0</v>
      </c>
      <c r="C598">
        <v>330</v>
      </c>
    </row>
    <row r="599" spans="1:3" x14ac:dyDescent="0.25">
      <c r="A599">
        <v>12</v>
      </c>
      <c r="B599">
        <v>0</v>
      </c>
      <c r="C599">
        <v>330</v>
      </c>
    </row>
    <row r="600" spans="1:3" x14ac:dyDescent="0.25">
      <c r="A600">
        <v>12</v>
      </c>
      <c r="B600">
        <v>0</v>
      </c>
      <c r="C600">
        <v>330</v>
      </c>
    </row>
    <row r="601" spans="1:3" x14ac:dyDescent="0.25">
      <c r="A601">
        <v>14</v>
      </c>
      <c r="B601">
        <v>0</v>
      </c>
      <c r="C601">
        <v>330</v>
      </c>
    </row>
    <row r="602" spans="1:3" x14ac:dyDescent="0.25">
      <c r="A602">
        <v>12</v>
      </c>
      <c r="B602">
        <v>0</v>
      </c>
      <c r="C602">
        <v>330</v>
      </c>
    </row>
    <row r="603" spans="1:3" x14ac:dyDescent="0.25">
      <c r="A603">
        <v>12</v>
      </c>
      <c r="B603">
        <v>0</v>
      </c>
      <c r="C603">
        <v>363</v>
      </c>
    </row>
    <row r="604" spans="1:3" x14ac:dyDescent="0.25">
      <c r="A604">
        <v>16</v>
      </c>
      <c r="B604">
        <v>0</v>
      </c>
      <c r="C604">
        <v>363</v>
      </c>
    </row>
    <row r="605" spans="1:3" x14ac:dyDescent="0.25">
      <c r="A605">
        <v>16</v>
      </c>
      <c r="B605">
        <v>0</v>
      </c>
      <c r="C605">
        <v>363</v>
      </c>
    </row>
    <row r="606" spans="1:3" x14ac:dyDescent="0.25">
      <c r="A606">
        <v>15</v>
      </c>
      <c r="B606">
        <v>0</v>
      </c>
      <c r="C606">
        <v>363</v>
      </c>
    </row>
    <row r="607" spans="1:3" x14ac:dyDescent="0.25">
      <c r="A607">
        <v>14</v>
      </c>
      <c r="B607">
        <v>0</v>
      </c>
      <c r="C607">
        <v>363</v>
      </c>
    </row>
    <row r="608" spans="1:3" x14ac:dyDescent="0.25">
      <c r="A608">
        <v>12</v>
      </c>
      <c r="B608">
        <v>0</v>
      </c>
      <c r="C608">
        <v>363</v>
      </c>
    </row>
    <row r="609" spans="1:3" x14ac:dyDescent="0.25">
      <c r="A609">
        <v>15</v>
      </c>
      <c r="B609">
        <v>0</v>
      </c>
      <c r="C609">
        <v>363</v>
      </c>
    </row>
    <row r="610" spans="1:3" x14ac:dyDescent="0.25">
      <c r="A610">
        <v>12</v>
      </c>
      <c r="B610">
        <v>0</v>
      </c>
      <c r="C610">
        <v>471</v>
      </c>
    </row>
    <row r="611" spans="1:3" x14ac:dyDescent="0.25">
      <c r="A611">
        <v>12</v>
      </c>
      <c r="B611">
        <v>0</v>
      </c>
      <c r="C611">
        <v>471</v>
      </c>
    </row>
    <row r="612" spans="1:3" x14ac:dyDescent="0.25">
      <c r="A612">
        <v>16</v>
      </c>
      <c r="B612">
        <v>0</v>
      </c>
      <c r="C612">
        <v>471</v>
      </c>
    </row>
    <row r="613" spans="1:3" x14ac:dyDescent="0.25">
      <c r="A613">
        <v>11</v>
      </c>
      <c r="B613">
        <v>0</v>
      </c>
      <c r="C613">
        <v>471</v>
      </c>
    </row>
    <row r="614" spans="1:3" x14ac:dyDescent="0.25">
      <c r="A614">
        <v>14</v>
      </c>
      <c r="B614">
        <v>0</v>
      </c>
      <c r="C614">
        <v>471</v>
      </c>
    </row>
    <row r="615" spans="1:3" x14ac:dyDescent="0.25">
      <c r="A615">
        <v>17</v>
      </c>
      <c r="B615">
        <v>0</v>
      </c>
      <c r="C615">
        <v>471</v>
      </c>
    </row>
    <row r="616" spans="1:3" x14ac:dyDescent="0.25">
      <c r="A616">
        <v>11</v>
      </c>
      <c r="B616">
        <v>0</v>
      </c>
      <c r="C616">
        <v>471</v>
      </c>
    </row>
    <row r="617" spans="1:3" x14ac:dyDescent="0.25">
      <c r="A617">
        <v>13</v>
      </c>
      <c r="B617">
        <v>0</v>
      </c>
      <c r="C617">
        <v>471</v>
      </c>
    </row>
    <row r="618" spans="1:3" x14ac:dyDescent="0.25">
      <c r="A618">
        <v>14</v>
      </c>
      <c r="B618">
        <v>0</v>
      </c>
      <c r="C618">
        <v>376</v>
      </c>
    </row>
    <row r="619" spans="1:3" x14ac:dyDescent="0.25">
      <c r="A619">
        <v>11</v>
      </c>
      <c r="B619">
        <v>0</v>
      </c>
      <c r="C619">
        <v>376</v>
      </c>
    </row>
    <row r="620" spans="1:3" x14ac:dyDescent="0.25">
      <c r="A620">
        <v>13</v>
      </c>
      <c r="B620">
        <v>0</v>
      </c>
      <c r="C620">
        <v>376</v>
      </c>
    </row>
    <row r="621" spans="1:3" x14ac:dyDescent="0.25">
      <c r="A621">
        <v>12</v>
      </c>
      <c r="B621">
        <v>0</v>
      </c>
      <c r="C621">
        <v>376</v>
      </c>
    </row>
    <row r="622" spans="1:3" x14ac:dyDescent="0.25">
      <c r="A622">
        <v>11</v>
      </c>
      <c r="B622">
        <v>0</v>
      </c>
      <c r="C622">
        <v>376</v>
      </c>
    </row>
    <row r="623" spans="1:3" x14ac:dyDescent="0.25">
      <c r="A623">
        <v>12</v>
      </c>
      <c r="B623">
        <v>0</v>
      </c>
      <c r="C623">
        <v>376</v>
      </c>
    </row>
    <row r="624" spans="1:3" x14ac:dyDescent="0.25">
      <c r="A624">
        <v>12</v>
      </c>
      <c r="B624">
        <v>0</v>
      </c>
      <c r="C624">
        <v>376</v>
      </c>
    </row>
    <row r="625" spans="1:3" x14ac:dyDescent="0.25">
      <c r="A625">
        <v>12</v>
      </c>
      <c r="B625">
        <v>0</v>
      </c>
      <c r="C625">
        <v>376</v>
      </c>
    </row>
    <row r="626" spans="1:3" x14ac:dyDescent="0.25">
      <c r="A626">
        <v>11</v>
      </c>
      <c r="B626">
        <v>0</v>
      </c>
      <c r="C626">
        <v>387</v>
      </c>
    </row>
    <row r="627" spans="1:3" x14ac:dyDescent="0.25">
      <c r="A627">
        <v>13</v>
      </c>
      <c r="B627">
        <v>0</v>
      </c>
      <c r="C627">
        <v>387</v>
      </c>
    </row>
    <row r="628" spans="1:3" x14ac:dyDescent="0.25">
      <c r="A628">
        <v>12</v>
      </c>
      <c r="B628">
        <v>0</v>
      </c>
      <c r="C628">
        <v>387</v>
      </c>
    </row>
    <row r="629" spans="1:3" x14ac:dyDescent="0.25">
      <c r="A629">
        <v>11</v>
      </c>
      <c r="B629">
        <v>0</v>
      </c>
      <c r="C629">
        <v>387</v>
      </c>
    </row>
    <row r="630" spans="1:3" x14ac:dyDescent="0.25">
      <c r="A630">
        <v>11</v>
      </c>
      <c r="B630">
        <v>0</v>
      </c>
      <c r="C630">
        <v>387</v>
      </c>
    </row>
    <row r="631" spans="1:3" x14ac:dyDescent="0.25">
      <c r="A631">
        <v>14</v>
      </c>
      <c r="B631">
        <v>0</v>
      </c>
      <c r="C631">
        <v>387</v>
      </c>
    </row>
    <row r="632" spans="1:3" x14ac:dyDescent="0.25">
      <c r="A632">
        <v>11</v>
      </c>
      <c r="B632">
        <v>0</v>
      </c>
      <c r="C632">
        <v>387</v>
      </c>
    </row>
    <row r="633" spans="1:3" x14ac:dyDescent="0.25">
      <c r="A633">
        <v>12</v>
      </c>
      <c r="B633">
        <v>0</v>
      </c>
      <c r="C633">
        <v>387</v>
      </c>
    </row>
    <row r="634" spans="1:3" x14ac:dyDescent="0.25">
      <c r="A634">
        <v>11</v>
      </c>
      <c r="B634">
        <v>0</v>
      </c>
      <c r="C634">
        <v>426</v>
      </c>
    </row>
    <row r="635" spans="1:3" x14ac:dyDescent="0.25">
      <c r="A635">
        <v>11</v>
      </c>
      <c r="B635">
        <v>0</v>
      </c>
      <c r="C635">
        <v>426</v>
      </c>
    </row>
    <row r="636" spans="1:3" x14ac:dyDescent="0.25">
      <c r="A636">
        <v>14</v>
      </c>
      <c r="B636">
        <v>0</v>
      </c>
      <c r="C636">
        <v>426</v>
      </c>
    </row>
    <row r="637" spans="1:3" x14ac:dyDescent="0.25">
      <c r="A637">
        <v>12</v>
      </c>
      <c r="B637">
        <v>0</v>
      </c>
      <c r="C637">
        <v>426</v>
      </c>
    </row>
    <row r="638" spans="1:3" x14ac:dyDescent="0.25">
      <c r="A638">
        <v>11</v>
      </c>
      <c r="B638">
        <v>0</v>
      </c>
      <c r="C638">
        <v>426</v>
      </c>
    </row>
    <row r="639" spans="1:3" x14ac:dyDescent="0.25">
      <c r="A639">
        <v>12</v>
      </c>
      <c r="B639">
        <v>0</v>
      </c>
      <c r="C639">
        <v>426</v>
      </c>
    </row>
    <row r="640" spans="1:3" x14ac:dyDescent="0.25">
      <c r="A640">
        <v>12</v>
      </c>
      <c r="B640">
        <v>0</v>
      </c>
      <c r="C640">
        <v>426</v>
      </c>
    </row>
    <row r="641" spans="1:3" x14ac:dyDescent="0.25">
      <c r="A641">
        <v>12</v>
      </c>
      <c r="B641">
        <v>0</v>
      </c>
      <c r="C641">
        <v>426</v>
      </c>
    </row>
    <row r="642" spans="1:3" x14ac:dyDescent="0.25">
      <c r="A642">
        <v>12</v>
      </c>
      <c r="B642">
        <v>0</v>
      </c>
      <c r="C642">
        <v>332</v>
      </c>
    </row>
    <row r="643" spans="1:3" x14ac:dyDescent="0.25">
      <c r="A643">
        <v>13</v>
      </c>
      <c r="B643">
        <v>0</v>
      </c>
      <c r="C643">
        <v>332</v>
      </c>
    </row>
    <row r="644" spans="1:3" x14ac:dyDescent="0.25">
      <c r="A644">
        <v>11</v>
      </c>
      <c r="B644">
        <v>0</v>
      </c>
      <c r="C644">
        <v>332</v>
      </c>
    </row>
    <row r="645" spans="1:3" x14ac:dyDescent="0.25">
      <c r="A645">
        <v>11</v>
      </c>
      <c r="B645">
        <v>0</v>
      </c>
      <c r="C645">
        <v>332</v>
      </c>
    </row>
    <row r="646" spans="1:3" x14ac:dyDescent="0.25">
      <c r="A646">
        <v>12</v>
      </c>
      <c r="B646">
        <v>0</v>
      </c>
      <c r="C646">
        <v>332</v>
      </c>
    </row>
    <row r="647" spans="1:3" x14ac:dyDescent="0.25">
      <c r="A647">
        <v>12</v>
      </c>
      <c r="B647">
        <v>0</v>
      </c>
      <c r="C647">
        <v>332</v>
      </c>
    </row>
    <row r="648" spans="1:3" x14ac:dyDescent="0.25">
      <c r="A648">
        <v>12</v>
      </c>
      <c r="B648">
        <v>0</v>
      </c>
      <c r="C648">
        <v>332</v>
      </c>
    </row>
    <row r="649" spans="1:3" x14ac:dyDescent="0.25">
      <c r="A649">
        <v>11</v>
      </c>
      <c r="B649">
        <v>0</v>
      </c>
      <c r="C649">
        <v>332</v>
      </c>
    </row>
    <row r="650" spans="1:3" x14ac:dyDescent="0.25">
      <c r="A650">
        <v>12</v>
      </c>
      <c r="B650">
        <v>0</v>
      </c>
      <c r="C650">
        <v>342</v>
      </c>
    </row>
    <row r="651" spans="1:3" x14ac:dyDescent="0.25">
      <c r="A651">
        <v>18</v>
      </c>
      <c r="B651">
        <v>0</v>
      </c>
      <c r="C651">
        <v>342</v>
      </c>
    </row>
    <row r="652" spans="1:3" x14ac:dyDescent="0.25">
      <c r="A652">
        <v>12</v>
      </c>
      <c r="B652">
        <v>0</v>
      </c>
      <c r="C652">
        <v>342</v>
      </c>
    </row>
    <row r="653" spans="1:3" x14ac:dyDescent="0.25">
      <c r="A653">
        <v>13</v>
      </c>
      <c r="B653">
        <v>0</v>
      </c>
      <c r="C653">
        <v>342</v>
      </c>
    </row>
    <row r="654" spans="1:3" x14ac:dyDescent="0.25">
      <c r="A654">
        <v>12</v>
      </c>
      <c r="B654">
        <v>0</v>
      </c>
      <c r="C654">
        <v>342</v>
      </c>
    </row>
    <row r="655" spans="1:3" x14ac:dyDescent="0.25">
      <c r="A655">
        <v>12</v>
      </c>
      <c r="B655">
        <v>0</v>
      </c>
      <c r="C655">
        <v>342</v>
      </c>
    </row>
    <row r="656" spans="1:3" x14ac:dyDescent="0.25">
      <c r="A656">
        <v>13</v>
      </c>
      <c r="B656">
        <v>0</v>
      </c>
      <c r="C656">
        <v>342</v>
      </c>
    </row>
    <row r="657" spans="1:3" x14ac:dyDescent="0.25">
      <c r="A657">
        <v>12</v>
      </c>
      <c r="B657">
        <v>0</v>
      </c>
      <c r="C657">
        <v>342</v>
      </c>
    </row>
    <row r="658" spans="1:3" x14ac:dyDescent="0.25">
      <c r="A658">
        <v>12</v>
      </c>
      <c r="B658">
        <v>0</v>
      </c>
      <c r="C658">
        <v>343</v>
      </c>
    </row>
    <row r="659" spans="1:3" x14ac:dyDescent="0.25">
      <c r="A659">
        <v>12</v>
      </c>
      <c r="B659">
        <v>0</v>
      </c>
      <c r="C659">
        <v>343</v>
      </c>
    </row>
    <row r="660" spans="1:3" x14ac:dyDescent="0.25">
      <c r="A660">
        <v>12</v>
      </c>
      <c r="B660">
        <v>0</v>
      </c>
      <c r="C660">
        <v>343</v>
      </c>
    </row>
    <row r="661" spans="1:3" x14ac:dyDescent="0.25">
      <c r="A661">
        <v>11</v>
      </c>
      <c r="B661">
        <v>0</v>
      </c>
      <c r="C661">
        <v>343</v>
      </c>
    </row>
    <row r="662" spans="1:3" x14ac:dyDescent="0.25">
      <c r="A662">
        <v>13</v>
      </c>
      <c r="B662">
        <v>0</v>
      </c>
      <c r="C662">
        <v>343</v>
      </c>
    </row>
    <row r="663" spans="1:3" x14ac:dyDescent="0.25">
      <c r="A663">
        <v>13</v>
      </c>
      <c r="B663">
        <v>0</v>
      </c>
      <c r="C663">
        <v>343</v>
      </c>
    </row>
    <row r="664" spans="1:3" x14ac:dyDescent="0.25">
      <c r="A664">
        <v>15</v>
      </c>
      <c r="B664">
        <v>0</v>
      </c>
      <c r="C664">
        <v>343</v>
      </c>
    </row>
    <row r="665" spans="1:3" x14ac:dyDescent="0.25">
      <c r="A665">
        <v>12</v>
      </c>
      <c r="B665">
        <v>0</v>
      </c>
      <c r="C665">
        <v>343</v>
      </c>
    </row>
    <row r="666" spans="1:3" x14ac:dyDescent="0.25">
      <c r="A666">
        <v>14</v>
      </c>
      <c r="B666">
        <v>0</v>
      </c>
      <c r="C666">
        <v>371</v>
      </c>
    </row>
    <row r="667" spans="1:3" x14ac:dyDescent="0.25">
      <c r="A667">
        <v>11</v>
      </c>
      <c r="B667">
        <v>0</v>
      </c>
      <c r="C667">
        <v>371</v>
      </c>
    </row>
    <row r="668" spans="1:3" x14ac:dyDescent="0.25">
      <c r="A668">
        <v>12</v>
      </c>
      <c r="B668">
        <v>0</v>
      </c>
      <c r="C668">
        <v>371</v>
      </c>
    </row>
    <row r="669" spans="1:3" x14ac:dyDescent="0.25">
      <c r="A669">
        <v>13</v>
      </c>
      <c r="B669">
        <v>0</v>
      </c>
      <c r="C669">
        <v>371</v>
      </c>
    </row>
    <row r="670" spans="1:3" x14ac:dyDescent="0.25">
      <c r="A670">
        <v>12</v>
      </c>
      <c r="B670">
        <v>0</v>
      </c>
      <c r="C670">
        <v>371</v>
      </c>
    </row>
    <row r="671" spans="1:3" x14ac:dyDescent="0.25">
      <c r="A671">
        <v>13</v>
      </c>
      <c r="B671">
        <v>0</v>
      </c>
      <c r="C671">
        <v>371</v>
      </c>
    </row>
    <row r="672" spans="1:3" x14ac:dyDescent="0.25">
      <c r="A672">
        <v>12</v>
      </c>
      <c r="B672">
        <v>0</v>
      </c>
      <c r="C672">
        <v>371</v>
      </c>
    </row>
    <row r="673" spans="1:3" x14ac:dyDescent="0.25">
      <c r="A673">
        <v>12</v>
      </c>
      <c r="B673">
        <v>0</v>
      </c>
      <c r="C673">
        <v>371</v>
      </c>
    </row>
    <row r="674" spans="1:3" x14ac:dyDescent="0.25">
      <c r="A674">
        <v>12</v>
      </c>
      <c r="B674">
        <v>0</v>
      </c>
      <c r="C674">
        <v>359</v>
      </c>
    </row>
    <row r="675" spans="1:3" x14ac:dyDescent="0.25">
      <c r="A675">
        <v>12</v>
      </c>
      <c r="B675">
        <v>0</v>
      </c>
      <c r="C675">
        <v>359</v>
      </c>
    </row>
    <row r="676" spans="1:3" x14ac:dyDescent="0.25">
      <c r="A676">
        <v>11</v>
      </c>
      <c r="B676">
        <v>0</v>
      </c>
      <c r="C676">
        <v>359</v>
      </c>
    </row>
    <row r="677" spans="1:3" x14ac:dyDescent="0.25">
      <c r="A677">
        <v>12</v>
      </c>
      <c r="B677">
        <v>0</v>
      </c>
      <c r="C677">
        <v>359</v>
      </c>
    </row>
    <row r="678" spans="1:3" x14ac:dyDescent="0.25">
      <c r="A678">
        <v>13</v>
      </c>
      <c r="B678">
        <v>0</v>
      </c>
      <c r="C678">
        <v>359</v>
      </c>
    </row>
    <row r="679" spans="1:3" x14ac:dyDescent="0.25">
      <c r="A679">
        <v>13</v>
      </c>
      <c r="B679">
        <v>0</v>
      </c>
      <c r="C679">
        <v>359</v>
      </c>
    </row>
    <row r="680" spans="1:3" x14ac:dyDescent="0.25">
      <c r="A680">
        <v>11</v>
      </c>
      <c r="B680">
        <v>0</v>
      </c>
      <c r="C680">
        <v>359</v>
      </c>
    </row>
    <row r="681" spans="1:3" x14ac:dyDescent="0.25">
      <c r="A681">
        <v>13</v>
      </c>
      <c r="B681">
        <v>0</v>
      </c>
      <c r="C681">
        <v>359</v>
      </c>
    </row>
    <row r="682" spans="1:3" x14ac:dyDescent="0.25">
      <c r="A682">
        <v>12</v>
      </c>
      <c r="B682">
        <v>0</v>
      </c>
      <c r="C682">
        <v>422</v>
      </c>
    </row>
    <row r="683" spans="1:3" x14ac:dyDescent="0.25">
      <c r="A683">
        <v>11</v>
      </c>
      <c r="B683">
        <v>0</v>
      </c>
      <c r="C683">
        <v>422</v>
      </c>
    </row>
    <row r="684" spans="1:3" x14ac:dyDescent="0.25">
      <c r="A684">
        <v>13</v>
      </c>
      <c r="B684">
        <v>0</v>
      </c>
      <c r="C684">
        <v>422</v>
      </c>
    </row>
    <row r="685" spans="1:3" x14ac:dyDescent="0.25">
      <c r="A685">
        <v>12</v>
      </c>
      <c r="B685">
        <v>0</v>
      </c>
      <c r="C685">
        <v>422</v>
      </c>
    </row>
    <row r="686" spans="1:3" x14ac:dyDescent="0.25">
      <c r="A686">
        <v>15</v>
      </c>
      <c r="B686">
        <v>0</v>
      </c>
      <c r="C686">
        <v>422</v>
      </c>
    </row>
    <row r="687" spans="1:3" x14ac:dyDescent="0.25">
      <c r="A687">
        <v>11</v>
      </c>
      <c r="B687">
        <v>0</v>
      </c>
      <c r="C687">
        <v>422</v>
      </c>
    </row>
    <row r="688" spans="1:3" x14ac:dyDescent="0.25">
      <c r="A688">
        <v>13</v>
      </c>
      <c r="B688">
        <v>0</v>
      </c>
      <c r="C688">
        <v>422</v>
      </c>
    </row>
    <row r="689" spans="1:3" x14ac:dyDescent="0.25">
      <c r="A689">
        <v>15</v>
      </c>
      <c r="B689">
        <v>0</v>
      </c>
      <c r="C689">
        <v>422</v>
      </c>
    </row>
    <row r="690" spans="1:3" x14ac:dyDescent="0.25">
      <c r="A690">
        <v>11</v>
      </c>
      <c r="B690">
        <v>0</v>
      </c>
      <c r="C690">
        <v>308</v>
      </c>
    </row>
    <row r="691" spans="1:3" x14ac:dyDescent="0.25">
      <c r="A691">
        <v>13</v>
      </c>
      <c r="B691">
        <v>0</v>
      </c>
      <c r="C691">
        <v>308</v>
      </c>
    </row>
    <row r="692" spans="1:3" x14ac:dyDescent="0.25">
      <c r="A692">
        <v>13</v>
      </c>
      <c r="B692">
        <v>0</v>
      </c>
      <c r="C692">
        <v>308</v>
      </c>
    </row>
    <row r="693" spans="1:3" x14ac:dyDescent="0.25">
      <c r="A693">
        <v>11</v>
      </c>
      <c r="B693">
        <v>0</v>
      </c>
      <c r="C693">
        <v>308</v>
      </c>
    </row>
    <row r="694" spans="1:3" x14ac:dyDescent="0.25">
      <c r="A694">
        <v>12</v>
      </c>
      <c r="B694">
        <v>0</v>
      </c>
      <c r="C694">
        <v>308</v>
      </c>
    </row>
    <row r="695" spans="1:3" x14ac:dyDescent="0.25">
      <c r="A695">
        <v>12</v>
      </c>
      <c r="B695">
        <v>0</v>
      </c>
      <c r="C695">
        <v>308</v>
      </c>
    </row>
    <row r="696" spans="1:3" x14ac:dyDescent="0.25">
      <c r="A696">
        <v>11</v>
      </c>
      <c r="B696">
        <v>0</v>
      </c>
      <c r="C696">
        <v>308</v>
      </c>
    </row>
    <row r="697" spans="1:3" x14ac:dyDescent="0.25">
      <c r="A697">
        <v>12</v>
      </c>
      <c r="B697">
        <v>0</v>
      </c>
      <c r="C697">
        <v>308</v>
      </c>
    </row>
    <row r="698" spans="1:3" x14ac:dyDescent="0.25">
      <c r="A698">
        <v>11</v>
      </c>
      <c r="B698">
        <v>0</v>
      </c>
      <c r="C698">
        <v>349</v>
      </c>
    </row>
    <row r="699" spans="1:3" x14ac:dyDescent="0.25">
      <c r="A699">
        <v>12</v>
      </c>
      <c r="B699">
        <v>0</v>
      </c>
      <c r="C699">
        <v>349</v>
      </c>
    </row>
    <row r="700" spans="1:3" x14ac:dyDescent="0.25">
      <c r="A700">
        <v>12</v>
      </c>
      <c r="B700">
        <v>0</v>
      </c>
      <c r="C700">
        <v>349</v>
      </c>
    </row>
    <row r="701" spans="1:3" x14ac:dyDescent="0.25">
      <c r="A701">
        <v>11</v>
      </c>
      <c r="B701">
        <v>0</v>
      </c>
      <c r="C701">
        <v>349</v>
      </c>
    </row>
    <row r="702" spans="1:3" x14ac:dyDescent="0.25">
      <c r="A702">
        <v>11</v>
      </c>
      <c r="B702">
        <v>0</v>
      </c>
      <c r="C702">
        <v>349</v>
      </c>
    </row>
    <row r="703" spans="1:3" x14ac:dyDescent="0.25">
      <c r="A703">
        <v>12</v>
      </c>
      <c r="B703">
        <v>0</v>
      </c>
      <c r="C703">
        <v>349</v>
      </c>
    </row>
    <row r="704" spans="1:3" x14ac:dyDescent="0.25">
      <c r="A704">
        <v>11</v>
      </c>
      <c r="B704">
        <v>0</v>
      </c>
      <c r="C704">
        <v>349</v>
      </c>
    </row>
    <row r="705" spans="1:3" x14ac:dyDescent="0.25">
      <c r="A705">
        <v>12</v>
      </c>
      <c r="B705">
        <v>0</v>
      </c>
      <c r="C705">
        <v>349</v>
      </c>
    </row>
    <row r="706" spans="1:3" x14ac:dyDescent="0.25">
      <c r="A706">
        <v>13</v>
      </c>
      <c r="B706">
        <v>0</v>
      </c>
      <c r="C706">
        <v>317</v>
      </c>
    </row>
    <row r="707" spans="1:3" x14ac:dyDescent="0.25">
      <c r="A707">
        <v>16</v>
      </c>
      <c r="B707">
        <v>0</v>
      </c>
      <c r="C707">
        <v>317</v>
      </c>
    </row>
    <row r="708" spans="1:3" x14ac:dyDescent="0.25">
      <c r="A708">
        <v>11</v>
      </c>
      <c r="B708">
        <v>0</v>
      </c>
      <c r="C708">
        <v>317</v>
      </c>
    </row>
    <row r="709" spans="1:3" x14ac:dyDescent="0.25">
      <c r="A709">
        <v>13</v>
      </c>
      <c r="B709">
        <v>0</v>
      </c>
      <c r="C709">
        <v>317</v>
      </c>
    </row>
    <row r="710" spans="1:3" x14ac:dyDescent="0.25">
      <c r="A710">
        <v>12</v>
      </c>
      <c r="B710">
        <v>0</v>
      </c>
      <c r="C710">
        <v>317</v>
      </c>
    </row>
    <row r="711" spans="1:3" x14ac:dyDescent="0.25">
      <c r="A711">
        <v>12</v>
      </c>
      <c r="B711">
        <v>0</v>
      </c>
      <c r="C711">
        <v>317</v>
      </c>
    </row>
    <row r="712" spans="1:3" x14ac:dyDescent="0.25">
      <c r="A712">
        <v>12</v>
      </c>
      <c r="B712">
        <v>0</v>
      </c>
      <c r="C712">
        <v>317</v>
      </c>
    </row>
    <row r="713" spans="1:3" x14ac:dyDescent="0.25">
      <c r="A713">
        <v>11</v>
      </c>
      <c r="B713">
        <v>0</v>
      </c>
      <c r="C713">
        <v>317</v>
      </c>
    </row>
    <row r="714" spans="1:3" x14ac:dyDescent="0.25">
      <c r="A714">
        <v>12</v>
      </c>
      <c r="B714">
        <v>0</v>
      </c>
      <c r="C714">
        <v>348</v>
      </c>
    </row>
    <row r="715" spans="1:3" x14ac:dyDescent="0.25">
      <c r="A715">
        <v>12</v>
      </c>
      <c r="B715">
        <v>0</v>
      </c>
      <c r="C715">
        <v>348</v>
      </c>
    </row>
    <row r="716" spans="1:3" x14ac:dyDescent="0.25">
      <c r="A716">
        <v>16</v>
      </c>
      <c r="B716">
        <v>0</v>
      </c>
      <c r="C716">
        <v>348</v>
      </c>
    </row>
    <row r="717" spans="1:3" x14ac:dyDescent="0.25">
      <c r="A717">
        <v>12</v>
      </c>
      <c r="B717">
        <v>0</v>
      </c>
      <c r="C717">
        <v>348</v>
      </c>
    </row>
    <row r="718" spans="1:3" x14ac:dyDescent="0.25">
      <c r="A718">
        <v>11</v>
      </c>
      <c r="B718">
        <v>0</v>
      </c>
      <c r="C718">
        <v>348</v>
      </c>
    </row>
    <row r="719" spans="1:3" x14ac:dyDescent="0.25">
      <c r="A719">
        <v>14</v>
      </c>
      <c r="B719">
        <v>0</v>
      </c>
      <c r="C719">
        <v>348</v>
      </c>
    </row>
    <row r="720" spans="1:3" x14ac:dyDescent="0.25">
      <c r="A720">
        <v>11</v>
      </c>
      <c r="B720">
        <v>0</v>
      </c>
      <c r="C720">
        <v>348</v>
      </c>
    </row>
    <row r="721" spans="1:3" x14ac:dyDescent="0.25">
      <c r="A721">
        <v>12</v>
      </c>
      <c r="B721">
        <v>0</v>
      </c>
      <c r="C721">
        <v>348</v>
      </c>
    </row>
    <row r="722" spans="1:3" x14ac:dyDescent="0.25">
      <c r="A722">
        <v>13</v>
      </c>
      <c r="B722">
        <v>0</v>
      </c>
      <c r="C722">
        <v>328</v>
      </c>
    </row>
    <row r="723" spans="1:3" x14ac:dyDescent="0.25">
      <c r="A723">
        <v>12</v>
      </c>
      <c r="B723">
        <v>0</v>
      </c>
      <c r="C723">
        <v>328</v>
      </c>
    </row>
    <row r="724" spans="1:3" x14ac:dyDescent="0.25">
      <c r="A724">
        <v>11</v>
      </c>
      <c r="B724">
        <v>0</v>
      </c>
      <c r="C724">
        <v>328</v>
      </c>
    </row>
    <row r="725" spans="1:3" x14ac:dyDescent="0.25">
      <c r="A725">
        <v>12</v>
      </c>
      <c r="B725">
        <v>0</v>
      </c>
      <c r="C725">
        <v>328</v>
      </c>
    </row>
    <row r="726" spans="1:3" x14ac:dyDescent="0.25">
      <c r="A726">
        <v>13</v>
      </c>
      <c r="B726">
        <v>0</v>
      </c>
      <c r="C726">
        <v>328</v>
      </c>
    </row>
    <row r="727" spans="1:3" x14ac:dyDescent="0.25">
      <c r="A727">
        <v>11</v>
      </c>
      <c r="B727">
        <v>0</v>
      </c>
      <c r="C727">
        <v>328</v>
      </c>
    </row>
    <row r="728" spans="1:3" x14ac:dyDescent="0.25">
      <c r="A728">
        <v>12</v>
      </c>
      <c r="B728">
        <v>0</v>
      </c>
      <c r="C728">
        <v>328</v>
      </c>
    </row>
    <row r="729" spans="1:3" x14ac:dyDescent="0.25">
      <c r="A729">
        <v>12</v>
      </c>
      <c r="B729">
        <v>0</v>
      </c>
      <c r="C729">
        <v>373</v>
      </c>
    </row>
    <row r="730" spans="1:3" x14ac:dyDescent="0.25">
      <c r="A730">
        <v>12</v>
      </c>
      <c r="B730">
        <v>0</v>
      </c>
      <c r="C730">
        <v>373</v>
      </c>
    </row>
    <row r="731" spans="1:3" x14ac:dyDescent="0.25">
      <c r="A731">
        <v>12</v>
      </c>
      <c r="B731">
        <v>0</v>
      </c>
      <c r="C731">
        <v>373</v>
      </c>
    </row>
    <row r="732" spans="1:3" x14ac:dyDescent="0.25">
      <c r="A732">
        <v>11</v>
      </c>
      <c r="B732">
        <v>0</v>
      </c>
      <c r="C732">
        <v>373</v>
      </c>
    </row>
    <row r="733" spans="1:3" x14ac:dyDescent="0.25">
      <c r="A733">
        <v>18</v>
      </c>
      <c r="B733">
        <v>0</v>
      </c>
      <c r="C733">
        <v>373</v>
      </c>
    </row>
    <row r="734" spans="1:3" x14ac:dyDescent="0.25">
      <c r="A734">
        <v>12</v>
      </c>
      <c r="B734">
        <v>0</v>
      </c>
      <c r="C734">
        <v>373</v>
      </c>
    </row>
    <row r="735" spans="1:3" x14ac:dyDescent="0.25">
      <c r="A735">
        <v>11</v>
      </c>
      <c r="B735">
        <v>0</v>
      </c>
      <c r="C735">
        <v>373</v>
      </c>
    </row>
    <row r="736" spans="1:3" x14ac:dyDescent="0.25">
      <c r="A736">
        <v>12</v>
      </c>
      <c r="B736">
        <v>0</v>
      </c>
      <c r="C736">
        <v>373</v>
      </c>
    </row>
    <row r="737" spans="1:3" x14ac:dyDescent="0.25">
      <c r="A737">
        <v>12</v>
      </c>
      <c r="B737">
        <v>0</v>
      </c>
      <c r="C737">
        <v>412</v>
      </c>
    </row>
    <row r="738" spans="1:3" x14ac:dyDescent="0.25">
      <c r="A738">
        <v>14</v>
      </c>
      <c r="B738">
        <v>0</v>
      </c>
      <c r="C738">
        <v>412</v>
      </c>
    </row>
    <row r="739" spans="1:3" x14ac:dyDescent="0.25">
      <c r="A739">
        <v>13</v>
      </c>
      <c r="B739">
        <v>0</v>
      </c>
      <c r="C739">
        <v>412</v>
      </c>
    </row>
    <row r="740" spans="1:3" x14ac:dyDescent="0.25">
      <c r="A740">
        <v>12</v>
      </c>
      <c r="B740">
        <v>0</v>
      </c>
      <c r="C740">
        <v>412</v>
      </c>
    </row>
    <row r="741" spans="1:3" x14ac:dyDescent="0.25">
      <c r="A741">
        <v>12</v>
      </c>
      <c r="B741">
        <v>0</v>
      </c>
      <c r="C741">
        <v>412</v>
      </c>
    </row>
    <row r="742" spans="1:3" x14ac:dyDescent="0.25">
      <c r="A742">
        <v>12</v>
      </c>
      <c r="B742">
        <v>0</v>
      </c>
      <c r="C742">
        <v>412</v>
      </c>
    </row>
    <row r="743" spans="1:3" x14ac:dyDescent="0.25">
      <c r="A743">
        <v>12</v>
      </c>
      <c r="B743">
        <v>0</v>
      </c>
      <c r="C743">
        <v>412</v>
      </c>
    </row>
    <row r="744" spans="1:3" x14ac:dyDescent="0.25">
      <c r="A744">
        <v>12</v>
      </c>
      <c r="B744">
        <v>0</v>
      </c>
      <c r="C744">
        <v>412</v>
      </c>
    </row>
    <row r="745" spans="1:3" x14ac:dyDescent="0.25">
      <c r="A745">
        <v>14</v>
      </c>
      <c r="B745">
        <v>0</v>
      </c>
      <c r="C745">
        <v>357</v>
      </c>
    </row>
    <row r="746" spans="1:3" x14ac:dyDescent="0.25">
      <c r="A746">
        <v>13</v>
      </c>
      <c r="B746">
        <v>0</v>
      </c>
      <c r="C746">
        <v>357</v>
      </c>
    </row>
    <row r="747" spans="1:3" x14ac:dyDescent="0.25">
      <c r="A747">
        <v>11</v>
      </c>
      <c r="B747">
        <v>0</v>
      </c>
      <c r="C747">
        <v>357</v>
      </c>
    </row>
    <row r="748" spans="1:3" x14ac:dyDescent="0.25">
      <c r="A748">
        <v>12</v>
      </c>
      <c r="B748">
        <v>0</v>
      </c>
      <c r="C748">
        <v>357</v>
      </c>
    </row>
    <row r="749" spans="1:3" x14ac:dyDescent="0.25">
      <c r="A749">
        <v>17</v>
      </c>
      <c r="B749">
        <v>0</v>
      </c>
      <c r="C749">
        <v>357</v>
      </c>
    </row>
    <row r="750" spans="1:3" x14ac:dyDescent="0.25">
      <c r="A750">
        <v>14</v>
      </c>
      <c r="B750">
        <v>0</v>
      </c>
      <c r="C750">
        <v>357</v>
      </c>
    </row>
    <row r="751" spans="1:3" x14ac:dyDescent="0.25">
      <c r="A751">
        <v>12</v>
      </c>
      <c r="B751">
        <v>0</v>
      </c>
      <c r="C751">
        <v>357</v>
      </c>
    </row>
    <row r="752" spans="1:3" x14ac:dyDescent="0.25">
      <c r="A752">
        <v>12</v>
      </c>
      <c r="B752">
        <v>0</v>
      </c>
      <c r="C752">
        <v>357</v>
      </c>
    </row>
    <row r="753" spans="1:3" x14ac:dyDescent="0.25">
      <c r="A753">
        <v>12</v>
      </c>
      <c r="B753">
        <v>0</v>
      </c>
      <c r="C753">
        <v>354</v>
      </c>
    </row>
    <row r="754" spans="1:3" x14ac:dyDescent="0.25">
      <c r="A754">
        <v>13</v>
      </c>
      <c r="B754">
        <v>0</v>
      </c>
      <c r="C754">
        <v>354</v>
      </c>
    </row>
    <row r="755" spans="1:3" x14ac:dyDescent="0.25">
      <c r="A755">
        <v>13</v>
      </c>
      <c r="B755">
        <v>0</v>
      </c>
      <c r="C755">
        <v>354</v>
      </c>
    </row>
    <row r="756" spans="1:3" x14ac:dyDescent="0.25">
      <c r="A756">
        <v>12</v>
      </c>
      <c r="B756">
        <v>0</v>
      </c>
      <c r="C756">
        <v>354</v>
      </c>
    </row>
    <row r="757" spans="1:3" x14ac:dyDescent="0.25">
      <c r="A757">
        <v>13</v>
      </c>
      <c r="B757">
        <v>0</v>
      </c>
      <c r="C757">
        <v>354</v>
      </c>
    </row>
    <row r="758" spans="1:3" x14ac:dyDescent="0.25">
      <c r="A758">
        <v>12</v>
      </c>
      <c r="B758">
        <v>0</v>
      </c>
      <c r="C758">
        <v>354</v>
      </c>
    </row>
    <row r="759" spans="1:3" x14ac:dyDescent="0.25">
      <c r="A759">
        <v>12</v>
      </c>
      <c r="B759">
        <v>0</v>
      </c>
      <c r="C759">
        <v>354</v>
      </c>
    </row>
    <row r="760" spans="1:3" x14ac:dyDescent="0.25">
      <c r="A760">
        <v>12</v>
      </c>
      <c r="B760">
        <v>0</v>
      </c>
      <c r="C760">
        <v>354</v>
      </c>
    </row>
    <row r="761" spans="1:3" x14ac:dyDescent="0.25">
      <c r="A761">
        <v>14</v>
      </c>
      <c r="B761">
        <v>0</v>
      </c>
      <c r="C761">
        <v>374</v>
      </c>
    </row>
    <row r="762" spans="1:3" x14ac:dyDescent="0.25">
      <c r="A762">
        <v>12</v>
      </c>
      <c r="B762">
        <v>0</v>
      </c>
      <c r="C762">
        <v>374</v>
      </c>
    </row>
    <row r="763" spans="1:3" x14ac:dyDescent="0.25">
      <c r="A763">
        <v>12</v>
      </c>
      <c r="B763">
        <v>0</v>
      </c>
      <c r="C763">
        <v>374</v>
      </c>
    </row>
    <row r="764" spans="1:3" x14ac:dyDescent="0.25">
      <c r="A764">
        <v>14</v>
      </c>
      <c r="B764">
        <v>0</v>
      </c>
      <c r="C764">
        <v>374</v>
      </c>
    </row>
    <row r="765" spans="1:3" x14ac:dyDescent="0.25">
      <c r="A765">
        <v>11</v>
      </c>
      <c r="B765">
        <v>0</v>
      </c>
      <c r="C765">
        <v>374</v>
      </c>
    </row>
    <row r="766" spans="1:3" x14ac:dyDescent="0.25">
      <c r="A766">
        <v>12</v>
      </c>
      <c r="B766">
        <v>0</v>
      </c>
      <c r="C766">
        <v>374</v>
      </c>
    </row>
    <row r="767" spans="1:3" x14ac:dyDescent="0.25">
      <c r="A767">
        <v>11</v>
      </c>
      <c r="B767">
        <v>0</v>
      </c>
      <c r="C767">
        <v>374</v>
      </c>
    </row>
    <row r="768" spans="1:3" x14ac:dyDescent="0.25">
      <c r="A768">
        <v>15</v>
      </c>
      <c r="B768">
        <v>0</v>
      </c>
      <c r="C768">
        <v>374</v>
      </c>
    </row>
    <row r="769" spans="1:3" x14ac:dyDescent="0.25">
      <c r="A769">
        <v>13</v>
      </c>
      <c r="B769">
        <v>0</v>
      </c>
      <c r="C769">
        <v>370</v>
      </c>
    </row>
    <row r="770" spans="1:3" x14ac:dyDescent="0.25">
      <c r="A770">
        <v>12</v>
      </c>
      <c r="B770">
        <v>0</v>
      </c>
      <c r="C770">
        <v>370</v>
      </c>
    </row>
    <row r="771" spans="1:3" x14ac:dyDescent="0.25">
      <c r="A771">
        <v>12</v>
      </c>
      <c r="B771">
        <v>0</v>
      </c>
      <c r="C771">
        <v>370</v>
      </c>
    </row>
    <row r="772" spans="1:3" x14ac:dyDescent="0.25">
      <c r="A772">
        <v>12</v>
      </c>
      <c r="B772">
        <v>0</v>
      </c>
      <c r="C772">
        <v>370</v>
      </c>
    </row>
    <row r="773" spans="1:3" x14ac:dyDescent="0.25">
      <c r="A773">
        <v>11</v>
      </c>
      <c r="B773">
        <v>0</v>
      </c>
      <c r="C773">
        <v>370</v>
      </c>
    </row>
    <row r="774" spans="1:3" x14ac:dyDescent="0.25">
      <c r="A774">
        <v>11</v>
      </c>
      <c r="B774">
        <v>0</v>
      </c>
      <c r="C774">
        <v>370</v>
      </c>
    </row>
    <row r="775" spans="1:3" x14ac:dyDescent="0.25">
      <c r="A775">
        <v>13</v>
      </c>
      <c r="B775">
        <v>0</v>
      </c>
      <c r="C775">
        <v>370</v>
      </c>
    </row>
    <row r="776" spans="1:3" x14ac:dyDescent="0.25">
      <c r="A776">
        <v>12</v>
      </c>
      <c r="B776">
        <v>0</v>
      </c>
      <c r="C776">
        <v>370</v>
      </c>
    </row>
    <row r="777" spans="1:3" x14ac:dyDescent="0.25">
      <c r="A777">
        <v>14</v>
      </c>
      <c r="B777">
        <v>0</v>
      </c>
      <c r="C777">
        <v>434</v>
      </c>
    </row>
    <row r="778" spans="1:3" x14ac:dyDescent="0.25">
      <c r="A778">
        <v>14</v>
      </c>
      <c r="B778">
        <v>0</v>
      </c>
      <c r="C778">
        <v>434</v>
      </c>
    </row>
    <row r="779" spans="1:3" x14ac:dyDescent="0.25">
      <c r="A779">
        <v>11</v>
      </c>
      <c r="B779">
        <v>0</v>
      </c>
      <c r="C779">
        <v>434</v>
      </c>
    </row>
    <row r="780" spans="1:3" x14ac:dyDescent="0.25">
      <c r="A780">
        <v>13</v>
      </c>
      <c r="B780">
        <v>0</v>
      </c>
      <c r="C780">
        <v>434</v>
      </c>
    </row>
    <row r="781" spans="1:3" x14ac:dyDescent="0.25">
      <c r="A781">
        <v>12</v>
      </c>
      <c r="B781">
        <v>0</v>
      </c>
      <c r="C781">
        <v>434</v>
      </c>
    </row>
    <row r="782" spans="1:3" x14ac:dyDescent="0.25">
      <c r="A782">
        <v>13</v>
      </c>
      <c r="B782">
        <v>0</v>
      </c>
      <c r="C782">
        <v>434</v>
      </c>
    </row>
    <row r="783" spans="1:3" x14ac:dyDescent="0.25">
      <c r="A783">
        <v>12</v>
      </c>
      <c r="B783">
        <v>0</v>
      </c>
      <c r="C783">
        <v>434</v>
      </c>
    </row>
    <row r="784" spans="1:3" x14ac:dyDescent="0.25">
      <c r="A784">
        <v>11</v>
      </c>
      <c r="B784">
        <v>0</v>
      </c>
      <c r="C784">
        <v>328</v>
      </c>
    </row>
    <row r="785" spans="1:3" x14ac:dyDescent="0.25">
      <c r="A785">
        <v>12</v>
      </c>
      <c r="B785">
        <v>0</v>
      </c>
      <c r="C785">
        <v>328</v>
      </c>
    </row>
    <row r="786" spans="1:3" x14ac:dyDescent="0.25">
      <c r="A786">
        <v>11</v>
      </c>
      <c r="B786">
        <v>0</v>
      </c>
      <c r="C786">
        <v>328</v>
      </c>
    </row>
    <row r="787" spans="1:3" x14ac:dyDescent="0.25">
      <c r="A787">
        <v>12</v>
      </c>
      <c r="B787">
        <v>0</v>
      </c>
      <c r="C787">
        <v>328</v>
      </c>
    </row>
    <row r="788" spans="1:3" x14ac:dyDescent="0.25">
      <c r="A788">
        <v>14</v>
      </c>
      <c r="B788">
        <v>0</v>
      </c>
      <c r="C788">
        <v>328</v>
      </c>
    </row>
    <row r="789" spans="1:3" x14ac:dyDescent="0.25">
      <c r="A789">
        <v>11</v>
      </c>
      <c r="B789">
        <v>0</v>
      </c>
      <c r="C789">
        <v>328</v>
      </c>
    </row>
    <row r="790" spans="1:3" x14ac:dyDescent="0.25">
      <c r="A790">
        <v>13</v>
      </c>
      <c r="B790">
        <v>0</v>
      </c>
      <c r="C790">
        <v>328</v>
      </c>
    </row>
    <row r="791" spans="1:3" x14ac:dyDescent="0.25">
      <c r="A791">
        <v>15</v>
      </c>
      <c r="B791">
        <v>0</v>
      </c>
      <c r="C791">
        <v>328</v>
      </c>
    </row>
    <row r="792" spans="1:3" x14ac:dyDescent="0.25">
      <c r="A792">
        <v>12</v>
      </c>
      <c r="B792">
        <v>0</v>
      </c>
      <c r="C792">
        <v>334</v>
      </c>
    </row>
    <row r="793" spans="1:3" x14ac:dyDescent="0.25">
      <c r="A793">
        <v>12</v>
      </c>
      <c r="B793">
        <v>0</v>
      </c>
      <c r="C793">
        <v>334</v>
      </c>
    </row>
    <row r="794" spans="1:3" x14ac:dyDescent="0.25">
      <c r="A794">
        <v>12</v>
      </c>
      <c r="B794">
        <v>0</v>
      </c>
      <c r="C794">
        <v>334</v>
      </c>
    </row>
    <row r="795" spans="1:3" x14ac:dyDescent="0.25">
      <c r="A795">
        <v>11</v>
      </c>
      <c r="B795">
        <v>0</v>
      </c>
      <c r="C795">
        <v>334</v>
      </c>
    </row>
    <row r="796" spans="1:3" x14ac:dyDescent="0.25">
      <c r="A796">
        <v>11</v>
      </c>
      <c r="B796">
        <v>0</v>
      </c>
      <c r="C796">
        <v>334</v>
      </c>
    </row>
    <row r="797" spans="1:3" x14ac:dyDescent="0.25">
      <c r="A797">
        <v>12</v>
      </c>
      <c r="B797">
        <v>0</v>
      </c>
      <c r="C797">
        <v>334</v>
      </c>
    </row>
    <row r="798" spans="1:3" x14ac:dyDescent="0.25">
      <c r="A798">
        <v>12</v>
      </c>
      <c r="B798">
        <v>0</v>
      </c>
      <c r="C798">
        <v>334</v>
      </c>
    </row>
    <row r="799" spans="1:3" x14ac:dyDescent="0.25">
      <c r="A799">
        <v>13</v>
      </c>
      <c r="B799">
        <v>0</v>
      </c>
      <c r="C799">
        <v>334</v>
      </c>
    </row>
    <row r="800" spans="1:3" x14ac:dyDescent="0.25">
      <c r="A800">
        <v>82</v>
      </c>
      <c r="B800">
        <v>0</v>
      </c>
      <c r="C800">
        <v>358</v>
      </c>
    </row>
    <row r="801" spans="1:3" x14ac:dyDescent="0.25">
      <c r="A801">
        <v>11</v>
      </c>
      <c r="B801">
        <v>0</v>
      </c>
      <c r="C801">
        <v>358</v>
      </c>
    </row>
    <row r="802" spans="1:3" x14ac:dyDescent="0.25">
      <c r="A802">
        <v>12</v>
      </c>
      <c r="B802">
        <v>0</v>
      </c>
      <c r="C802">
        <v>358</v>
      </c>
    </row>
    <row r="803" spans="1:3" x14ac:dyDescent="0.25">
      <c r="A803">
        <v>12</v>
      </c>
      <c r="B803">
        <v>0</v>
      </c>
      <c r="C803">
        <v>358</v>
      </c>
    </row>
    <row r="804" spans="1:3" x14ac:dyDescent="0.25">
      <c r="A804">
        <v>12</v>
      </c>
      <c r="B804">
        <v>0</v>
      </c>
      <c r="C804">
        <v>358</v>
      </c>
    </row>
    <row r="805" spans="1:3" x14ac:dyDescent="0.25">
      <c r="A805">
        <v>12</v>
      </c>
      <c r="B805">
        <v>0</v>
      </c>
      <c r="C805">
        <v>358</v>
      </c>
    </row>
    <row r="806" spans="1:3" x14ac:dyDescent="0.25">
      <c r="A806">
        <v>16</v>
      </c>
      <c r="B806">
        <v>0</v>
      </c>
      <c r="C806">
        <v>358</v>
      </c>
    </row>
    <row r="807" spans="1:3" x14ac:dyDescent="0.25">
      <c r="A807">
        <v>12</v>
      </c>
      <c r="B807">
        <v>0</v>
      </c>
      <c r="C807">
        <v>358</v>
      </c>
    </row>
    <row r="808" spans="1:3" x14ac:dyDescent="0.25">
      <c r="A808">
        <v>12</v>
      </c>
      <c r="B808">
        <v>0</v>
      </c>
      <c r="C808">
        <v>361</v>
      </c>
    </row>
    <row r="809" spans="1:3" x14ac:dyDescent="0.25">
      <c r="A809">
        <v>12</v>
      </c>
      <c r="B809">
        <v>0</v>
      </c>
      <c r="C809">
        <v>361</v>
      </c>
    </row>
    <row r="810" spans="1:3" x14ac:dyDescent="0.25">
      <c r="A810">
        <v>12</v>
      </c>
      <c r="B810">
        <v>0</v>
      </c>
      <c r="C810">
        <v>361</v>
      </c>
    </row>
    <row r="811" spans="1:3" x14ac:dyDescent="0.25">
      <c r="A811">
        <v>12</v>
      </c>
      <c r="B811">
        <v>0</v>
      </c>
      <c r="C811">
        <v>361</v>
      </c>
    </row>
    <row r="812" spans="1:3" x14ac:dyDescent="0.25">
      <c r="A812">
        <v>12</v>
      </c>
      <c r="B812">
        <v>0</v>
      </c>
      <c r="C812">
        <v>361</v>
      </c>
    </row>
    <row r="813" spans="1:3" x14ac:dyDescent="0.25">
      <c r="A813">
        <v>12</v>
      </c>
      <c r="B813">
        <v>0</v>
      </c>
      <c r="C813">
        <v>361</v>
      </c>
    </row>
    <row r="814" spans="1:3" x14ac:dyDescent="0.25">
      <c r="A814">
        <v>12</v>
      </c>
      <c r="B814">
        <v>0</v>
      </c>
      <c r="C814">
        <v>361</v>
      </c>
    </row>
    <row r="815" spans="1:3" x14ac:dyDescent="0.25">
      <c r="A815">
        <v>16</v>
      </c>
      <c r="B815">
        <v>0</v>
      </c>
      <c r="C815">
        <v>361</v>
      </c>
    </row>
    <row r="816" spans="1:3" x14ac:dyDescent="0.25">
      <c r="A816">
        <v>12</v>
      </c>
      <c r="B816">
        <v>0</v>
      </c>
      <c r="C816">
        <v>376</v>
      </c>
    </row>
    <row r="817" spans="1:3" x14ac:dyDescent="0.25">
      <c r="A817">
        <v>12</v>
      </c>
      <c r="B817">
        <v>0</v>
      </c>
      <c r="C817">
        <v>376</v>
      </c>
    </row>
    <row r="818" spans="1:3" x14ac:dyDescent="0.25">
      <c r="A818">
        <v>13</v>
      </c>
      <c r="B818">
        <v>0</v>
      </c>
      <c r="C818">
        <v>376</v>
      </c>
    </row>
    <row r="819" spans="1:3" x14ac:dyDescent="0.25">
      <c r="A819">
        <v>11</v>
      </c>
      <c r="B819">
        <v>0</v>
      </c>
      <c r="C819">
        <v>376</v>
      </c>
    </row>
    <row r="820" spans="1:3" x14ac:dyDescent="0.25">
      <c r="A820">
        <v>12</v>
      </c>
      <c r="B820">
        <v>0</v>
      </c>
      <c r="C820">
        <v>376</v>
      </c>
    </row>
    <row r="821" spans="1:3" x14ac:dyDescent="0.25">
      <c r="A821">
        <v>13</v>
      </c>
      <c r="B821">
        <v>0</v>
      </c>
      <c r="C821">
        <v>376</v>
      </c>
    </row>
    <row r="822" spans="1:3" x14ac:dyDescent="0.25">
      <c r="A822">
        <v>12</v>
      </c>
      <c r="B822">
        <v>0</v>
      </c>
      <c r="C822">
        <v>376</v>
      </c>
    </row>
    <row r="823" spans="1:3" x14ac:dyDescent="0.25">
      <c r="A823">
        <v>12</v>
      </c>
      <c r="B823">
        <v>0</v>
      </c>
      <c r="C823">
        <v>376</v>
      </c>
    </row>
    <row r="824" spans="1:3" x14ac:dyDescent="0.25">
      <c r="A824">
        <v>12</v>
      </c>
      <c r="B824">
        <v>0</v>
      </c>
      <c r="C824">
        <v>363</v>
      </c>
    </row>
    <row r="825" spans="1:3" x14ac:dyDescent="0.25">
      <c r="A825">
        <v>12</v>
      </c>
      <c r="B825">
        <v>0</v>
      </c>
      <c r="C825">
        <v>363</v>
      </c>
    </row>
    <row r="826" spans="1:3" x14ac:dyDescent="0.25">
      <c r="A826">
        <v>11</v>
      </c>
      <c r="B826">
        <v>0</v>
      </c>
      <c r="C826">
        <v>363</v>
      </c>
    </row>
    <row r="827" spans="1:3" x14ac:dyDescent="0.25">
      <c r="A827">
        <v>11</v>
      </c>
      <c r="B827">
        <v>0</v>
      </c>
      <c r="C827">
        <v>363</v>
      </c>
    </row>
    <row r="828" spans="1:3" x14ac:dyDescent="0.25">
      <c r="A828">
        <v>11</v>
      </c>
      <c r="B828">
        <v>0</v>
      </c>
      <c r="C828">
        <v>363</v>
      </c>
    </row>
    <row r="829" spans="1:3" x14ac:dyDescent="0.25">
      <c r="A829">
        <v>11</v>
      </c>
      <c r="B829">
        <v>0</v>
      </c>
      <c r="C829">
        <v>363</v>
      </c>
    </row>
    <row r="830" spans="1:3" x14ac:dyDescent="0.25">
      <c r="A830">
        <v>12</v>
      </c>
      <c r="B830">
        <v>0</v>
      </c>
      <c r="C830">
        <v>363</v>
      </c>
    </row>
    <row r="831" spans="1:3" x14ac:dyDescent="0.25">
      <c r="A831">
        <v>11</v>
      </c>
      <c r="B831">
        <v>0</v>
      </c>
      <c r="C831">
        <v>363</v>
      </c>
    </row>
    <row r="832" spans="1:3" x14ac:dyDescent="0.25">
      <c r="A832">
        <v>11</v>
      </c>
      <c r="B832">
        <v>0</v>
      </c>
      <c r="C832">
        <v>297</v>
      </c>
    </row>
    <row r="833" spans="1:3" x14ac:dyDescent="0.25">
      <c r="A833">
        <v>13</v>
      </c>
      <c r="B833">
        <v>0</v>
      </c>
      <c r="C833">
        <v>297</v>
      </c>
    </row>
    <row r="834" spans="1:3" x14ac:dyDescent="0.25">
      <c r="A834">
        <v>14</v>
      </c>
      <c r="B834">
        <v>0</v>
      </c>
      <c r="C834">
        <v>297</v>
      </c>
    </row>
    <row r="835" spans="1:3" x14ac:dyDescent="0.25">
      <c r="A835">
        <v>11</v>
      </c>
      <c r="B835">
        <v>0</v>
      </c>
      <c r="C835">
        <v>297</v>
      </c>
    </row>
    <row r="836" spans="1:3" x14ac:dyDescent="0.25">
      <c r="A836">
        <v>12</v>
      </c>
      <c r="B836">
        <v>0</v>
      </c>
      <c r="C836">
        <v>297</v>
      </c>
    </row>
    <row r="837" spans="1:3" x14ac:dyDescent="0.25">
      <c r="A837">
        <v>14</v>
      </c>
      <c r="B837">
        <v>0</v>
      </c>
      <c r="C837">
        <v>297</v>
      </c>
    </row>
    <row r="838" spans="1:3" x14ac:dyDescent="0.25">
      <c r="A838">
        <v>12</v>
      </c>
      <c r="B838">
        <v>0</v>
      </c>
      <c r="C838">
        <v>297</v>
      </c>
    </row>
    <row r="839" spans="1:3" x14ac:dyDescent="0.25">
      <c r="A839">
        <v>11</v>
      </c>
      <c r="B839">
        <v>0</v>
      </c>
      <c r="C839">
        <v>297</v>
      </c>
    </row>
    <row r="840" spans="1:3" x14ac:dyDescent="0.25">
      <c r="A840">
        <v>11</v>
      </c>
      <c r="B840">
        <v>0</v>
      </c>
      <c r="C840">
        <v>365</v>
      </c>
    </row>
    <row r="841" spans="1:3" x14ac:dyDescent="0.25">
      <c r="A841">
        <v>12</v>
      </c>
      <c r="B841">
        <v>0</v>
      </c>
      <c r="C841">
        <v>365</v>
      </c>
    </row>
    <row r="842" spans="1:3" x14ac:dyDescent="0.25">
      <c r="A842">
        <v>12</v>
      </c>
      <c r="B842">
        <v>0</v>
      </c>
      <c r="C842">
        <v>365</v>
      </c>
    </row>
    <row r="843" spans="1:3" x14ac:dyDescent="0.25">
      <c r="A843">
        <v>11</v>
      </c>
      <c r="B843">
        <v>0</v>
      </c>
      <c r="C843">
        <v>365</v>
      </c>
    </row>
    <row r="844" spans="1:3" x14ac:dyDescent="0.25">
      <c r="A844">
        <v>12</v>
      </c>
      <c r="B844">
        <v>0</v>
      </c>
      <c r="C844">
        <v>365</v>
      </c>
    </row>
    <row r="845" spans="1:3" x14ac:dyDescent="0.25">
      <c r="A845">
        <v>11</v>
      </c>
      <c r="B845">
        <v>0</v>
      </c>
      <c r="C845">
        <v>365</v>
      </c>
    </row>
    <row r="846" spans="1:3" x14ac:dyDescent="0.25">
      <c r="A846">
        <v>12</v>
      </c>
      <c r="B846">
        <v>0</v>
      </c>
      <c r="C846">
        <v>365</v>
      </c>
    </row>
    <row r="847" spans="1:3" x14ac:dyDescent="0.25">
      <c r="A847">
        <v>12</v>
      </c>
      <c r="B847">
        <v>0</v>
      </c>
      <c r="C847">
        <v>365</v>
      </c>
    </row>
    <row r="848" spans="1:3" x14ac:dyDescent="0.25">
      <c r="A848">
        <v>11</v>
      </c>
      <c r="B848">
        <v>0</v>
      </c>
      <c r="C848">
        <v>319</v>
      </c>
    </row>
    <row r="849" spans="1:3" x14ac:dyDescent="0.25">
      <c r="A849">
        <v>12</v>
      </c>
      <c r="B849">
        <v>0</v>
      </c>
      <c r="C849">
        <v>319</v>
      </c>
    </row>
    <row r="850" spans="1:3" x14ac:dyDescent="0.25">
      <c r="A850">
        <v>12</v>
      </c>
      <c r="B850">
        <v>0</v>
      </c>
      <c r="C850">
        <v>319</v>
      </c>
    </row>
    <row r="851" spans="1:3" x14ac:dyDescent="0.25">
      <c r="A851">
        <v>17</v>
      </c>
      <c r="B851">
        <v>0</v>
      </c>
      <c r="C851">
        <v>319</v>
      </c>
    </row>
    <row r="852" spans="1:3" x14ac:dyDescent="0.25">
      <c r="A852">
        <v>12</v>
      </c>
      <c r="B852">
        <v>0</v>
      </c>
      <c r="C852">
        <v>319</v>
      </c>
    </row>
    <row r="853" spans="1:3" x14ac:dyDescent="0.25">
      <c r="A853">
        <v>11</v>
      </c>
      <c r="B853">
        <v>0</v>
      </c>
      <c r="C853">
        <v>319</v>
      </c>
    </row>
    <row r="854" spans="1:3" x14ac:dyDescent="0.25">
      <c r="A854">
        <v>11</v>
      </c>
      <c r="B854">
        <v>0</v>
      </c>
      <c r="C854">
        <v>319</v>
      </c>
    </row>
    <row r="855" spans="1:3" x14ac:dyDescent="0.25">
      <c r="A855">
        <v>13</v>
      </c>
      <c r="B855">
        <v>0</v>
      </c>
      <c r="C855">
        <v>319</v>
      </c>
    </row>
    <row r="856" spans="1:3" x14ac:dyDescent="0.25">
      <c r="A856">
        <v>11</v>
      </c>
      <c r="B856">
        <v>0</v>
      </c>
      <c r="C856">
        <v>330</v>
      </c>
    </row>
    <row r="857" spans="1:3" x14ac:dyDescent="0.25">
      <c r="A857">
        <v>12</v>
      </c>
      <c r="B857">
        <v>0</v>
      </c>
      <c r="C857">
        <v>330</v>
      </c>
    </row>
    <row r="858" spans="1:3" x14ac:dyDescent="0.25">
      <c r="A858">
        <v>12</v>
      </c>
      <c r="B858">
        <v>0</v>
      </c>
      <c r="C858">
        <v>330</v>
      </c>
    </row>
    <row r="859" spans="1:3" x14ac:dyDescent="0.25">
      <c r="A859">
        <v>13</v>
      </c>
      <c r="B859">
        <v>0</v>
      </c>
      <c r="C859">
        <v>330</v>
      </c>
    </row>
    <row r="860" spans="1:3" x14ac:dyDescent="0.25">
      <c r="A860">
        <v>12</v>
      </c>
      <c r="B860">
        <v>0</v>
      </c>
      <c r="C860">
        <v>330</v>
      </c>
    </row>
    <row r="861" spans="1:3" x14ac:dyDescent="0.25">
      <c r="A861">
        <v>17</v>
      </c>
      <c r="B861">
        <v>0</v>
      </c>
      <c r="C861">
        <v>330</v>
      </c>
    </row>
    <row r="862" spans="1:3" x14ac:dyDescent="0.25">
      <c r="A862">
        <v>12</v>
      </c>
      <c r="B862">
        <v>0</v>
      </c>
      <c r="C862">
        <v>330</v>
      </c>
    </row>
    <row r="863" spans="1:3" x14ac:dyDescent="0.25">
      <c r="A863">
        <v>11</v>
      </c>
      <c r="B863">
        <v>0</v>
      </c>
      <c r="C863">
        <v>330</v>
      </c>
    </row>
    <row r="864" spans="1:3" x14ac:dyDescent="0.25">
      <c r="A864">
        <v>12</v>
      </c>
      <c r="B864">
        <v>0</v>
      </c>
      <c r="C864">
        <v>357</v>
      </c>
    </row>
    <row r="865" spans="1:3" x14ac:dyDescent="0.25">
      <c r="A865">
        <v>12</v>
      </c>
      <c r="B865">
        <v>0</v>
      </c>
      <c r="C865">
        <v>357</v>
      </c>
    </row>
    <row r="866" spans="1:3" x14ac:dyDescent="0.25">
      <c r="A866">
        <v>12</v>
      </c>
      <c r="B866">
        <v>0</v>
      </c>
      <c r="C866">
        <v>357</v>
      </c>
    </row>
    <row r="867" spans="1:3" x14ac:dyDescent="0.25">
      <c r="A867">
        <v>11</v>
      </c>
      <c r="B867">
        <v>0</v>
      </c>
      <c r="C867">
        <v>357</v>
      </c>
    </row>
    <row r="868" spans="1:3" x14ac:dyDescent="0.25">
      <c r="A868">
        <v>11</v>
      </c>
      <c r="B868">
        <v>0</v>
      </c>
      <c r="C868">
        <v>357</v>
      </c>
    </row>
    <row r="869" spans="1:3" x14ac:dyDescent="0.25">
      <c r="A869">
        <v>11</v>
      </c>
      <c r="B869">
        <v>0</v>
      </c>
      <c r="C869">
        <v>357</v>
      </c>
    </row>
    <row r="870" spans="1:3" x14ac:dyDescent="0.25">
      <c r="A870">
        <v>13</v>
      </c>
      <c r="B870">
        <v>0</v>
      </c>
      <c r="C870">
        <v>357</v>
      </c>
    </row>
    <row r="871" spans="1:3" x14ac:dyDescent="0.25">
      <c r="A871">
        <v>12</v>
      </c>
      <c r="B871">
        <v>0</v>
      </c>
      <c r="C871">
        <v>357</v>
      </c>
    </row>
    <row r="872" spans="1:3" x14ac:dyDescent="0.25">
      <c r="A872">
        <v>12</v>
      </c>
      <c r="B872">
        <v>0</v>
      </c>
      <c r="C872">
        <v>311</v>
      </c>
    </row>
    <row r="873" spans="1:3" x14ac:dyDescent="0.25">
      <c r="A873">
        <v>12</v>
      </c>
      <c r="B873">
        <v>0</v>
      </c>
      <c r="C873">
        <v>311</v>
      </c>
    </row>
    <row r="874" spans="1:3" x14ac:dyDescent="0.25">
      <c r="A874">
        <v>12</v>
      </c>
      <c r="B874">
        <v>0</v>
      </c>
      <c r="C874">
        <v>311</v>
      </c>
    </row>
    <row r="875" spans="1:3" x14ac:dyDescent="0.25">
      <c r="A875">
        <v>12</v>
      </c>
      <c r="B875">
        <v>0</v>
      </c>
      <c r="C875">
        <v>311</v>
      </c>
    </row>
    <row r="876" spans="1:3" x14ac:dyDescent="0.25">
      <c r="A876">
        <v>15</v>
      </c>
      <c r="B876">
        <v>0</v>
      </c>
      <c r="C876">
        <v>311</v>
      </c>
    </row>
    <row r="877" spans="1:3" x14ac:dyDescent="0.25">
      <c r="A877">
        <v>11</v>
      </c>
      <c r="B877">
        <v>0</v>
      </c>
      <c r="C877">
        <v>311</v>
      </c>
    </row>
    <row r="878" spans="1:3" x14ac:dyDescent="0.25">
      <c r="A878">
        <v>12</v>
      </c>
      <c r="B878">
        <v>0</v>
      </c>
      <c r="C878">
        <v>311</v>
      </c>
    </row>
    <row r="879" spans="1:3" x14ac:dyDescent="0.25">
      <c r="A879">
        <v>13</v>
      </c>
      <c r="B879">
        <v>0</v>
      </c>
      <c r="C879">
        <v>311</v>
      </c>
    </row>
    <row r="880" spans="1:3" x14ac:dyDescent="0.25">
      <c r="A880">
        <v>11</v>
      </c>
      <c r="B880">
        <v>0</v>
      </c>
      <c r="C880">
        <v>319</v>
      </c>
    </row>
    <row r="881" spans="1:3" x14ac:dyDescent="0.25">
      <c r="A881">
        <v>11</v>
      </c>
      <c r="B881">
        <v>0</v>
      </c>
      <c r="C881">
        <v>319</v>
      </c>
    </row>
    <row r="882" spans="1:3" x14ac:dyDescent="0.25">
      <c r="A882">
        <v>11</v>
      </c>
      <c r="B882">
        <v>0</v>
      </c>
      <c r="C882">
        <v>319</v>
      </c>
    </row>
    <row r="883" spans="1:3" x14ac:dyDescent="0.25">
      <c r="A883">
        <v>15</v>
      </c>
      <c r="B883">
        <v>0</v>
      </c>
      <c r="C883">
        <v>319</v>
      </c>
    </row>
    <row r="884" spans="1:3" x14ac:dyDescent="0.25">
      <c r="A884">
        <v>12</v>
      </c>
      <c r="B884">
        <v>0</v>
      </c>
      <c r="C884">
        <v>319</v>
      </c>
    </row>
    <row r="885" spans="1:3" x14ac:dyDescent="0.25">
      <c r="A885">
        <v>13</v>
      </c>
      <c r="B885">
        <v>0</v>
      </c>
      <c r="C885">
        <v>319</v>
      </c>
    </row>
    <row r="886" spans="1:3" x14ac:dyDescent="0.25">
      <c r="A886">
        <v>13</v>
      </c>
      <c r="B886">
        <v>0</v>
      </c>
      <c r="C886">
        <v>319</v>
      </c>
    </row>
    <row r="887" spans="1:3" x14ac:dyDescent="0.25">
      <c r="A887">
        <v>11</v>
      </c>
      <c r="B887">
        <v>0</v>
      </c>
      <c r="C887">
        <v>341</v>
      </c>
    </row>
    <row r="888" spans="1:3" x14ac:dyDescent="0.25">
      <c r="A888">
        <v>13</v>
      </c>
      <c r="B888">
        <v>0</v>
      </c>
      <c r="C888">
        <v>341</v>
      </c>
    </row>
    <row r="889" spans="1:3" x14ac:dyDescent="0.25">
      <c r="A889">
        <v>11</v>
      </c>
      <c r="B889">
        <v>0</v>
      </c>
      <c r="C889">
        <v>341</v>
      </c>
    </row>
    <row r="890" spans="1:3" x14ac:dyDescent="0.25">
      <c r="A890">
        <v>12</v>
      </c>
      <c r="B890">
        <v>0</v>
      </c>
      <c r="C890">
        <v>341</v>
      </c>
    </row>
    <row r="891" spans="1:3" x14ac:dyDescent="0.25">
      <c r="A891">
        <v>12</v>
      </c>
      <c r="B891">
        <v>0</v>
      </c>
      <c r="C891">
        <v>341</v>
      </c>
    </row>
    <row r="892" spans="1:3" x14ac:dyDescent="0.25">
      <c r="A892">
        <v>12</v>
      </c>
      <c r="B892">
        <v>0</v>
      </c>
      <c r="C892">
        <v>341</v>
      </c>
    </row>
    <row r="893" spans="1:3" x14ac:dyDescent="0.25">
      <c r="A893">
        <v>15</v>
      </c>
      <c r="B893">
        <v>0</v>
      </c>
      <c r="C893">
        <v>341</v>
      </c>
    </row>
    <row r="894" spans="1:3" x14ac:dyDescent="0.25">
      <c r="A894">
        <v>13</v>
      </c>
      <c r="B894">
        <v>0</v>
      </c>
      <c r="C894">
        <v>341</v>
      </c>
    </row>
    <row r="895" spans="1:3" x14ac:dyDescent="0.25">
      <c r="A895">
        <v>12</v>
      </c>
      <c r="B895">
        <v>0</v>
      </c>
      <c r="C895">
        <v>346</v>
      </c>
    </row>
    <row r="896" spans="1:3" x14ac:dyDescent="0.25">
      <c r="A896">
        <v>12</v>
      </c>
      <c r="B896">
        <v>0</v>
      </c>
      <c r="C896">
        <v>346</v>
      </c>
    </row>
    <row r="897" spans="1:3" x14ac:dyDescent="0.25">
      <c r="A897">
        <v>12</v>
      </c>
      <c r="B897">
        <v>0</v>
      </c>
      <c r="C897">
        <v>346</v>
      </c>
    </row>
    <row r="898" spans="1:3" x14ac:dyDescent="0.25">
      <c r="A898">
        <v>12</v>
      </c>
      <c r="B898">
        <v>0</v>
      </c>
      <c r="C898">
        <v>346</v>
      </c>
    </row>
    <row r="899" spans="1:3" x14ac:dyDescent="0.25">
      <c r="A899">
        <v>11</v>
      </c>
      <c r="B899">
        <v>0</v>
      </c>
      <c r="C899">
        <v>346</v>
      </c>
    </row>
    <row r="900" spans="1:3" x14ac:dyDescent="0.25">
      <c r="A900">
        <v>11</v>
      </c>
      <c r="B900">
        <v>0</v>
      </c>
      <c r="C900">
        <v>346</v>
      </c>
    </row>
    <row r="901" spans="1:3" x14ac:dyDescent="0.25">
      <c r="A901">
        <v>11</v>
      </c>
      <c r="B901">
        <v>0</v>
      </c>
      <c r="C901">
        <v>346</v>
      </c>
    </row>
    <row r="902" spans="1:3" x14ac:dyDescent="0.25">
      <c r="A902">
        <v>16</v>
      </c>
      <c r="B902">
        <v>0</v>
      </c>
      <c r="C902">
        <v>346</v>
      </c>
    </row>
    <row r="903" spans="1:3" x14ac:dyDescent="0.25">
      <c r="A903">
        <v>11</v>
      </c>
      <c r="B903">
        <v>0</v>
      </c>
      <c r="C903">
        <v>351</v>
      </c>
    </row>
    <row r="904" spans="1:3" x14ac:dyDescent="0.25">
      <c r="A904">
        <v>13</v>
      </c>
      <c r="B904">
        <v>0</v>
      </c>
      <c r="C904">
        <v>351</v>
      </c>
    </row>
    <row r="905" spans="1:3" x14ac:dyDescent="0.25">
      <c r="A905">
        <v>11</v>
      </c>
      <c r="B905">
        <v>0</v>
      </c>
      <c r="C905">
        <v>351</v>
      </c>
    </row>
    <row r="906" spans="1:3" x14ac:dyDescent="0.25">
      <c r="A906">
        <v>12</v>
      </c>
      <c r="B906">
        <v>0</v>
      </c>
      <c r="C906">
        <v>351</v>
      </c>
    </row>
    <row r="907" spans="1:3" x14ac:dyDescent="0.25">
      <c r="A907">
        <v>12</v>
      </c>
      <c r="B907">
        <v>0</v>
      </c>
      <c r="C907">
        <v>351</v>
      </c>
    </row>
    <row r="908" spans="1:3" x14ac:dyDescent="0.25">
      <c r="A908">
        <v>13</v>
      </c>
      <c r="B908">
        <v>0</v>
      </c>
      <c r="C908">
        <v>351</v>
      </c>
    </row>
    <row r="909" spans="1:3" x14ac:dyDescent="0.25">
      <c r="A909">
        <v>12</v>
      </c>
      <c r="B909">
        <v>0</v>
      </c>
      <c r="C909">
        <v>351</v>
      </c>
    </row>
    <row r="910" spans="1:3" x14ac:dyDescent="0.25">
      <c r="A910">
        <v>15</v>
      </c>
      <c r="B910">
        <v>0</v>
      </c>
      <c r="C910">
        <v>351</v>
      </c>
    </row>
    <row r="911" spans="1:3" x14ac:dyDescent="0.25">
      <c r="A911">
        <v>14</v>
      </c>
      <c r="B911">
        <v>0</v>
      </c>
      <c r="C911">
        <v>381</v>
      </c>
    </row>
    <row r="912" spans="1:3" x14ac:dyDescent="0.25">
      <c r="A912">
        <v>11</v>
      </c>
      <c r="B912">
        <v>0</v>
      </c>
      <c r="C912">
        <v>381</v>
      </c>
    </row>
    <row r="913" spans="1:3" x14ac:dyDescent="0.25">
      <c r="A913">
        <v>12</v>
      </c>
      <c r="B913">
        <v>0</v>
      </c>
      <c r="C913">
        <v>381</v>
      </c>
    </row>
    <row r="914" spans="1:3" x14ac:dyDescent="0.25">
      <c r="A914">
        <v>12</v>
      </c>
      <c r="B914">
        <v>0</v>
      </c>
      <c r="C914">
        <v>381</v>
      </c>
    </row>
    <row r="915" spans="1:3" x14ac:dyDescent="0.25">
      <c r="A915">
        <v>12</v>
      </c>
      <c r="B915">
        <v>0</v>
      </c>
      <c r="C915">
        <v>381</v>
      </c>
    </row>
    <row r="916" spans="1:3" x14ac:dyDescent="0.25">
      <c r="A916">
        <v>12</v>
      </c>
      <c r="B916">
        <v>0</v>
      </c>
      <c r="C916">
        <v>381</v>
      </c>
    </row>
    <row r="917" spans="1:3" x14ac:dyDescent="0.25">
      <c r="A917">
        <v>15</v>
      </c>
      <c r="B917">
        <v>0</v>
      </c>
      <c r="C917">
        <v>381</v>
      </c>
    </row>
    <row r="918" spans="1:3" x14ac:dyDescent="0.25">
      <c r="A918">
        <v>12</v>
      </c>
      <c r="B918">
        <v>0</v>
      </c>
      <c r="C918">
        <v>381</v>
      </c>
    </row>
    <row r="919" spans="1:3" x14ac:dyDescent="0.25">
      <c r="A919">
        <v>14</v>
      </c>
      <c r="B919">
        <v>0</v>
      </c>
      <c r="C919">
        <v>322</v>
      </c>
    </row>
    <row r="920" spans="1:3" x14ac:dyDescent="0.25">
      <c r="A920">
        <v>12</v>
      </c>
      <c r="B920">
        <v>0</v>
      </c>
      <c r="C920">
        <v>322</v>
      </c>
    </row>
    <row r="921" spans="1:3" x14ac:dyDescent="0.25">
      <c r="A921">
        <v>16</v>
      </c>
      <c r="B921">
        <v>0</v>
      </c>
      <c r="C921">
        <v>322</v>
      </c>
    </row>
    <row r="922" spans="1:3" x14ac:dyDescent="0.25">
      <c r="A922">
        <v>11</v>
      </c>
      <c r="B922">
        <v>0</v>
      </c>
      <c r="C922">
        <v>322</v>
      </c>
    </row>
    <row r="923" spans="1:3" x14ac:dyDescent="0.25">
      <c r="A923">
        <v>12</v>
      </c>
      <c r="B923">
        <v>0</v>
      </c>
      <c r="C923">
        <v>322</v>
      </c>
    </row>
    <row r="924" spans="1:3" x14ac:dyDescent="0.25">
      <c r="A924">
        <v>12</v>
      </c>
      <c r="B924">
        <v>0</v>
      </c>
      <c r="C924">
        <v>322</v>
      </c>
    </row>
    <row r="925" spans="1:3" x14ac:dyDescent="0.25">
      <c r="A925">
        <v>11</v>
      </c>
      <c r="B925">
        <v>0</v>
      </c>
      <c r="C925">
        <v>322</v>
      </c>
    </row>
    <row r="926" spans="1:3" x14ac:dyDescent="0.25">
      <c r="A926">
        <v>12</v>
      </c>
      <c r="B926">
        <v>0</v>
      </c>
      <c r="C926">
        <v>322</v>
      </c>
    </row>
    <row r="927" spans="1:3" x14ac:dyDescent="0.25">
      <c r="A927">
        <v>13</v>
      </c>
      <c r="B927">
        <v>0</v>
      </c>
      <c r="C927">
        <v>380</v>
      </c>
    </row>
    <row r="928" spans="1:3" x14ac:dyDescent="0.25">
      <c r="A928">
        <v>11</v>
      </c>
      <c r="B928">
        <v>0</v>
      </c>
      <c r="C928">
        <v>380</v>
      </c>
    </row>
    <row r="929" spans="1:3" x14ac:dyDescent="0.25">
      <c r="A929">
        <v>11</v>
      </c>
      <c r="B929">
        <v>0</v>
      </c>
      <c r="C929">
        <v>380</v>
      </c>
    </row>
    <row r="930" spans="1:3" x14ac:dyDescent="0.25">
      <c r="A930">
        <v>11</v>
      </c>
      <c r="B930">
        <v>0</v>
      </c>
      <c r="C930">
        <v>380</v>
      </c>
    </row>
    <row r="931" spans="1:3" x14ac:dyDescent="0.25">
      <c r="A931">
        <v>12</v>
      </c>
      <c r="B931">
        <v>0</v>
      </c>
      <c r="C931">
        <v>380</v>
      </c>
    </row>
    <row r="932" spans="1:3" x14ac:dyDescent="0.25">
      <c r="A932">
        <v>17</v>
      </c>
      <c r="B932">
        <v>0</v>
      </c>
      <c r="C932">
        <v>380</v>
      </c>
    </row>
    <row r="933" spans="1:3" x14ac:dyDescent="0.25">
      <c r="A933">
        <v>12</v>
      </c>
      <c r="B933">
        <v>0</v>
      </c>
      <c r="C933">
        <v>380</v>
      </c>
    </row>
    <row r="934" spans="1:3" x14ac:dyDescent="0.25">
      <c r="A934">
        <v>12</v>
      </c>
      <c r="B934">
        <v>0</v>
      </c>
      <c r="C934">
        <v>380</v>
      </c>
    </row>
    <row r="935" spans="1:3" x14ac:dyDescent="0.25">
      <c r="A935">
        <v>12</v>
      </c>
      <c r="B935">
        <v>0</v>
      </c>
      <c r="C935">
        <v>346</v>
      </c>
    </row>
    <row r="936" spans="1:3" x14ac:dyDescent="0.25">
      <c r="A936">
        <v>14</v>
      </c>
      <c r="B936">
        <v>0</v>
      </c>
      <c r="C936">
        <v>346</v>
      </c>
    </row>
    <row r="937" spans="1:3" x14ac:dyDescent="0.25">
      <c r="A937">
        <v>12</v>
      </c>
      <c r="B937">
        <v>0</v>
      </c>
      <c r="C937">
        <v>346</v>
      </c>
    </row>
    <row r="938" spans="1:3" x14ac:dyDescent="0.25">
      <c r="A938">
        <v>12</v>
      </c>
      <c r="B938">
        <v>0</v>
      </c>
      <c r="C938">
        <v>346</v>
      </c>
    </row>
    <row r="939" spans="1:3" x14ac:dyDescent="0.25">
      <c r="A939">
        <v>11</v>
      </c>
      <c r="B939">
        <v>0</v>
      </c>
      <c r="C939">
        <v>346</v>
      </c>
    </row>
    <row r="940" spans="1:3" x14ac:dyDescent="0.25">
      <c r="A940">
        <v>13</v>
      </c>
      <c r="B940">
        <v>0</v>
      </c>
      <c r="C940">
        <v>346</v>
      </c>
    </row>
    <row r="941" spans="1:3" x14ac:dyDescent="0.25">
      <c r="A941">
        <v>11</v>
      </c>
      <c r="B941">
        <v>0</v>
      </c>
      <c r="C941">
        <v>346</v>
      </c>
    </row>
    <row r="942" spans="1:3" x14ac:dyDescent="0.25">
      <c r="A942">
        <v>11</v>
      </c>
      <c r="B942">
        <v>0</v>
      </c>
      <c r="C942">
        <v>346</v>
      </c>
    </row>
    <row r="943" spans="1:3" x14ac:dyDescent="0.25">
      <c r="A943">
        <v>12</v>
      </c>
      <c r="B943">
        <v>0</v>
      </c>
      <c r="C943">
        <v>359</v>
      </c>
    </row>
    <row r="944" spans="1:3" x14ac:dyDescent="0.25">
      <c r="A944">
        <v>11</v>
      </c>
      <c r="B944">
        <v>0</v>
      </c>
      <c r="C944">
        <v>359</v>
      </c>
    </row>
    <row r="945" spans="1:3" x14ac:dyDescent="0.25">
      <c r="A945">
        <v>12</v>
      </c>
      <c r="B945">
        <v>0</v>
      </c>
      <c r="C945">
        <v>359</v>
      </c>
    </row>
    <row r="946" spans="1:3" x14ac:dyDescent="0.25">
      <c r="A946">
        <v>12</v>
      </c>
      <c r="B946">
        <v>0</v>
      </c>
      <c r="C946">
        <v>359</v>
      </c>
    </row>
    <row r="947" spans="1:3" x14ac:dyDescent="0.25">
      <c r="A947">
        <v>15</v>
      </c>
      <c r="B947">
        <v>0</v>
      </c>
      <c r="C947">
        <v>359</v>
      </c>
    </row>
    <row r="948" spans="1:3" x14ac:dyDescent="0.25">
      <c r="A948">
        <v>12</v>
      </c>
      <c r="B948">
        <v>0</v>
      </c>
      <c r="C948">
        <v>359</v>
      </c>
    </row>
    <row r="949" spans="1:3" x14ac:dyDescent="0.25">
      <c r="A949">
        <v>12</v>
      </c>
      <c r="B949">
        <v>0</v>
      </c>
      <c r="C949">
        <v>359</v>
      </c>
    </row>
    <row r="950" spans="1:3" x14ac:dyDescent="0.25">
      <c r="A950">
        <v>12</v>
      </c>
      <c r="B950">
        <v>0</v>
      </c>
      <c r="C950">
        <v>359</v>
      </c>
    </row>
    <row r="951" spans="1:3" x14ac:dyDescent="0.25">
      <c r="A951">
        <v>12</v>
      </c>
      <c r="B951">
        <v>0</v>
      </c>
      <c r="C951">
        <v>354</v>
      </c>
    </row>
    <row r="952" spans="1:3" x14ac:dyDescent="0.25">
      <c r="A952">
        <v>13</v>
      </c>
      <c r="B952">
        <v>0</v>
      </c>
      <c r="C952">
        <v>354</v>
      </c>
    </row>
    <row r="953" spans="1:3" x14ac:dyDescent="0.25">
      <c r="A953">
        <v>12</v>
      </c>
      <c r="B953">
        <v>0</v>
      </c>
      <c r="C953">
        <v>354</v>
      </c>
    </row>
    <row r="954" spans="1:3" x14ac:dyDescent="0.25">
      <c r="A954">
        <v>11</v>
      </c>
      <c r="B954">
        <v>0</v>
      </c>
      <c r="C954">
        <v>354</v>
      </c>
    </row>
    <row r="955" spans="1:3" x14ac:dyDescent="0.25">
      <c r="A955">
        <v>11</v>
      </c>
      <c r="B955">
        <v>0</v>
      </c>
      <c r="C955">
        <v>354</v>
      </c>
    </row>
    <row r="956" spans="1:3" x14ac:dyDescent="0.25">
      <c r="A956">
        <v>14</v>
      </c>
      <c r="B956">
        <v>0</v>
      </c>
      <c r="C956">
        <v>354</v>
      </c>
    </row>
    <row r="957" spans="1:3" x14ac:dyDescent="0.25">
      <c r="A957">
        <v>13</v>
      </c>
      <c r="B957">
        <v>0</v>
      </c>
      <c r="C957">
        <v>354</v>
      </c>
    </row>
    <row r="958" spans="1:3" x14ac:dyDescent="0.25">
      <c r="A958">
        <v>12</v>
      </c>
      <c r="B958">
        <v>0</v>
      </c>
      <c r="C958">
        <v>354</v>
      </c>
    </row>
    <row r="959" spans="1:3" x14ac:dyDescent="0.25">
      <c r="A959">
        <v>12</v>
      </c>
      <c r="B959">
        <v>0</v>
      </c>
      <c r="C959">
        <v>350</v>
      </c>
    </row>
    <row r="960" spans="1:3" x14ac:dyDescent="0.25">
      <c r="A960">
        <v>11</v>
      </c>
      <c r="B960">
        <v>0</v>
      </c>
      <c r="C960">
        <v>350</v>
      </c>
    </row>
    <row r="961" spans="1:3" x14ac:dyDescent="0.25">
      <c r="A961">
        <v>13</v>
      </c>
      <c r="B961">
        <v>0</v>
      </c>
      <c r="C961">
        <v>350</v>
      </c>
    </row>
    <row r="962" spans="1:3" x14ac:dyDescent="0.25">
      <c r="A962">
        <v>14</v>
      </c>
      <c r="B962">
        <v>0</v>
      </c>
      <c r="C962">
        <v>350</v>
      </c>
    </row>
    <row r="963" spans="1:3" x14ac:dyDescent="0.25">
      <c r="A963">
        <v>42</v>
      </c>
      <c r="B963">
        <v>0</v>
      </c>
      <c r="C963">
        <v>350</v>
      </c>
    </row>
    <row r="964" spans="1:3" x14ac:dyDescent="0.25">
      <c r="A964">
        <v>12</v>
      </c>
      <c r="B964">
        <v>0</v>
      </c>
      <c r="C964">
        <v>350</v>
      </c>
    </row>
    <row r="965" spans="1:3" x14ac:dyDescent="0.25">
      <c r="A965">
        <v>16</v>
      </c>
      <c r="B965">
        <v>0</v>
      </c>
      <c r="C965">
        <v>350</v>
      </c>
    </row>
    <row r="966" spans="1:3" x14ac:dyDescent="0.25">
      <c r="A966">
        <v>13</v>
      </c>
      <c r="B966">
        <v>0</v>
      </c>
      <c r="C966">
        <v>444</v>
      </c>
    </row>
    <row r="967" spans="1:3" x14ac:dyDescent="0.25">
      <c r="A967">
        <v>11</v>
      </c>
      <c r="B967">
        <v>0</v>
      </c>
      <c r="C967">
        <v>444</v>
      </c>
    </row>
    <row r="968" spans="1:3" x14ac:dyDescent="0.25">
      <c r="A968">
        <v>12</v>
      </c>
      <c r="B968">
        <v>0</v>
      </c>
      <c r="C968">
        <v>444</v>
      </c>
    </row>
    <row r="969" spans="1:3" x14ac:dyDescent="0.25">
      <c r="A969">
        <v>14</v>
      </c>
      <c r="B969">
        <v>0</v>
      </c>
      <c r="C969">
        <v>444</v>
      </c>
    </row>
    <row r="970" spans="1:3" x14ac:dyDescent="0.25">
      <c r="A970">
        <v>11</v>
      </c>
      <c r="B970">
        <v>0</v>
      </c>
      <c r="C970">
        <v>444</v>
      </c>
    </row>
    <row r="971" spans="1:3" x14ac:dyDescent="0.25">
      <c r="A971">
        <v>12</v>
      </c>
      <c r="B971">
        <v>0</v>
      </c>
      <c r="C971">
        <v>444</v>
      </c>
    </row>
    <row r="972" spans="1:3" x14ac:dyDescent="0.25">
      <c r="A972">
        <v>13</v>
      </c>
      <c r="B972">
        <v>0</v>
      </c>
      <c r="C972">
        <v>444</v>
      </c>
    </row>
    <row r="973" spans="1:3" x14ac:dyDescent="0.25">
      <c r="A973">
        <v>11</v>
      </c>
      <c r="B973">
        <v>0</v>
      </c>
      <c r="C973">
        <v>444</v>
      </c>
    </row>
    <row r="974" spans="1:3" x14ac:dyDescent="0.25">
      <c r="A974">
        <v>13</v>
      </c>
      <c r="B974">
        <v>0</v>
      </c>
      <c r="C974">
        <v>298</v>
      </c>
    </row>
    <row r="975" spans="1:3" x14ac:dyDescent="0.25">
      <c r="A975">
        <v>11</v>
      </c>
      <c r="B975">
        <v>0</v>
      </c>
      <c r="C975">
        <v>298</v>
      </c>
    </row>
    <row r="976" spans="1:3" x14ac:dyDescent="0.25">
      <c r="A976">
        <v>11</v>
      </c>
      <c r="B976">
        <v>0</v>
      </c>
      <c r="C976">
        <v>298</v>
      </c>
    </row>
    <row r="977" spans="1:3" x14ac:dyDescent="0.25">
      <c r="A977">
        <v>12</v>
      </c>
      <c r="B977">
        <v>0</v>
      </c>
      <c r="C977">
        <v>298</v>
      </c>
    </row>
    <row r="978" spans="1:3" x14ac:dyDescent="0.25">
      <c r="A978">
        <v>12</v>
      </c>
      <c r="B978">
        <v>0</v>
      </c>
      <c r="C978">
        <v>298</v>
      </c>
    </row>
    <row r="979" spans="1:3" x14ac:dyDescent="0.25">
      <c r="A979">
        <v>12</v>
      </c>
      <c r="B979">
        <v>0</v>
      </c>
      <c r="C979">
        <v>298</v>
      </c>
    </row>
    <row r="980" spans="1:3" x14ac:dyDescent="0.25">
      <c r="A980">
        <v>14</v>
      </c>
      <c r="B980">
        <v>0</v>
      </c>
      <c r="C980">
        <v>298</v>
      </c>
    </row>
    <row r="981" spans="1:3" x14ac:dyDescent="0.25">
      <c r="A981">
        <v>16</v>
      </c>
      <c r="B981">
        <v>0</v>
      </c>
      <c r="C981">
        <v>298</v>
      </c>
    </row>
    <row r="982" spans="1:3" x14ac:dyDescent="0.25">
      <c r="A982">
        <v>13</v>
      </c>
      <c r="B982">
        <v>0</v>
      </c>
      <c r="C982">
        <v>339</v>
      </c>
    </row>
    <row r="983" spans="1:3" x14ac:dyDescent="0.25">
      <c r="A983">
        <v>13</v>
      </c>
      <c r="B983">
        <v>0</v>
      </c>
      <c r="C983">
        <v>339</v>
      </c>
    </row>
    <row r="984" spans="1:3" x14ac:dyDescent="0.25">
      <c r="A984">
        <v>12</v>
      </c>
      <c r="B984">
        <v>0</v>
      </c>
      <c r="C984">
        <v>339</v>
      </c>
    </row>
    <row r="985" spans="1:3" x14ac:dyDescent="0.25">
      <c r="A985">
        <v>11</v>
      </c>
      <c r="B985">
        <v>0</v>
      </c>
      <c r="C985">
        <v>339</v>
      </c>
    </row>
    <row r="986" spans="1:3" x14ac:dyDescent="0.25">
      <c r="A986">
        <v>12</v>
      </c>
      <c r="B986">
        <v>0</v>
      </c>
      <c r="C986">
        <v>339</v>
      </c>
    </row>
    <row r="987" spans="1:3" x14ac:dyDescent="0.25">
      <c r="A987">
        <v>11</v>
      </c>
      <c r="B987">
        <v>0</v>
      </c>
      <c r="C987">
        <v>339</v>
      </c>
    </row>
    <row r="988" spans="1:3" x14ac:dyDescent="0.25">
      <c r="A988">
        <v>12</v>
      </c>
      <c r="B988">
        <v>0</v>
      </c>
      <c r="C988">
        <v>339</v>
      </c>
    </row>
    <row r="989" spans="1:3" x14ac:dyDescent="0.25">
      <c r="A989">
        <v>13</v>
      </c>
      <c r="B989">
        <v>0</v>
      </c>
      <c r="C989">
        <v>339</v>
      </c>
    </row>
    <row r="990" spans="1:3" x14ac:dyDescent="0.25">
      <c r="A990">
        <v>12</v>
      </c>
      <c r="B990">
        <v>0</v>
      </c>
      <c r="C990">
        <v>338</v>
      </c>
    </row>
    <row r="991" spans="1:3" x14ac:dyDescent="0.25">
      <c r="A991">
        <v>12</v>
      </c>
      <c r="B991">
        <v>0</v>
      </c>
      <c r="C991">
        <v>338</v>
      </c>
    </row>
    <row r="992" spans="1:3" x14ac:dyDescent="0.25">
      <c r="A992">
        <v>12</v>
      </c>
      <c r="B992">
        <v>0</v>
      </c>
      <c r="C992">
        <v>338</v>
      </c>
    </row>
    <row r="993" spans="1:3" x14ac:dyDescent="0.25">
      <c r="A993">
        <v>12</v>
      </c>
      <c r="B993">
        <v>0</v>
      </c>
      <c r="C993">
        <v>338</v>
      </c>
    </row>
    <row r="994" spans="1:3" x14ac:dyDescent="0.25">
      <c r="A994">
        <v>12</v>
      </c>
      <c r="B994">
        <v>0</v>
      </c>
      <c r="C994">
        <v>338</v>
      </c>
    </row>
    <row r="995" spans="1:3" x14ac:dyDescent="0.25">
      <c r="A995">
        <v>12</v>
      </c>
      <c r="B995">
        <v>0</v>
      </c>
      <c r="C995">
        <v>338</v>
      </c>
    </row>
    <row r="996" spans="1:3" x14ac:dyDescent="0.25">
      <c r="A996">
        <v>13</v>
      </c>
      <c r="B996">
        <v>0</v>
      </c>
      <c r="C996">
        <v>338</v>
      </c>
    </row>
    <row r="997" spans="1:3" x14ac:dyDescent="0.25">
      <c r="A997">
        <v>13</v>
      </c>
      <c r="B997">
        <v>0</v>
      </c>
      <c r="C997">
        <v>338</v>
      </c>
    </row>
    <row r="998" spans="1:3" x14ac:dyDescent="0.25">
      <c r="A998">
        <v>13</v>
      </c>
      <c r="B998">
        <v>0</v>
      </c>
      <c r="C998">
        <v>376</v>
      </c>
    </row>
    <row r="999" spans="1:3" x14ac:dyDescent="0.25">
      <c r="A999">
        <v>13</v>
      </c>
      <c r="B999">
        <v>0</v>
      </c>
      <c r="C999">
        <v>376</v>
      </c>
    </row>
    <row r="1000" spans="1:3" x14ac:dyDescent="0.25">
      <c r="A1000">
        <v>12</v>
      </c>
      <c r="B1000">
        <v>0</v>
      </c>
      <c r="C1000">
        <v>376</v>
      </c>
    </row>
    <row r="1001" spans="1:3" x14ac:dyDescent="0.25">
      <c r="A1001">
        <v>13</v>
      </c>
      <c r="B1001">
        <v>0</v>
      </c>
      <c r="C1001">
        <v>376</v>
      </c>
    </row>
    <row r="1002" spans="1:3" x14ac:dyDescent="0.25">
      <c r="A1002">
        <v>11</v>
      </c>
      <c r="B1002">
        <v>0</v>
      </c>
      <c r="C1002">
        <v>376</v>
      </c>
    </row>
    <row r="1003" spans="1:3" x14ac:dyDescent="0.25">
      <c r="A1003">
        <v>12</v>
      </c>
      <c r="B1003">
        <v>0</v>
      </c>
      <c r="C1003">
        <v>376</v>
      </c>
    </row>
    <row r="1004" spans="1:3" x14ac:dyDescent="0.25">
      <c r="A1004">
        <v>13</v>
      </c>
      <c r="B1004">
        <v>0</v>
      </c>
      <c r="C1004">
        <v>376</v>
      </c>
    </row>
    <row r="1005" spans="1:3" x14ac:dyDescent="0.25">
      <c r="A1005">
        <v>12</v>
      </c>
      <c r="B1005">
        <v>0</v>
      </c>
      <c r="C1005">
        <v>376</v>
      </c>
    </row>
    <row r="1006" spans="1:3" x14ac:dyDescent="0.25">
      <c r="A1006">
        <v>12</v>
      </c>
      <c r="B1006">
        <v>0</v>
      </c>
      <c r="C1006">
        <v>346</v>
      </c>
    </row>
    <row r="1007" spans="1:3" x14ac:dyDescent="0.25">
      <c r="A1007">
        <v>13</v>
      </c>
      <c r="B1007">
        <v>0</v>
      </c>
      <c r="C1007">
        <v>346</v>
      </c>
    </row>
    <row r="1008" spans="1:3" x14ac:dyDescent="0.25">
      <c r="A1008">
        <v>13</v>
      </c>
      <c r="B1008">
        <v>0</v>
      </c>
      <c r="C1008">
        <v>346</v>
      </c>
    </row>
    <row r="1009" spans="1:3" x14ac:dyDescent="0.25">
      <c r="A1009">
        <v>18</v>
      </c>
      <c r="B1009">
        <v>0</v>
      </c>
      <c r="C1009">
        <v>346</v>
      </c>
    </row>
    <row r="1010" spans="1:3" x14ac:dyDescent="0.25">
      <c r="A1010">
        <v>12</v>
      </c>
      <c r="B1010">
        <v>0</v>
      </c>
      <c r="C1010">
        <v>346</v>
      </c>
    </row>
    <row r="1011" spans="1:3" x14ac:dyDescent="0.25">
      <c r="A1011">
        <v>14</v>
      </c>
      <c r="B1011">
        <v>0</v>
      </c>
      <c r="C1011">
        <v>346</v>
      </c>
    </row>
    <row r="1012" spans="1:3" x14ac:dyDescent="0.25">
      <c r="A1012">
        <v>12</v>
      </c>
      <c r="B1012">
        <v>0</v>
      </c>
      <c r="C1012">
        <v>346</v>
      </c>
    </row>
    <row r="1013" spans="1:3" x14ac:dyDescent="0.25">
      <c r="A1013">
        <v>12</v>
      </c>
      <c r="B1013">
        <v>0</v>
      </c>
      <c r="C1013">
        <v>346</v>
      </c>
    </row>
    <row r="1014" spans="1:3" x14ac:dyDescent="0.25">
      <c r="A1014">
        <v>12</v>
      </c>
      <c r="B1014">
        <v>0</v>
      </c>
      <c r="C1014">
        <v>382</v>
      </c>
    </row>
    <row r="1015" spans="1:3" x14ac:dyDescent="0.25">
      <c r="A1015">
        <v>11</v>
      </c>
      <c r="B1015">
        <v>0</v>
      </c>
      <c r="C1015">
        <v>382</v>
      </c>
    </row>
    <row r="1016" spans="1:3" x14ac:dyDescent="0.25">
      <c r="A1016">
        <v>12</v>
      </c>
      <c r="B1016">
        <v>0</v>
      </c>
      <c r="C1016">
        <v>382</v>
      </c>
    </row>
    <row r="1017" spans="1:3" x14ac:dyDescent="0.25">
      <c r="A1017">
        <v>11</v>
      </c>
      <c r="B1017">
        <v>0</v>
      </c>
      <c r="C1017">
        <v>382</v>
      </c>
    </row>
    <row r="1018" spans="1:3" x14ac:dyDescent="0.25">
      <c r="A1018">
        <v>13</v>
      </c>
      <c r="B1018">
        <v>0</v>
      </c>
      <c r="C1018">
        <v>382</v>
      </c>
    </row>
    <row r="1019" spans="1:3" x14ac:dyDescent="0.25">
      <c r="A1019">
        <v>13</v>
      </c>
      <c r="B1019">
        <v>0</v>
      </c>
      <c r="C1019">
        <v>382</v>
      </c>
    </row>
    <row r="1020" spans="1:3" x14ac:dyDescent="0.25">
      <c r="A1020">
        <v>11</v>
      </c>
      <c r="B1020">
        <v>0</v>
      </c>
      <c r="C1020">
        <v>382</v>
      </c>
    </row>
    <row r="1021" spans="1:3" x14ac:dyDescent="0.25">
      <c r="A1021">
        <v>12</v>
      </c>
      <c r="B1021">
        <v>0</v>
      </c>
      <c r="C1021">
        <v>382</v>
      </c>
    </row>
    <row r="1022" spans="1:3" x14ac:dyDescent="0.25">
      <c r="A1022">
        <v>13</v>
      </c>
      <c r="B1022">
        <v>0</v>
      </c>
      <c r="C1022">
        <v>356</v>
      </c>
    </row>
    <row r="1023" spans="1:3" x14ac:dyDescent="0.25">
      <c r="A1023">
        <v>12</v>
      </c>
      <c r="B1023">
        <v>0</v>
      </c>
      <c r="C1023">
        <v>356</v>
      </c>
    </row>
    <row r="1024" spans="1:3" x14ac:dyDescent="0.25">
      <c r="A1024">
        <v>14</v>
      </c>
      <c r="B1024">
        <v>0</v>
      </c>
      <c r="C1024">
        <v>356</v>
      </c>
    </row>
    <row r="1025" spans="1:3" x14ac:dyDescent="0.25">
      <c r="A1025">
        <v>12</v>
      </c>
      <c r="B1025">
        <v>0</v>
      </c>
      <c r="C1025">
        <v>356</v>
      </c>
    </row>
    <row r="1026" spans="1:3" x14ac:dyDescent="0.25">
      <c r="A1026">
        <v>11</v>
      </c>
      <c r="B1026">
        <v>0</v>
      </c>
      <c r="C1026">
        <v>356</v>
      </c>
    </row>
    <row r="1027" spans="1:3" x14ac:dyDescent="0.25">
      <c r="A1027">
        <v>12</v>
      </c>
      <c r="B1027">
        <v>0</v>
      </c>
      <c r="C1027">
        <v>356</v>
      </c>
    </row>
    <row r="1028" spans="1:3" x14ac:dyDescent="0.25">
      <c r="A1028">
        <v>12</v>
      </c>
      <c r="B1028">
        <v>0</v>
      </c>
      <c r="C1028">
        <v>356</v>
      </c>
    </row>
    <row r="1029" spans="1:3" x14ac:dyDescent="0.25">
      <c r="A1029">
        <v>11</v>
      </c>
      <c r="B1029">
        <v>0</v>
      </c>
      <c r="C1029">
        <v>356</v>
      </c>
    </row>
    <row r="1030" spans="1:3" x14ac:dyDescent="0.25">
      <c r="A1030">
        <v>11</v>
      </c>
      <c r="B1030">
        <v>0</v>
      </c>
      <c r="C1030">
        <v>342</v>
      </c>
    </row>
    <row r="1031" spans="1:3" x14ac:dyDescent="0.25">
      <c r="A1031">
        <v>11</v>
      </c>
      <c r="B1031">
        <v>0</v>
      </c>
      <c r="C1031">
        <v>342</v>
      </c>
    </row>
    <row r="1032" spans="1:3" x14ac:dyDescent="0.25">
      <c r="A1032">
        <v>11</v>
      </c>
      <c r="B1032">
        <v>0</v>
      </c>
      <c r="C1032">
        <v>342</v>
      </c>
    </row>
    <row r="1033" spans="1:3" x14ac:dyDescent="0.25">
      <c r="A1033">
        <v>11</v>
      </c>
      <c r="B1033">
        <v>0</v>
      </c>
      <c r="C1033">
        <v>342</v>
      </c>
    </row>
    <row r="1034" spans="1:3" x14ac:dyDescent="0.25">
      <c r="A1034">
        <v>12</v>
      </c>
      <c r="B1034">
        <v>0</v>
      </c>
      <c r="C1034">
        <v>342</v>
      </c>
    </row>
    <row r="1035" spans="1:3" x14ac:dyDescent="0.25">
      <c r="A1035">
        <v>11</v>
      </c>
      <c r="B1035">
        <v>0</v>
      </c>
      <c r="C1035">
        <v>342</v>
      </c>
    </row>
    <row r="1036" spans="1:3" x14ac:dyDescent="0.25">
      <c r="A1036">
        <v>12</v>
      </c>
      <c r="B1036">
        <v>0</v>
      </c>
      <c r="C1036">
        <v>342</v>
      </c>
    </row>
    <row r="1037" spans="1:3" x14ac:dyDescent="0.25">
      <c r="A1037">
        <v>12</v>
      </c>
      <c r="B1037">
        <v>0</v>
      </c>
      <c r="C1037">
        <v>342</v>
      </c>
    </row>
    <row r="1038" spans="1:3" x14ac:dyDescent="0.25">
      <c r="A1038">
        <v>12</v>
      </c>
      <c r="B1038">
        <v>0</v>
      </c>
      <c r="C1038">
        <v>359</v>
      </c>
    </row>
    <row r="1039" spans="1:3" x14ac:dyDescent="0.25">
      <c r="A1039">
        <v>12</v>
      </c>
      <c r="B1039">
        <v>0</v>
      </c>
      <c r="C1039">
        <v>359</v>
      </c>
    </row>
    <row r="1040" spans="1:3" x14ac:dyDescent="0.25">
      <c r="A1040">
        <v>12</v>
      </c>
      <c r="B1040">
        <v>0</v>
      </c>
      <c r="C1040">
        <v>359</v>
      </c>
    </row>
    <row r="1041" spans="1:3" x14ac:dyDescent="0.25">
      <c r="A1041">
        <v>12</v>
      </c>
      <c r="B1041">
        <v>0</v>
      </c>
      <c r="C1041">
        <v>359</v>
      </c>
    </row>
    <row r="1042" spans="1:3" x14ac:dyDescent="0.25">
      <c r="A1042">
        <v>14</v>
      </c>
      <c r="B1042">
        <v>0</v>
      </c>
      <c r="C1042">
        <v>359</v>
      </c>
    </row>
    <row r="1043" spans="1:3" x14ac:dyDescent="0.25">
      <c r="A1043">
        <v>11</v>
      </c>
      <c r="B1043">
        <v>0</v>
      </c>
      <c r="C1043">
        <v>359</v>
      </c>
    </row>
    <row r="1044" spans="1:3" x14ac:dyDescent="0.25">
      <c r="A1044">
        <v>13</v>
      </c>
      <c r="B1044">
        <v>0</v>
      </c>
      <c r="C1044">
        <v>359</v>
      </c>
    </row>
    <row r="1045" spans="1:3" x14ac:dyDescent="0.25">
      <c r="A1045">
        <v>12</v>
      </c>
      <c r="B1045">
        <v>0</v>
      </c>
      <c r="C1045">
        <v>283</v>
      </c>
    </row>
    <row r="1046" spans="1:3" x14ac:dyDescent="0.25">
      <c r="A1046">
        <v>12</v>
      </c>
      <c r="B1046">
        <v>0</v>
      </c>
      <c r="C1046">
        <v>283</v>
      </c>
    </row>
    <row r="1047" spans="1:3" x14ac:dyDescent="0.25">
      <c r="A1047">
        <v>12</v>
      </c>
      <c r="B1047">
        <v>0</v>
      </c>
      <c r="C1047">
        <v>283</v>
      </c>
    </row>
    <row r="1048" spans="1:3" x14ac:dyDescent="0.25">
      <c r="A1048">
        <v>12</v>
      </c>
      <c r="B1048">
        <v>0</v>
      </c>
      <c r="C1048">
        <v>283</v>
      </c>
    </row>
    <row r="1049" spans="1:3" x14ac:dyDescent="0.25">
      <c r="A1049">
        <v>11</v>
      </c>
      <c r="B1049">
        <v>0</v>
      </c>
      <c r="C1049">
        <v>283</v>
      </c>
    </row>
    <row r="1050" spans="1:3" x14ac:dyDescent="0.25">
      <c r="A1050">
        <v>12</v>
      </c>
      <c r="B1050">
        <v>0</v>
      </c>
      <c r="C1050">
        <v>283</v>
      </c>
    </row>
    <row r="1051" spans="1:3" x14ac:dyDescent="0.25">
      <c r="A1051">
        <v>12</v>
      </c>
      <c r="B1051">
        <v>0</v>
      </c>
      <c r="C1051">
        <v>283</v>
      </c>
    </row>
    <row r="1052" spans="1:3" x14ac:dyDescent="0.25">
      <c r="A1052">
        <v>12</v>
      </c>
      <c r="B1052">
        <v>0</v>
      </c>
      <c r="C1052">
        <v>283</v>
      </c>
    </row>
    <row r="1053" spans="1:3" x14ac:dyDescent="0.25">
      <c r="A1053">
        <v>11</v>
      </c>
      <c r="B1053">
        <v>0</v>
      </c>
      <c r="C1053">
        <v>378</v>
      </c>
    </row>
    <row r="1054" spans="1:3" x14ac:dyDescent="0.25">
      <c r="A1054">
        <v>12</v>
      </c>
      <c r="B1054">
        <v>0</v>
      </c>
      <c r="C1054">
        <v>378</v>
      </c>
    </row>
    <row r="1055" spans="1:3" x14ac:dyDescent="0.25">
      <c r="A1055">
        <v>11</v>
      </c>
      <c r="B1055">
        <v>0</v>
      </c>
      <c r="C1055">
        <v>378</v>
      </c>
    </row>
    <row r="1056" spans="1:3" x14ac:dyDescent="0.25">
      <c r="A1056">
        <v>17</v>
      </c>
      <c r="B1056">
        <v>0</v>
      </c>
      <c r="C1056">
        <v>378</v>
      </c>
    </row>
    <row r="1057" spans="1:3" x14ac:dyDescent="0.25">
      <c r="A1057">
        <v>12</v>
      </c>
      <c r="B1057">
        <v>0</v>
      </c>
      <c r="C1057">
        <v>378</v>
      </c>
    </row>
    <row r="1058" spans="1:3" x14ac:dyDescent="0.25">
      <c r="A1058">
        <v>11</v>
      </c>
      <c r="B1058">
        <v>0</v>
      </c>
      <c r="C1058">
        <v>378</v>
      </c>
    </row>
    <row r="1059" spans="1:3" x14ac:dyDescent="0.25">
      <c r="A1059">
        <v>12</v>
      </c>
      <c r="B1059">
        <v>0</v>
      </c>
      <c r="C1059">
        <v>378</v>
      </c>
    </row>
    <row r="1060" spans="1:3" x14ac:dyDescent="0.25">
      <c r="A1060">
        <v>12</v>
      </c>
      <c r="B1060">
        <v>0</v>
      </c>
      <c r="C1060">
        <v>378</v>
      </c>
    </row>
    <row r="1061" spans="1:3" x14ac:dyDescent="0.25">
      <c r="A1061">
        <v>12</v>
      </c>
      <c r="B1061">
        <v>0</v>
      </c>
      <c r="C1061">
        <v>381</v>
      </c>
    </row>
    <row r="1062" spans="1:3" x14ac:dyDescent="0.25">
      <c r="A1062">
        <v>12</v>
      </c>
      <c r="B1062">
        <v>0</v>
      </c>
      <c r="C1062">
        <v>381</v>
      </c>
    </row>
    <row r="1063" spans="1:3" x14ac:dyDescent="0.25">
      <c r="A1063">
        <v>11</v>
      </c>
      <c r="B1063">
        <v>0</v>
      </c>
      <c r="C1063">
        <v>381</v>
      </c>
    </row>
    <row r="1064" spans="1:3" x14ac:dyDescent="0.25">
      <c r="A1064">
        <v>11</v>
      </c>
      <c r="B1064">
        <v>0</v>
      </c>
      <c r="C1064">
        <v>381</v>
      </c>
    </row>
    <row r="1065" spans="1:3" x14ac:dyDescent="0.25">
      <c r="A1065">
        <v>11</v>
      </c>
      <c r="B1065">
        <v>0</v>
      </c>
      <c r="C1065">
        <v>381</v>
      </c>
    </row>
    <row r="1066" spans="1:3" x14ac:dyDescent="0.25">
      <c r="A1066">
        <v>12</v>
      </c>
      <c r="B1066">
        <v>0</v>
      </c>
      <c r="C1066">
        <v>381</v>
      </c>
    </row>
    <row r="1067" spans="1:3" x14ac:dyDescent="0.25">
      <c r="A1067">
        <v>16</v>
      </c>
      <c r="B1067">
        <v>0</v>
      </c>
      <c r="C1067">
        <v>381</v>
      </c>
    </row>
    <row r="1068" spans="1:3" x14ac:dyDescent="0.25">
      <c r="A1068">
        <v>13</v>
      </c>
      <c r="B1068">
        <v>0</v>
      </c>
      <c r="C1068">
        <v>381</v>
      </c>
    </row>
    <row r="1069" spans="1:3" x14ac:dyDescent="0.25">
      <c r="A1069">
        <v>12</v>
      </c>
      <c r="B1069">
        <v>0</v>
      </c>
      <c r="C1069">
        <v>390</v>
      </c>
    </row>
    <row r="1070" spans="1:3" x14ac:dyDescent="0.25">
      <c r="A1070">
        <v>11</v>
      </c>
      <c r="B1070">
        <v>0</v>
      </c>
      <c r="C1070">
        <v>390</v>
      </c>
    </row>
    <row r="1071" spans="1:3" x14ac:dyDescent="0.25">
      <c r="A1071">
        <v>12</v>
      </c>
      <c r="B1071">
        <v>0</v>
      </c>
      <c r="C1071">
        <v>390</v>
      </c>
    </row>
    <row r="1072" spans="1:3" x14ac:dyDescent="0.25">
      <c r="A1072">
        <v>11</v>
      </c>
      <c r="B1072">
        <v>0</v>
      </c>
      <c r="C1072">
        <v>390</v>
      </c>
    </row>
    <row r="1073" spans="1:3" x14ac:dyDescent="0.25">
      <c r="A1073">
        <v>13</v>
      </c>
      <c r="B1073">
        <v>0</v>
      </c>
      <c r="C1073">
        <v>390</v>
      </c>
    </row>
    <row r="1074" spans="1:3" x14ac:dyDescent="0.25">
      <c r="A1074">
        <v>16</v>
      </c>
      <c r="B1074">
        <v>0</v>
      </c>
      <c r="C1074">
        <v>390</v>
      </c>
    </row>
    <row r="1075" spans="1:3" x14ac:dyDescent="0.25">
      <c r="A1075">
        <v>12</v>
      </c>
      <c r="B1075">
        <v>0</v>
      </c>
      <c r="C1075">
        <v>390</v>
      </c>
    </row>
    <row r="1076" spans="1:3" x14ac:dyDescent="0.25">
      <c r="A1076">
        <v>11</v>
      </c>
      <c r="B1076">
        <v>0</v>
      </c>
      <c r="C1076">
        <v>390</v>
      </c>
    </row>
    <row r="1077" spans="1:3" x14ac:dyDescent="0.25">
      <c r="A1077">
        <v>13</v>
      </c>
      <c r="B1077">
        <v>0</v>
      </c>
      <c r="C1077">
        <v>370</v>
      </c>
    </row>
    <row r="1078" spans="1:3" x14ac:dyDescent="0.25">
      <c r="A1078">
        <v>13</v>
      </c>
      <c r="B1078">
        <v>0</v>
      </c>
      <c r="C1078">
        <v>370</v>
      </c>
    </row>
    <row r="1079" spans="1:3" x14ac:dyDescent="0.25">
      <c r="A1079">
        <v>11</v>
      </c>
      <c r="B1079">
        <v>0</v>
      </c>
      <c r="C1079">
        <v>370</v>
      </c>
    </row>
    <row r="1080" spans="1:3" x14ac:dyDescent="0.25">
      <c r="A1080">
        <v>12</v>
      </c>
      <c r="B1080">
        <v>0</v>
      </c>
      <c r="C1080">
        <v>370</v>
      </c>
    </row>
    <row r="1081" spans="1:3" x14ac:dyDescent="0.25">
      <c r="A1081">
        <v>12</v>
      </c>
      <c r="B1081">
        <v>0</v>
      </c>
      <c r="C1081">
        <v>370</v>
      </c>
    </row>
    <row r="1082" spans="1:3" x14ac:dyDescent="0.25">
      <c r="A1082">
        <v>13</v>
      </c>
      <c r="B1082">
        <v>0</v>
      </c>
      <c r="C1082">
        <v>370</v>
      </c>
    </row>
    <row r="1083" spans="1:3" x14ac:dyDescent="0.25">
      <c r="A1083">
        <v>11</v>
      </c>
      <c r="B1083">
        <v>0</v>
      </c>
      <c r="C1083">
        <v>370</v>
      </c>
    </row>
    <row r="1084" spans="1:3" x14ac:dyDescent="0.25">
      <c r="A1084">
        <v>12</v>
      </c>
      <c r="B1084">
        <v>0</v>
      </c>
      <c r="C1084">
        <v>370</v>
      </c>
    </row>
    <row r="1085" spans="1:3" x14ac:dyDescent="0.25">
      <c r="A1085">
        <v>12</v>
      </c>
      <c r="B1085">
        <v>0</v>
      </c>
      <c r="C1085">
        <v>379</v>
      </c>
    </row>
    <row r="1086" spans="1:3" x14ac:dyDescent="0.25">
      <c r="A1086">
        <v>11</v>
      </c>
      <c r="B1086">
        <v>0</v>
      </c>
      <c r="C1086">
        <v>379</v>
      </c>
    </row>
    <row r="1087" spans="1:3" x14ac:dyDescent="0.25">
      <c r="A1087">
        <v>12</v>
      </c>
      <c r="B1087">
        <v>0</v>
      </c>
      <c r="C1087">
        <v>379</v>
      </c>
    </row>
    <row r="1088" spans="1:3" x14ac:dyDescent="0.25">
      <c r="A1088">
        <v>13</v>
      </c>
      <c r="B1088">
        <v>0</v>
      </c>
      <c r="C1088">
        <v>379</v>
      </c>
    </row>
    <row r="1089" spans="1:3" x14ac:dyDescent="0.25">
      <c r="A1089">
        <v>11</v>
      </c>
      <c r="B1089">
        <v>0</v>
      </c>
      <c r="C1089">
        <v>379</v>
      </c>
    </row>
    <row r="1090" spans="1:3" x14ac:dyDescent="0.25">
      <c r="A1090">
        <v>13</v>
      </c>
      <c r="B1090">
        <v>0</v>
      </c>
      <c r="C1090">
        <v>379</v>
      </c>
    </row>
    <row r="1091" spans="1:3" x14ac:dyDescent="0.25">
      <c r="A1091">
        <v>13</v>
      </c>
      <c r="B1091">
        <v>0</v>
      </c>
      <c r="C1091">
        <v>379</v>
      </c>
    </row>
    <row r="1092" spans="1:3" x14ac:dyDescent="0.25">
      <c r="A1092">
        <v>12</v>
      </c>
      <c r="B1092">
        <v>0</v>
      </c>
      <c r="C1092">
        <v>379</v>
      </c>
    </row>
    <row r="1093" spans="1:3" x14ac:dyDescent="0.25">
      <c r="A1093">
        <v>13</v>
      </c>
      <c r="B1093">
        <v>0</v>
      </c>
      <c r="C1093">
        <v>305</v>
      </c>
    </row>
    <row r="1094" spans="1:3" x14ac:dyDescent="0.25">
      <c r="A1094">
        <v>12</v>
      </c>
      <c r="B1094">
        <v>0</v>
      </c>
      <c r="C1094">
        <v>305</v>
      </c>
    </row>
    <row r="1095" spans="1:3" x14ac:dyDescent="0.25">
      <c r="A1095">
        <v>12</v>
      </c>
      <c r="B1095">
        <v>0</v>
      </c>
      <c r="C1095">
        <v>305</v>
      </c>
    </row>
    <row r="1096" spans="1:3" x14ac:dyDescent="0.25">
      <c r="A1096">
        <v>12</v>
      </c>
      <c r="B1096">
        <v>0</v>
      </c>
      <c r="C1096">
        <v>305</v>
      </c>
    </row>
    <row r="1097" spans="1:3" x14ac:dyDescent="0.25">
      <c r="A1097">
        <v>11</v>
      </c>
      <c r="B1097">
        <v>0</v>
      </c>
      <c r="C1097">
        <v>305</v>
      </c>
    </row>
    <row r="1098" spans="1:3" x14ac:dyDescent="0.25">
      <c r="A1098">
        <v>12</v>
      </c>
      <c r="B1098">
        <v>0</v>
      </c>
      <c r="C1098">
        <v>305</v>
      </c>
    </row>
    <row r="1099" spans="1:3" x14ac:dyDescent="0.25">
      <c r="A1099">
        <v>13</v>
      </c>
      <c r="B1099">
        <v>0</v>
      </c>
      <c r="C1099">
        <v>305</v>
      </c>
    </row>
    <row r="1100" spans="1:3" x14ac:dyDescent="0.25">
      <c r="A1100">
        <v>12</v>
      </c>
      <c r="B1100">
        <v>0</v>
      </c>
      <c r="C1100">
        <v>305</v>
      </c>
    </row>
    <row r="1101" spans="1:3" x14ac:dyDescent="0.25">
      <c r="A1101">
        <v>13</v>
      </c>
      <c r="B1101">
        <v>0</v>
      </c>
      <c r="C1101">
        <v>327</v>
      </c>
    </row>
    <row r="1102" spans="1:3" x14ac:dyDescent="0.25">
      <c r="A1102">
        <v>13</v>
      </c>
      <c r="B1102">
        <v>0</v>
      </c>
      <c r="C1102">
        <v>327</v>
      </c>
    </row>
    <row r="1103" spans="1:3" x14ac:dyDescent="0.25">
      <c r="A1103">
        <v>12</v>
      </c>
      <c r="B1103">
        <v>0</v>
      </c>
      <c r="C1103">
        <v>327</v>
      </c>
    </row>
    <row r="1104" spans="1:3" x14ac:dyDescent="0.25">
      <c r="A1104">
        <v>12</v>
      </c>
      <c r="B1104">
        <v>0</v>
      </c>
      <c r="C1104">
        <v>327</v>
      </c>
    </row>
    <row r="1105" spans="1:3" x14ac:dyDescent="0.25">
      <c r="A1105">
        <v>12</v>
      </c>
      <c r="B1105">
        <v>0</v>
      </c>
      <c r="C1105">
        <v>327</v>
      </c>
    </row>
    <row r="1106" spans="1:3" x14ac:dyDescent="0.25">
      <c r="A1106">
        <v>12</v>
      </c>
      <c r="B1106">
        <v>0</v>
      </c>
      <c r="C1106">
        <v>327</v>
      </c>
    </row>
    <row r="1107" spans="1:3" x14ac:dyDescent="0.25">
      <c r="A1107">
        <v>12</v>
      </c>
      <c r="B1107">
        <v>0</v>
      </c>
      <c r="C1107">
        <v>327</v>
      </c>
    </row>
    <row r="1108" spans="1:3" x14ac:dyDescent="0.25">
      <c r="A1108">
        <v>11</v>
      </c>
      <c r="B1108">
        <v>0</v>
      </c>
      <c r="C1108">
        <v>327</v>
      </c>
    </row>
    <row r="1109" spans="1:3" x14ac:dyDescent="0.25">
      <c r="A1109">
        <v>10</v>
      </c>
      <c r="B1109">
        <v>0</v>
      </c>
      <c r="C1109">
        <v>350</v>
      </c>
    </row>
    <row r="1110" spans="1:3" x14ac:dyDescent="0.25">
      <c r="A1110">
        <v>11</v>
      </c>
      <c r="B1110">
        <v>0</v>
      </c>
      <c r="C1110">
        <v>350</v>
      </c>
    </row>
    <row r="1111" spans="1:3" x14ac:dyDescent="0.25">
      <c r="A1111">
        <v>11</v>
      </c>
      <c r="B1111">
        <v>0</v>
      </c>
      <c r="C1111">
        <v>350</v>
      </c>
    </row>
    <row r="1112" spans="1:3" x14ac:dyDescent="0.25">
      <c r="A1112">
        <v>12</v>
      </c>
      <c r="B1112">
        <v>0</v>
      </c>
      <c r="C1112">
        <v>350</v>
      </c>
    </row>
    <row r="1113" spans="1:3" x14ac:dyDescent="0.25">
      <c r="A1113">
        <v>12</v>
      </c>
      <c r="B1113">
        <v>0</v>
      </c>
      <c r="C1113">
        <v>350</v>
      </c>
    </row>
    <row r="1114" spans="1:3" x14ac:dyDescent="0.25">
      <c r="A1114">
        <v>12</v>
      </c>
      <c r="B1114">
        <v>0</v>
      </c>
      <c r="C1114">
        <v>350</v>
      </c>
    </row>
    <row r="1115" spans="1:3" x14ac:dyDescent="0.25">
      <c r="A1115">
        <v>12</v>
      </c>
      <c r="B1115">
        <v>0</v>
      </c>
      <c r="C1115">
        <v>350</v>
      </c>
    </row>
    <row r="1116" spans="1:3" x14ac:dyDescent="0.25">
      <c r="A1116">
        <v>14</v>
      </c>
      <c r="B1116">
        <v>0</v>
      </c>
      <c r="C1116">
        <v>350</v>
      </c>
    </row>
    <row r="1117" spans="1:3" x14ac:dyDescent="0.25">
      <c r="A1117">
        <v>12</v>
      </c>
      <c r="B1117">
        <v>0</v>
      </c>
      <c r="C1117">
        <v>323</v>
      </c>
    </row>
    <row r="1118" spans="1:3" x14ac:dyDescent="0.25">
      <c r="A1118">
        <v>14</v>
      </c>
      <c r="B1118">
        <v>0</v>
      </c>
      <c r="C1118">
        <v>323</v>
      </c>
    </row>
    <row r="1119" spans="1:3" x14ac:dyDescent="0.25">
      <c r="A1119">
        <v>11</v>
      </c>
      <c r="B1119">
        <v>0</v>
      </c>
      <c r="C1119">
        <v>323</v>
      </c>
    </row>
    <row r="1120" spans="1:3" x14ac:dyDescent="0.25">
      <c r="A1120">
        <v>11</v>
      </c>
      <c r="B1120">
        <v>0</v>
      </c>
      <c r="C1120">
        <v>323</v>
      </c>
    </row>
    <row r="1121" spans="1:3" x14ac:dyDescent="0.25">
      <c r="A1121">
        <v>14</v>
      </c>
      <c r="B1121">
        <v>0</v>
      </c>
      <c r="C1121">
        <v>323</v>
      </c>
    </row>
    <row r="1122" spans="1:3" x14ac:dyDescent="0.25">
      <c r="A1122">
        <v>12</v>
      </c>
      <c r="B1122">
        <v>0</v>
      </c>
      <c r="C1122">
        <v>323</v>
      </c>
    </row>
    <row r="1123" spans="1:3" x14ac:dyDescent="0.25">
      <c r="A1123">
        <v>11</v>
      </c>
      <c r="B1123">
        <v>0</v>
      </c>
      <c r="C1123">
        <v>323</v>
      </c>
    </row>
    <row r="1124" spans="1:3" x14ac:dyDescent="0.25">
      <c r="A1124">
        <v>11</v>
      </c>
      <c r="B1124">
        <v>0</v>
      </c>
      <c r="C1124">
        <v>323</v>
      </c>
    </row>
    <row r="1125" spans="1:3" x14ac:dyDescent="0.25">
      <c r="A1125">
        <v>11</v>
      </c>
      <c r="B1125">
        <v>0</v>
      </c>
      <c r="C1125">
        <v>329</v>
      </c>
    </row>
    <row r="1126" spans="1:3" x14ac:dyDescent="0.25">
      <c r="A1126">
        <v>14</v>
      </c>
      <c r="B1126">
        <v>0</v>
      </c>
      <c r="C1126">
        <v>329</v>
      </c>
    </row>
    <row r="1127" spans="1:3" x14ac:dyDescent="0.25">
      <c r="A1127">
        <v>13</v>
      </c>
      <c r="B1127">
        <v>0</v>
      </c>
      <c r="C1127">
        <v>329</v>
      </c>
    </row>
    <row r="1128" spans="1:3" x14ac:dyDescent="0.25">
      <c r="A1128">
        <v>12</v>
      </c>
      <c r="B1128">
        <v>0</v>
      </c>
      <c r="C1128">
        <v>329</v>
      </c>
    </row>
    <row r="1129" spans="1:3" x14ac:dyDescent="0.25">
      <c r="A1129">
        <v>12</v>
      </c>
      <c r="B1129">
        <v>0</v>
      </c>
      <c r="C1129">
        <v>329</v>
      </c>
    </row>
    <row r="1130" spans="1:3" x14ac:dyDescent="0.25">
      <c r="A1130">
        <v>12</v>
      </c>
      <c r="B1130">
        <v>0</v>
      </c>
      <c r="C1130">
        <v>329</v>
      </c>
    </row>
    <row r="1131" spans="1:3" x14ac:dyDescent="0.25">
      <c r="A1131">
        <v>13</v>
      </c>
      <c r="B1131">
        <v>0</v>
      </c>
      <c r="C1131">
        <v>329</v>
      </c>
    </row>
    <row r="1132" spans="1:3" x14ac:dyDescent="0.25">
      <c r="A1132">
        <v>11</v>
      </c>
      <c r="B1132">
        <v>0</v>
      </c>
      <c r="C1132">
        <v>329</v>
      </c>
    </row>
    <row r="1133" spans="1:3" x14ac:dyDescent="0.25">
      <c r="A1133">
        <v>14</v>
      </c>
      <c r="B1133">
        <v>0</v>
      </c>
      <c r="C1133">
        <v>348</v>
      </c>
    </row>
    <row r="1134" spans="1:3" x14ac:dyDescent="0.25">
      <c r="A1134">
        <v>12</v>
      </c>
      <c r="B1134">
        <v>0</v>
      </c>
      <c r="C1134">
        <v>348</v>
      </c>
    </row>
    <row r="1135" spans="1:3" x14ac:dyDescent="0.25">
      <c r="A1135">
        <v>12</v>
      </c>
      <c r="B1135">
        <v>0</v>
      </c>
      <c r="C1135">
        <v>348</v>
      </c>
    </row>
    <row r="1136" spans="1:3" x14ac:dyDescent="0.25">
      <c r="A1136">
        <v>11</v>
      </c>
      <c r="B1136">
        <v>0</v>
      </c>
      <c r="C1136">
        <v>348</v>
      </c>
    </row>
    <row r="1137" spans="1:3" x14ac:dyDescent="0.25">
      <c r="A1137">
        <v>12</v>
      </c>
      <c r="B1137">
        <v>0</v>
      </c>
      <c r="C1137">
        <v>348</v>
      </c>
    </row>
    <row r="1138" spans="1:3" x14ac:dyDescent="0.25">
      <c r="A1138">
        <v>11</v>
      </c>
      <c r="B1138">
        <v>0</v>
      </c>
      <c r="C1138">
        <v>348</v>
      </c>
    </row>
    <row r="1139" spans="1:3" x14ac:dyDescent="0.25">
      <c r="A1139">
        <v>10</v>
      </c>
      <c r="B1139">
        <v>0</v>
      </c>
      <c r="C1139">
        <v>348</v>
      </c>
    </row>
    <row r="1140" spans="1:3" x14ac:dyDescent="0.25">
      <c r="A1140">
        <v>13</v>
      </c>
      <c r="B1140">
        <v>0</v>
      </c>
      <c r="C1140">
        <v>348</v>
      </c>
    </row>
    <row r="1141" spans="1:3" x14ac:dyDescent="0.25">
      <c r="A1141">
        <v>14</v>
      </c>
      <c r="B1141">
        <v>0</v>
      </c>
      <c r="C1141">
        <v>336</v>
      </c>
    </row>
    <row r="1142" spans="1:3" x14ac:dyDescent="0.25">
      <c r="A1142">
        <v>12</v>
      </c>
      <c r="B1142">
        <v>0</v>
      </c>
      <c r="C1142">
        <v>336</v>
      </c>
    </row>
    <row r="1143" spans="1:3" x14ac:dyDescent="0.25">
      <c r="A1143">
        <v>13</v>
      </c>
      <c r="B1143">
        <v>0</v>
      </c>
      <c r="C1143">
        <v>336</v>
      </c>
    </row>
    <row r="1144" spans="1:3" x14ac:dyDescent="0.25">
      <c r="A1144">
        <v>11</v>
      </c>
      <c r="B1144">
        <v>0</v>
      </c>
      <c r="C1144">
        <v>336</v>
      </c>
    </row>
    <row r="1145" spans="1:3" x14ac:dyDescent="0.25">
      <c r="A1145">
        <v>11</v>
      </c>
      <c r="B1145">
        <v>0</v>
      </c>
      <c r="C1145">
        <v>336</v>
      </c>
    </row>
    <row r="1146" spans="1:3" x14ac:dyDescent="0.25">
      <c r="A1146">
        <v>13</v>
      </c>
      <c r="B1146">
        <v>0</v>
      </c>
      <c r="C1146">
        <v>336</v>
      </c>
    </row>
    <row r="1147" spans="1:3" x14ac:dyDescent="0.25">
      <c r="A1147">
        <v>13</v>
      </c>
      <c r="B1147">
        <v>0</v>
      </c>
      <c r="C1147">
        <v>336</v>
      </c>
    </row>
    <row r="1148" spans="1:3" x14ac:dyDescent="0.25">
      <c r="A1148">
        <v>13</v>
      </c>
      <c r="B1148">
        <v>0</v>
      </c>
      <c r="C1148">
        <v>336</v>
      </c>
    </row>
    <row r="1149" spans="1:3" x14ac:dyDescent="0.25">
      <c r="A1149">
        <v>12</v>
      </c>
      <c r="B1149">
        <v>0</v>
      </c>
      <c r="C1149">
        <v>366</v>
      </c>
    </row>
    <row r="1150" spans="1:3" x14ac:dyDescent="0.25">
      <c r="A1150">
        <v>12</v>
      </c>
      <c r="B1150">
        <v>0</v>
      </c>
      <c r="C1150">
        <v>366</v>
      </c>
    </row>
    <row r="1151" spans="1:3" x14ac:dyDescent="0.25">
      <c r="A1151">
        <v>14</v>
      </c>
      <c r="B1151">
        <v>0</v>
      </c>
      <c r="C1151">
        <v>366</v>
      </c>
    </row>
    <row r="1152" spans="1:3" x14ac:dyDescent="0.25">
      <c r="A1152">
        <v>15</v>
      </c>
      <c r="B1152">
        <v>0</v>
      </c>
      <c r="C1152">
        <v>366</v>
      </c>
    </row>
    <row r="1153" spans="1:3" x14ac:dyDescent="0.25">
      <c r="A1153">
        <v>11</v>
      </c>
      <c r="B1153">
        <v>0</v>
      </c>
      <c r="C1153">
        <v>366</v>
      </c>
    </row>
    <row r="1154" spans="1:3" x14ac:dyDescent="0.25">
      <c r="A1154">
        <v>11</v>
      </c>
      <c r="B1154">
        <v>0</v>
      </c>
      <c r="C1154">
        <v>366</v>
      </c>
    </row>
    <row r="1155" spans="1:3" x14ac:dyDescent="0.25">
      <c r="A1155">
        <v>12</v>
      </c>
      <c r="B1155">
        <v>0</v>
      </c>
      <c r="C1155">
        <v>366</v>
      </c>
    </row>
    <row r="1156" spans="1:3" x14ac:dyDescent="0.25">
      <c r="A1156">
        <v>14</v>
      </c>
      <c r="B1156">
        <v>0</v>
      </c>
      <c r="C1156">
        <v>366</v>
      </c>
    </row>
    <row r="1157" spans="1:3" x14ac:dyDescent="0.25">
      <c r="A1157">
        <v>12</v>
      </c>
      <c r="B1157">
        <v>0</v>
      </c>
      <c r="C1157">
        <v>321</v>
      </c>
    </row>
    <row r="1158" spans="1:3" x14ac:dyDescent="0.25">
      <c r="A1158">
        <v>17</v>
      </c>
      <c r="B1158">
        <v>0</v>
      </c>
      <c r="C1158">
        <v>321</v>
      </c>
    </row>
    <row r="1159" spans="1:3" x14ac:dyDescent="0.25">
      <c r="A1159">
        <v>12</v>
      </c>
      <c r="B1159">
        <v>0</v>
      </c>
      <c r="C1159">
        <v>321</v>
      </c>
    </row>
    <row r="1160" spans="1:3" x14ac:dyDescent="0.25">
      <c r="A1160">
        <v>11</v>
      </c>
      <c r="B1160">
        <v>0</v>
      </c>
      <c r="C1160">
        <v>321</v>
      </c>
    </row>
    <row r="1161" spans="1:3" x14ac:dyDescent="0.25">
      <c r="A1161">
        <v>12</v>
      </c>
      <c r="B1161">
        <v>0</v>
      </c>
      <c r="C1161">
        <v>321</v>
      </c>
    </row>
    <row r="1162" spans="1:3" x14ac:dyDescent="0.25">
      <c r="A1162">
        <v>11</v>
      </c>
      <c r="B1162">
        <v>0</v>
      </c>
      <c r="C1162">
        <v>321</v>
      </c>
    </row>
    <row r="1163" spans="1:3" x14ac:dyDescent="0.25">
      <c r="A1163">
        <v>12</v>
      </c>
      <c r="B1163">
        <v>0</v>
      </c>
      <c r="C1163">
        <v>321</v>
      </c>
    </row>
    <row r="1164" spans="1:3" x14ac:dyDescent="0.25">
      <c r="A1164">
        <v>12</v>
      </c>
      <c r="B1164">
        <v>0</v>
      </c>
      <c r="C1164">
        <v>321</v>
      </c>
    </row>
    <row r="1165" spans="1:3" x14ac:dyDescent="0.25">
      <c r="A1165">
        <v>12</v>
      </c>
      <c r="B1165">
        <v>0</v>
      </c>
      <c r="C1165">
        <v>379</v>
      </c>
    </row>
    <row r="1166" spans="1:3" x14ac:dyDescent="0.25">
      <c r="A1166">
        <v>12</v>
      </c>
      <c r="B1166">
        <v>0</v>
      </c>
      <c r="C1166">
        <v>379</v>
      </c>
    </row>
    <row r="1167" spans="1:3" x14ac:dyDescent="0.25">
      <c r="A1167">
        <v>13</v>
      </c>
      <c r="B1167">
        <v>0</v>
      </c>
      <c r="C1167">
        <v>379</v>
      </c>
    </row>
    <row r="1168" spans="1:3" x14ac:dyDescent="0.25">
      <c r="A1168">
        <v>11</v>
      </c>
      <c r="B1168">
        <v>0</v>
      </c>
      <c r="C1168">
        <v>379</v>
      </c>
    </row>
    <row r="1169" spans="1:3" x14ac:dyDescent="0.25">
      <c r="A1169">
        <v>11</v>
      </c>
      <c r="B1169">
        <v>0</v>
      </c>
      <c r="C1169">
        <v>379</v>
      </c>
    </row>
    <row r="1170" spans="1:3" x14ac:dyDescent="0.25">
      <c r="A1170">
        <v>11</v>
      </c>
      <c r="B1170">
        <v>0</v>
      </c>
      <c r="C1170">
        <v>379</v>
      </c>
    </row>
    <row r="1171" spans="1:3" x14ac:dyDescent="0.25">
      <c r="A1171">
        <v>12</v>
      </c>
      <c r="B1171">
        <v>0</v>
      </c>
      <c r="C1171">
        <v>379</v>
      </c>
    </row>
    <row r="1172" spans="1:3" x14ac:dyDescent="0.25">
      <c r="A1172">
        <v>13</v>
      </c>
      <c r="B1172">
        <v>0</v>
      </c>
      <c r="C1172">
        <v>379</v>
      </c>
    </row>
    <row r="1173" spans="1:3" x14ac:dyDescent="0.25">
      <c r="A1173">
        <v>12</v>
      </c>
      <c r="B1173">
        <v>0</v>
      </c>
      <c r="C1173">
        <v>321</v>
      </c>
    </row>
    <row r="1174" spans="1:3" x14ac:dyDescent="0.25">
      <c r="A1174">
        <v>12</v>
      </c>
      <c r="B1174">
        <v>0</v>
      </c>
      <c r="C1174">
        <v>321</v>
      </c>
    </row>
    <row r="1175" spans="1:3" x14ac:dyDescent="0.25">
      <c r="A1175">
        <v>12</v>
      </c>
      <c r="B1175">
        <v>0</v>
      </c>
      <c r="C1175">
        <v>321</v>
      </c>
    </row>
    <row r="1176" spans="1:3" x14ac:dyDescent="0.25">
      <c r="A1176">
        <v>11</v>
      </c>
      <c r="B1176">
        <v>0</v>
      </c>
      <c r="C1176">
        <v>321</v>
      </c>
    </row>
    <row r="1177" spans="1:3" x14ac:dyDescent="0.25">
      <c r="A1177">
        <v>12</v>
      </c>
      <c r="B1177">
        <v>0</v>
      </c>
      <c r="C1177">
        <v>321</v>
      </c>
    </row>
    <row r="1178" spans="1:3" x14ac:dyDescent="0.25">
      <c r="A1178">
        <v>13</v>
      </c>
      <c r="B1178">
        <v>0</v>
      </c>
      <c r="C1178">
        <v>321</v>
      </c>
    </row>
    <row r="1179" spans="1:3" x14ac:dyDescent="0.25">
      <c r="A1179">
        <v>14</v>
      </c>
      <c r="B1179">
        <v>0</v>
      </c>
      <c r="C1179">
        <v>321</v>
      </c>
    </row>
    <row r="1180" spans="1:3" x14ac:dyDescent="0.25">
      <c r="A1180">
        <v>11</v>
      </c>
      <c r="B1180">
        <v>0</v>
      </c>
      <c r="C1180">
        <v>321</v>
      </c>
    </row>
    <row r="1181" spans="1:3" x14ac:dyDescent="0.25">
      <c r="A1181">
        <v>13</v>
      </c>
      <c r="B1181">
        <v>0</v>
      </c>
      <c r="C1181">
        <v>310</v>
      </c>
    </row>
    <row r="1182" spans="1:3" x14ac:dyDescent="0.25">
      <c r="A1182">
        <v>12</v>
      </c>
      <c r="B1182">
        <v>0</v>
      </c>
      <c r="C1182">
        <v>310</v>
      </c>
    </row>
    <row r="1183" spans="1:3" x14ac:dyDescent="0.25">
      <c r="A1183">
        <v>11</v>
      </c>
      <c r="B1183">
        <v>0</v>
      </c>
      <c r="C1183">
        <v>310</v>
      </c>
    </row>
    <row r="1184" spans="1:3" x14ac:dyDescent="0.25">
      <c r="A1184">
        <v>11</v>
      </c>
      <c r="B1184">
        <v>0</v>
      </c>
      <c r="C1184">
        <v>310</v>
      </c>
    </row>
    <row r="1185" spans="1:3" x14ac:dyDescent="0.25">
      <c r="A1185">
        <v>11</v>
      </c>
      <c r="B1185">
        <v>0</v>
      </c>
      <c r="C1185">
        <v>310</v>
      </c>
    </row>
    <row r="1186" spans="1:3" x14ac:dyDescent="0.25">
      <c r="A1186">
        <v>13</v>
      </c>
      <c r="B1186">
        <v>0</v>
      </c>
      <c r="C1186">
        <v>310</v>
      </c>
    </row>
    <row r="1187" spans="1:3" x14ac:dyDescent="0.25">
      <c r="A1187">
        <v>15</v>
      </c>
      <c r="B1187">
        <v>0</v>
      </c>
      <c r="C1187">
        <v>310</v>
      </c>
    </row>
    <row r="1188" spans="1:3" x14ac:dyDescent="0.25">
      <c r="A1188">
        <v>17</v>
      </c>
      <c r="B1188">
        <v>0</v>
      </c>
      <c r="C1188">
        <v>310</v>
      </c>
    </row>
    <row r="1189" spans="1:3" x14ac:dyDescent="0.25">
      <c r="A1189">
        <v>11</v>
      </c>
      <c r="B1189">
        <v>0</v>
      </c>
      <c r="C1189">
        <v>343</v>
      </c>
    </row>
    <row r="1190" spans="1:3" x14ac:dyDescent="0.25">
      <c r="A1190">
        <v>12</v>
      </c>
      <c r="B1190">
        <v>0</v>
      </c>
      <c r="C1190">
        <v>343</v>
      </c>
    </row>
    <row r="1191" spans="1:3" x14ac:dyDescent="0.25">
      <c r="A1191">
        <v>11</v>
      </c>
      <c r="B1191">
        <v>0</v>
      </c>
      <c r="C1191">
        <v>343</v>
      </c>
    </row>
    <row r="1192" spans="1:3" x14ac:dyDescent="0.25">
      <c r="A1192">
        <v>13</v>
      </c>
      <c r="B1192">
        <v>0</v>
      </c>
      <c r="C1192">
        <v>343</v>
      </c>
    </row>
    <row r="1193" spans="1:3" x14ac:dyDescent="0.25">
      <c r="A1193">
        <v>13</v>
      </c>
      <c r="B1193">
        <v>0</v>
      </c>
      <c r="C1193">
        <v>343</v>
      </c>
    </row>
    <row r="1194" spans="1:3" x14ac:dyDescent="0.25">
      <c r="A1194">
        <v>12</v>
      </c>
      <c r="B1194">
        <v>0</v>
      </c>
      <c r="C1194">
        <v>343</v>
      </c>
    </row>
    <row r="1195" spans="1:3" x14ac:dyDescent="0.25">
      <c r="A1195">
        <v>12</v>
      </c>
      <c r="B1195">
        <v>0</v>
      </c>
      <c r="C1195">
        <v>343</v>
      </c>
    </row>
    <row r="1196" spans="1:3" x14ac:dyDescent="0.25">
      <c r="A1196">
        <v>14</v>
      </c>
      <c r="B1196">
        <v>0</v>
      </c>
      <c r="C1196">
        <v>343</v>
      </c>
    </row>
    <row r="1197" spans="1:3" x14ac:dyDescent="0.25">
      <c r="A1197">
        <v>12</v>
      </c>
      <c r="B1197">
        <v>0</v>
      </c>
      <c r="C1197">
        <v>338</v>
      </c>
    </row>
    <row r="1198" spans="1:3" x14ac:dyDescent="0.25">
      <c r="A1198">
        <v>11</v>
      </c>
      <c r="B1198">
        <v>0</v>
      </c>
      <c r="C1198">
        <v>338</v>
      </c>
    </row>
    <row r="1199" spans="1:3" x14ac:dyDescent="0.25">
      <c r="A1199">
        <v>11</v>
      </c>
      <c r="B1199">
        <v>0</v>
      </c>
      <c r="C1199">
        <v>338</v>
      </c>
    </row>
    <row r="1200" spans="1:3" x14ac:dyDescent="0.25">
      <c r="A1200">
        <v>12</v>
      </c>
      <c r="B1200">
        <v>0</v>
      </c>
      <c r="C1200">
        <v>338</v>
      </c>
    </row>
    <row r="1201" spans="1:3" x14ac:dyDescent="0.25">
      <c r="A1201">
        <v>12</v>
      </c>
      <c r="B1201">
        <v>0</v>
      </c>
      <c r="C1201">
        <v>338</v>
      </c>
    </row>
    <row r="1202" spans="1:3" x14ac:dyDescent="0.25">
      <c r="A1202">
        <v>12</v>
      </c>
      <c r="B1202">
        <v>0</v>
      </c>
      <c r="C1202">
        <v>338</v>
      </c>
    </row>
    <row r="1203" spans="1:3" x14ac:dyDescent="0.25">
      <c r="A1203">
        <v>12</v>
      </c>
      <c r="B1203">
        <v>0</v>
      </c>
      <c r="C1203">
        <v>338</v>
      </c>
    </row>
    <row r="1204" spans="1:3" x14ac:dyDescent="0.25">
      <c r="A1204">
        <v>11</v>
      </c>
      <c r="B1204">
        <v>0</v>
      </c>
      <c r="C1204">
        <v>364</v>
      </c>
    </row>
    <row r="1205" spans="1:3" x14ac:dyDescent="0.25">
      <c r="A1205">
        <v>13</v>
      </c>
      <c r="B1205">
        <v>0</v>
      </c>
      <c r="C1205">
        <v>364</v>
      </c>
    </row>
    <row r="1206" spans="1:3" x14ac:dyDescent="0.25">
      <c r="A1206">
        <v>12</v>
      </c>
      <c r="B1206">
        <v>0</v>
      </c>
      <c r="C1206">
        <v>364</v>
      </c>
    </row>
    <row r="1207" spans="1:3" x14ac:dyDescent="0.25">
      <c r="A1207">
        <v>12</v>
      </c>
      <c r="B1207">
        <v>0</v>
      </c>
      <c r="C1207">
        <v>364</v>
      </c>
    </row>
    <row r="1208" spans="1:3" x14ac:dyDescent="0.25">
      <c r="A1208">
        <v>12</v>
      </c>
      <c r="B1208">
        <v>0</v>
      </c>
      <c r="C1208">
        <v>364</v>
      </c>
    </row>
    <row r="1209" spans="1:3" x14ac:dyDescent="0.25">
      <c r="A1209">
        <v>14</v>
      </c>
      <c r="B1209">
        <v>0</v>
      </c>
      <c r="C1209">
        <v>364</v>
      </c>
    </row>
    <row r="1210" spans="1:3" x14ac:dyDescent="0.25">
      <c r="A1210">
        <v>11</v>
      </c>
      <c r="B1210">
        <v>0</v>
      </c>
      <c r="C1210">
        <v>364</v>
      </c>
    </row>
    <row r="1211" spans="1:3" x14ac:dyDescent="0.25">
      <c r="A1211">
        <v>12</v>
      </c>
      <c r="B1211">
        <v>0</v>
      </c>
      <c r="C1211">
        <v>364</v>
      </c>
    </row>
    <row r="1212" spans="1:3" x14ac:dyDescent="0.25">
      <c r="A1212">
        <v>11</v>
      </c>
      <c r="B1212">
        <v>0</v>
      </c>
      <c r="C1212">
        <v>335</v>
      </c>
    </row>
    <row r="1213" spans="1:3" x14ac:dyDescent="0.25">
      <c r="A1213">
        <v>14</v>
      </c>
      <c r="B1213">
        <v>0</v>
      </c>
      <c r="C1213">
        <v>335</v>
      </c>
    </row>
    <row r="1214" spans="1:3" x14ac:dyDescent="0.25">
      <c r="A1214">
        <v>12</v>
      </c>
      <c r="B1214">
        <v>0</v>
      </c>
      <c r="C1214">
        <v>335</v>
      </c>
    </row>
    <row r="1215" spans="1:3" x14ac:dyDescent="0.25">
      <c r="A1215">
        <v>12</v>
      </c>
      <c r="B1215">
        <v>0</v>
      </c>
      <c r="C1215">
        <v>335</v>
      </c>
    </row>
    <row r="1216" spans="1:3" x14ac:dyDescent="0.25">
      <c r="A1216">
        <v>13</v>
      </c>
      <c r="B1216">
        <v>0</v>
      </c>
      <c r="C1216">
        <v>335</v>
      </c>
    </row>
    <row r="1217" spans="1:3" x14ac:dyDescent="0.25">
      <c r="A1217">
        <v>14</v>
      </c>
      <c r="B1217">
        <v>0</v>
      </c>
      <c r="C1217">
        <v>335</v>
      </c>
    </row>
    <row r="1218" spans="1:3" x14ac:dyDescent="0.25">
      <c r="A1218">
        <v>13</v>
      </c>
      <c r="B1218">
        <v>0</v>
      </c>
      <c r="C1218">
        <v>335</v>
      </c>
    </row>
    <row r="1219" spans="1:3" x14ac:dyDescent="0.25">
      <c r="A1219">
        <v>14</v>
      </c>
      <c r="B1219">
        <v>0</v>
      </c>
      <c r="C1219">
        <v>335</v>
      </c>
    </row>
    <row r="1220" spans="1:3" x14ac:dyDescent="0.25">
      <c r="A1220">
        <v>12</v>
      </c>
      <c r="B1220">
        <v>0</v>
      </c>
      <c r="C1220">
        <v>341</v>
      </c>
    </row>
    <row r="1221" spans="1:3" x14ac:dyDescent="0.25">
      <c r="A1221">
        <v>14</v>
      </c>
      <c r="B1221">
        <v>0</v>
      </c>
      <c r="C1221">
        <v>341</v>
      </c>
    </row>
    <row r="1222" spans="1:3" x14ac:dyDescent="0.25">
      <c r="A1222">
        <v>13</v>
      </c>
      <c r="B1222">
        <v>0</v>
      </c>
      <c r="C1222">
        <v>341</v>
      </c>
    </row>
    <row r="1223" spans="1:3" x14ac:dyDescent="0.25">
      <c r="A1223">
        <v>12</v>
      </c>
      <c r="B1223">
        <v>0</v>
      </c>
      <c r="C1223">
        <v>341</v>
      </c>
    </row>
    <row r="1224" spans="1:3" x14ac:dyDescent="0.25">
      <c r="A1224">
        <v>12</v>
      </c>
      <c r="B1224">
        <v>0</v>
      </c>
      <c r="C1224">
        <v>341</v>
      </c>
    </row>
    <row r="1225" spans="1:3" x14ac:dyDescent="0.25">
      <c r="A1225">
        <v>12</v>
      </c>
      <c r="B1225">
        <v>0</v>
      </c>
      <c r="C1225">
        <v>341</v>
      </c>
    </row>
    <row r="1226" spans="1:3" x14ac:dyDescent="0.25">
      <c r="A1226">
        <v>12</v>
      </c>
      <c r="B1226">
        <v>0</v>
      </c>
      <c r="C1226">
        <v>341</v>
      </c>
    </row>
    <row r="1227" spans="1:3" x14ac:dyDescent="0.25">
      <c r="A1227">
        <v>12</v>
      </c>
      <c r="B1227">
        <v>0</v>
      </c>
      <c r="C1227">
        <v>341</v>
      </c>
    </row>
    <row r="1228" spans="1:3" x14ac:dyDescent="0.25">
      <c r="A1228">
        <v>11</v>
      </c>
      <c r="B1228">
        <v>0</v>
      </c>
      <c r="C1228">
        <v>303</v>
      </c>
    </row>
    <row r="1229" spans="1:3" x14ac:dyDescent="0.25">
      <c r="A1229">
        <v>12</v>
      </c>
      <c r="B1229">
        <v>0</v>
      </c>
      <c r="C1229">
        <v>303</v>
      </c>
    </row>
    <row r="1230" spans="1:3" x14ac:dyDescent="0.25">
      <c r="A1230">
        <v>11</v>
      </c>
      <c r="B1230">
        <v>0</v>
      </c>
      <c r="C1230">
        <v>303</v>
      </c>
    </row>
    <row r="1231" spans="1:3" x14ac:dyDescent="0.25">
      <c r="A1231">
        <v>14</v>
      </c>
      <c r="B1231">
        <v>0</v>
      </c>
      <c r="C1231">
        <v>303</v>
      </c>
    </row>
    <row r="1232" spans="1:3" x14ac:dyDescent="0.25">
      <c r="A1232">
        <v>17</v>
      </c>
      <c r="B1232">
        <v>0</v>
      </c>
      <c r="C1232">
        <v>303</v>
      </c>
    </row>
    <row r="1233" spans="1:3" x14ac:dyDescent="0.25">
      <c r="A1233">
        <v>15</v>
      </c>
      <c r="B1233">
        <v>0</v>
      </c>
      <c r="C1233">
        <v>303</v>
      </c>
    </row>
    <row r="1234" spans="1:3" x14ac:dyDescent="0.25">
      <c r="A1234">
        <v>12</v>
      </c>
      <c r="B1234">
        <v>0</v>
      </c>
      <c r="C1234">
        <v>303</v>
      </c>
    </row>
    <row r="1235" spans="1:3" x14ac:dyDescent="0.25">
      <c r="A1235">
        <v>11</v>
      </c>
      <c r="B1235">
        <v>0</v>
      </c>
      <c r="C1235">
        <v>303</v>
      </c>
    </row>
    <row r="1236" spans="1:3" x14ac:dyDescent="0.25">
      <c r="A1236">
        <v>12</v>
      </c>
      <c r="B1236">
        <v>0</v>
      </c>
      <c r="C1236">
        <v>372</v>
      </c>
    </row>
    <row r="1237" spans="1:3" x14ac:dyDescent="0.25">
      <c r="A1237">
        <v>13</v>
      </c>
      <c r="B1237">
        <v>0</v>
      </c>
      <c r="C1237">
        <v>372</v>
      </c>
    </row>
    <row r="1238" spans="1:3" x14ac:dyDescent="0.25">
      <c r="A1238">
        <v>12</v>
      </c>
      <c r="B1238">
        <v>0</v>
      </c>
      <c r="C1238">
        <v>372</v>
      </c>
    </row>
    <row r="1239" spans="1:3" x14ac:dyDescent="0.25">
      <c r="A1239">
        <v>12</v>
      </c>
      <c r="B1239">
        <v>0</v>
      </c>
      <c r="C1239">
        <v>372</v>
      </c>
    </row>
    <row r="1240" spans="1:3" x14ac:dyDescent="0.25">
      <c r="A1240">
        <v>14</v>
      </c>
      <c r="B1240">
        <v>0</v>
      </c>
      <c r="C1240">
        <v>372</v>
      </c>
    </row>
    <row r="1241" spans="1:3" x14ac:dyDescent="0.25">
      <c r="A1241">
        <v>12</v>
      </c>
      <c r="B1241">
        <v>0</v>
      </c>
      <c r="C1241">
        <v>372</v>
      </c>
    </row>
    <row r="1242" spans="1:3" x14ac:dyDescent="0.25">
      <c r="A1242">
        <v>12</v>
      </c>
      <c r="B1242">
        <v>0</v>
      </c>
      <c r="C1242">
        <v>372</v>
      </c>
    </row>
    <row r="1243" spans="1:3" x14ac:dyDescent="0.25">
      <c r="A1243">
        <v>11</v>
      </c>
      <c r="B1243">
        <v>0</v>
      </c>
      <c r="C1243">
        <v>372</v>
      </c>
    </row>
    <row r="1244" spans="1:3" x14ac:dyDescent="0.25">
      <c r="A1244">
        <v>11</v>
      </c>
      <c r="B1244">
        <v>0</v>
      </c>
      <c r="C1244">
        <v>341</v>
      </c>
    </row>
    <row r="1245" spans="1:3" x14ac:dyDescent="0.25">
      <c r="A1245">
        <v>13</v>
      </c>
      <c r="B1245">
        <v>0</v>
      </c>
      <c r="C1245">
        <v>341</v>
      </c>
    </row>
    <row r="1246" spans="1:3" x14ac:dyDescent="0.25">
      <c r="A1246">
        <v>13</v>
      </c>
      <c r="B1246">
        <v>0</v>
      </c>
      <c r="C1246">
        <v>341</v>
      </c>
    </row>
    <row r="1247" spans="1:3" x14ac:dyDescent="0.25">
      <c r="A1247">
        <v>12</v>
      </c>
      <c r="B1247">
        <v>0</v>
      </c>
      <c r="C1247">
        <v>341</v>
      </c>
    </row>
    <row r="1248" spans="1:3" x14ac:dyDescent="0.25">
      <c r="A1248">
        <v>12</v>
      </c>
      <c r="B1248">
        <v>0</v>
      </c>
      <c r="C1248">
        <v>341</v>
      </c>
    </row>
    <row r="1249" spans="1:3" x14ac:dyDescent="0.25">
      <c r="A1249">
        <v>12</v>
      </c>
      <c r="B1249">
        <v>0</v>
      </c>
      <c r="C1249">
        <v>341</v>
      </c>
    </row>
    <row r="1250" spans="1:3" x14ac:dyDescent="0.25">
      <c r="A1250">
        <v>12</v>
      </c>
      <c r="B1250">
        <v>0</v>
      </c>
      <c r="C1250">
        <v>341</v>
      </c>
    </row>
    <row r="1251" spans="1:3" x14ac:dyDescent="0.25">
      <c r="A1251">
        <v>11</v>
      </c>
      <c r="B1251">
        <v>0</v>
      </c>
      <c r="C1251">
        <v>341</v>
      </c>
    </row>
    <row r="1252" spans="1:3" x14ac:dyDescent="0.25">
      <c r="A1252">
        <v>13</v>
      </c>
      <c r="B1252">
        <v>0</v>
      </c>
      <c r="C1252">
        <v>381</v>
      </c>
    </row>
    <row r="1253" spans="1:3" x14ac:dyDescent="0.25">
      <c r="A1253">
        <v>12</v>
      </c>
      <c r="B1253">
        <v>0</v>
      </c>
      <c r="C1253">
        <v>381</v>
      </c>
    </row>
    <row r="1254" spans="1:3" x14ac:dyDescent="0.25">
      <c r="A1254">
        <v>12</v>
      </c>
      <c r="B1254">
        <v>0</v>
      </c>
      <c r="C1254">
        <v>381</v>
      </c>
    </row>
    <row r="1255" spans="1:3" x14ac:dyDescent="0.25">
      <c r="A1255">
        <v>12</v>
      </c>
      <c r="B1255">
        <v>0</v>
      </c>
      <c r="C1255">
        <v>381</v>
      </c>
    </row>
    <row r="1256" spans="1:3" x14ac:dyDescent="0.25">
      <c r="A1256">
        <v>12</v>
      </c>
      <c r="B1256">
        <v>0</v>
      </c>
      <c r="C1256">
        <v>381</v>
      </c>
    </row>
    <row r="1257" spans="1:3" x14ac:dyDescent="0.25">
      <c r="A1257">
        <v>12</v>
      </c>
      <c r="B1257">
        <v>0</v>
      </c>
      <c r="C1257">
        <v>381</v>
      </c>
    </row>
    <row r="1258" spans="1:3" x14ac:dyDescent="0.25">
      <c r="A1258">
        <v>11</v>
      </c>
      <c r="B1258">
        <v>0</v>
      </c>
      <c r="C1258">
        <v>381</v>
      </c>
    </row>
    <row r="1259" spans="1:3" x14ac:dyDescent="0.25">
      <c r="A1259">
        <v>11</v>
      </c>
      <c r="B1259">
        <v>0</v>
      </c>
      <c r="C1259">
        <v>381</v>
      </c>
    </row>
    <row r="1260" spans="1:3" x14ac:dyDescent="0.25">
      <c r="A1260">
        <v>11</v>
      </c>
      <c r="B1260">
        <v>0</v>
      </c>
      <c r="C1260">
        <v>320</v>
      </c>
    </row>
    <row r="1261" spans="1:3" x14ac:dyDescent="0.25">
      <c r="A1261">
        <v>12</v>
      </c>
      <c r="B1261">
        <v>0</v>
      </c>
      <c r="C1261">
        <v>320</v>
      </c>
    </row>
    <row r="1262" spans="1:3" x14ac:dyDescent="0.25">
      <c r="A1262">
        <v>12</v>
      </c>
      <c r="B1262">
        <v>0</v>
      </c>
      <c r="C1262">
        <v>320</v>
      </c>
    </row>
    <row r="1263" spans="1:3" x14ac:dyDescent="0.25">
      <c r="A1263">
        <v>13</v>
      </c>
      <c r="B1263">
        <v>0</v>
      </c>
      <c r="C1263">
        <v>320</v>
      </c>
    </row>
    <row r="1264" spans="1:3" x14ac:dyDescent="0.25">
      <c r="A1264">
        <v>14</v>
      </c>
      <c r="B1264">
        <v>0</v>
      </c>
      <c r="C1264">
        <v>320</v>
      </c>
    </row>
    <row r="1265" spans="1:3" x14ac:dyDescent="0.25">
      <c r="A1265">
        <v>12</v>
      </c>
      <c r="B1265">
        <v>0</v>
      </c>
      <c r="C1265">
        <v>320</v>
      </c>
    </row>
    <row r="1266" spans="1:3" x14ac:dyDescent="0.25">
      <c r="A1266">
        <v>12</v>
      </c>
      <c r="B1266">
        <v>0</v>
      </c>
      <c r="C1266">
        <v>320</v>
      </c>
    </row>
    <row r="1267" spans="1:3" x14ac:dyDescent="0.25">
      <c r="A1267">
        <v>12</v>
      </c>
      <c r="B1267">
        <v>0</v>
      </c>
      <c r="C1267">
        <v>320</v>
      </c>
    </row>
    <row r="1268" spans="1:3" x14ac:dyDescent="0.25">
      <c r="A1268">
        <v>12</v>
      </c>
      <c r="B1268">
        <v>0</v>
      </c>
      <c r="C1268">
        <v>322</v>
      </c>
    </row>
    <row r="1269" spans="1:3" x14ac:dyDescent="0.25">
      <c r="A1269">
        <v>12</v>
      </c>
      <c r="B1269">
        <v>0</v>
      </c>
      <c r="C1269">
        <v>322</v>
      </c>
    </row>
    <row r="1270" spans="1:3" x14ac:dyDescent="0.25">
      <c r="A1270">
        <v>12</v>
      </c>
      <c r="B1270">
        <v>0</v>
      </c>
      <c r="C1270">
        <v>322</v>
      </c>
    </row>
    <row r="1271" spans="1:3" x14ac:dyDescent="0.25">
      <c r="A1271">
        <v>11</v>
      </c>
      <c r="B1271">
        <v>0</v>
      </c>
      <c r="C1271">
        <v>322</v>
      </c>
    </row>
    <row r="1272" spans="1:3" x14ac:dyDescent="0.25">
      <c r="A1272">
        <v>12</v>
      </c>
      <c r="B1272">
        <v>0</v>
      </c>
      <c r="C1272">
        <v>322</v>
      </c>
    </row>
    <row r="1273" spans="1:3" x14ac:dyDescent="0.25">
      <c r="A1273">
        <v>13</v>
      </c>
      <c r="B1273">
        <v>0</v>
      </c>
      <c r="C1273">
        <v>322</v>
      </c>
    </row>
    <row r="1274" spans="1:3" x14ac:dyDescent="0.25">
      <c r="A1274">
        <v>13</v>
      </c>
      <c r="B1274">
        <v>0</v>
      </c>
      <c r="C1274">
        <v>322</v>
      </c>
    </row>
    <row r="1275" spans="1:3" x14ac:dyDescent="0.25">
      <c r="A1275">
        <v>12</v>
      </c>
      <c r="B1275">
        <v>0</v>
      </c>
      <c r="C1275">
        <v>322</v>
      </c>
    </row>
    <row r="1276" spans="1:3" x14ac:dyDescent="0.25">
      <c r="A1276">
        <v>14</v>
      </c>
      <c r="B1276">
        <v>0</v>
      </c>
      <c r="C1276">
        <v>312</v>
      </c>
    </row>
    <row r="1277" spans="1:3" x14ac:dyDescent="0.25">
      <c r="A1277">
        <v>11</v>
      </c>
      <c r="B1277">
        <v>0</v>
      </c>
      <c r="C1277">
        <v>312</v>
      </c>
    </row>
    <row r="1278" spans="1:3" x14ac:dyDescent="0.25">
      <c r="A1278">
        <v>12</v>
      </c>
      <c r="B1278">
        <v>0</v>
      </c>
      <c r="C1278">
        <v>312</v>
      </c>
    </row>
    <row r="1279" spans="1:3" x14ac:dyDescent="0.25">
      <c r="A1279">
        <v>14</v>
      </c>
      <c r="B1279">
        <v>0</v>
      </c>
      <c r="C1279">
        <v>312</v>
      </c>
    </row>
    <row r="1280" spans="1:3" x14ac:dyDescent="0.25">
      <c r="A1280">
        <v>13</v>
      </c>
      <c r="B1280">
        <v>0</v>
      </c>
      <c r="C1280">
        <v>312</v>
      </c>
    </row>
    <row r="1281" spans="1:3" x14ac:dyDescent="0.25">
      <c r="A1281">
        <v>12</v>
      </c>
      <c r="B1281">
        <v>0</v>
      </c>
      <c r="C1281">
        <v>312</v>
      </c>
    </row>
    <row r="1282" spans="1:3" x14ac:dyDescent="0.25">
      <c r="A1282">
        <v>98</v>
      </c>
      <c r="B1282">
        <v>0</v>
      </c>
      <c r="C1282">
        <v>312</v>
      </c>
    </row>
    <row r="1283" spans="1:3" x14ac:dyDescent="0.25">
      <c r="A1283">
        <v>12</v>
      </c>
      <c r="B1283">
        <v>0</v>
      </c>
      <c r="C1283">
        <v>345</v>
      </c>
    </row>
    <row r="1284" spans="1:3" x14ac:dyDescent="0.25">
      <c r="A1284">
        <v>13</v>
      </c>
      <c r="B1284">
        <v>0</v>
      </c>
      <c r="C1284">
        <v>345</v>
      </c>
    </row>
    <row r="1285" spans="1:3" x14ac:dyDescent="0.25">
      <c r="A1285">
        <v>11</v>
      </c>
      <c r="B1285">
        <v>0</v>
      </c>
      <c r="C1285">
        <v>345</v>
      </c>
    </row>
    <row r="1286" spans="1:3" x14ac:dyDescent="0.25">
      <c r="A1286">
        <v>13</v>
      </c>
      <c r="B1286">
        <v>0</v>
      </c>
      <c r="C1286">
        <v>345</v>
      </c>
    </row>
    <row r="1287" spans="1:3" x14ac:dyDescent="0.25">
      <c r="A1287">
        <v>13</v>
      </c>
      <c r="B1287">
        <v>0</v>
      </c>
      <c r="C1287">
        <v>345</v>
      </c>
    </row>
    <row r="1288" spans="1:3" x14ac:dyDescent="0.25">
      <c r="A1288">
        <v>11</v>
      </c>
      <c r="B1288">
        <v>0</v>
      </c>
      <c r="C1288">
        <v>345</v>
      </c>
    </row>
    <row r="1289" spans="1:3" x14ac:dyDescent="0.25">
      <c r="A1289">
        <v>11</v>
      </c>
      <c r="B1289">
        <v>0</v>
      </c>
      <c r="C1289">
        <v>345</v>
      </c>
    </row>
    <row r="1290" spans="1:3" x14ac:dyDescent="0.25">
      <c r="A1290">
        <v>12</v>
      </c>
      <c r="B1290">
        <v>0</v>
      </c>
      <c r="C1290">
        <v>345</v>
      </c>
    </row>
    <row r="1291" spans="1:3" x14ac:dyDescent="0.25">
      <c r="A1291">
        <v>12</v>
      </c>
      <c r="B1291">
        <v>0</v>
      </c>
      <c r="C1291">
        <v>312</v>
      </c>
    </row>
    <row r="1292" spans="1:3" x14ac:dyDescent="0.25">
      <c r="A1292">
        <v>13</v>
      </c>
      <c r="B1292">
        <v>0</v>
      </c>
      <c r="C1292">
        <v>312</v>
      </c>
    </row>
    <row r="1293" spans="1:3" x14ac:dyDescent="0.25">
      <c r="A1293">
        <v>11</v>
      </c>
      <c r="B1293">
        <v>0</v>
      </c>
      <c r="C1293">
        <v>312</v>
      </c>
    </row>
    <row r="1294" spans="1:3" x14ac:dyDescent="0.25">
      <c r="A1294">
        <v>13</v>
      </c>
      <c r="B1294">
        <v>0</v>
      </c>
      <c r="C1294">
        <v>312</v>
      </c>
    </row>
    <row r="1295" spans="1:3" x14ac:dyDescent="0.25">
      <c r="A1295">
        <v>12</v>
      </c>
      <c r="B1295">
        <v>0</v>
      </c>
      <c r="C1295">
        <v>312</v>
      </c>
    </row>
    <row r="1296" spans="1:3" x14ac:dyDescent="0.25">
      <c r="A1296">
        <v>14</v>
      </c>
      <c r="B1296">
        <v>0</v>
      </c>
      <c r="C1296">
        <v>312</v>
      </c>
    </row>
    <row r="1297" spans="1:3" x14ac:dyDescent="0.25">
      <c r="A1297">
        <v>12</v>
      </c>
      <c r="B1297">
        <v>0</v>
      </c>
      <c r="C1297">
        <v>312</v>
      </c>
    </row>
    <row r="1298" spans="1:3" x14ac:dyDescent="0.25">
      <c r="A1298">
        <v>12</v>
      </c>
      <c r="B1298">
        <v>0</v>
      </c>
      <c r="C1298">
        <v>312</v>
      </c>
    </row>
    <row r="1299" spans="1:3" x14ac:dyDescent="0.25">
      <c r="A1299">
        <v>12</v>
      </c>
      <c r="B1299">
        <v>0</v>
      </c>
      <c r="C1299">
        <v>326</v>
      </c>
    </row>
    <row r="1300" spans="1:3" x14ac:dyDescent="0.25">
      <c r="A1300">
        <v>12</v>
      </c>
      <c r="B1300">
        <v>0</v>
      </c>
      <c r="C1300">
        <v>326</v>
      </c>
    </row>
    <row r="1301" spans="1:3" x14ac:dyDescent="0.25">
      <c r="A1301">
        <v>12</v>
      </c>
      <c r="B1301">
        <v>0</v>
      </c>
      <c r="C1301">
        <v>326</v>
      </c>
    </row>
    <row r="1302" spans="1:3" x14ac:dyDescent="0.25">
      <c r="A1302">
        <v>14</v>
      </c>
      <c r="B1302">
        <v>0</v>
      </c>
      <c r="C1302">
        <v>326</v>
      </c>
    </row>
    <row r="1303" spans="1:3" x14ac:dyDescent="0.25">
      <c r="A1303">
        <v>10</v>
      </c>
      <c r="B1303">
        <v>0</v>
      </c>
      <c r="C1303">
        <v>326</v>
      </c>
    </row>
    <row r="1304" spans="1:3" x14ac:dyDescent="0.25">
      <c r="A1304">
        <v>11</v>
      </c>
      <c r="B1304">
        <v>0</v>
      </c>
      <c r="C1304">
        <v>326</v>
      </c>
    </row>
    <row r="1305" spans="1:3" x14ac:dyDescent="0.25">
      <c r="A1305">
        <v>11</v>
      </c>
      <c r="B1305">
        <v>0</v>
      </c>
      <c r="C1305">
        <v>326</v>
      </c>
    </row>
    <row r="1306" spans="1:3" x14ac:dyDescent="0.25">
      <c r="A1306">
        <v>12</v>
      </c>
      <c r="B1306">
        <v>0</v>
      </c>
      <c r="C1306">
        <v>326</v>
      </c>
    </row>
    <row r="1307" spans="1:3" x14ac:dyDescent="0.25">
      <c r="A1307">
        <v>12</v>
      </c>
      <c r="B1307">
        <v>0</v>
      </c>
      <c r="C1307">
        <v>326</v>
      </c>
    </row>
    <row r="1308" spans="1:3" x14ac:dyDescent="0.25">
      <c r="A1308">
        <v>12</v>
      </c>
      <c r="B1308">
        <v>0</v>
      </c>
      <c r="C1308">
        <v>351</v>
      </c>
    </row>
    <row r="1309" spans="1:3" x14ac:dyDescent="0.25">
      <c r="A1309">
        <v>13</v>
      </c>
      <c r="B1309">
        <v>0</v>
      </c>
      <c r="C1309">
        <v>351</v>
      </c>
    </row>
    <row r="1310" spans="1:3" x14ac:dyDescent="0.25">
      <c r="A1310">
        <v>14</v>
      </c>
      <c r="B1310">
        <v>0</v>
      </c>
      <c r="C1310">
        <v>351</v>
      </c>
    </row>
    <row r="1311" spans="1:3" x14ac:dyDescent="0.25">
      <c r="A1311">
        <v>12</v>
      </c>
      <c r="B1311">
        <v>0</v>
      </c>
      <c r="C1311">
        <v>351</v>
      </c>
    </row>
    <row r="1312" spans="1:3" x14ac:dyDescent="0.25">
      <c r="A1312">
        <v>12</v>
      </c>
      <c r="B1312">
        <v>0</v>
      </c>
      <c r="C1312">
        <v>351</v>
      </c>
    </row>
    <row r="1313" spans="1:3" x14ac:dyDescent="0.25">
      <c r="A1313">
        <v>12</v>
      </c>
      <c r="B1313">
        <v>0</v>
      </c>
      <c r="C1313">
        <v>351</v>
      </c>
    </row>
    <row r="1314" spans="1:3" x14ac:dyDescent="0.25">
      <c r="A1314">
        <v>12</v>
      </c>
      <c r="B1314">
        <v>0</v>
      </c>
      <c r="C1314">
        <v>351</v>
      </c>
    </row>
    <row r="1315" spans="1:3" x14ac:dyDescent="0.25">
      <c r="A1315">
        <v>13</v>
      </c>
      <c r="B1315">
        <v>0</v>
      </c>
      <c r="C1315">
        <v>351</v>
      </c>
    </row>
    <row r="1316" spans="1:3" x14ac:dyDescent="0.25">
      <c r="A1316">
        <v>11</v>
      </c>
      <c r="B1316">
        <v>0</v>
      </c>
      <c r="C1316">
        <v>395</v>
      </c>
    </row>
    <row r="1317" spans="1:3" x14ac:dyDescent="0.25">
      <c r="A1317">
        <v>13</v>
      </c>
      <c r="B1317">
        <v>0</v>
      </c>
      <c r="C1317">
        <v>395</v>
      </c>
    </row>
    <row r="1318" spans="1:3" x14ac:dyDescent="0.25">
      <c r="A1318">
        <v>13</v>
      </c>
      <c r="B1318">
        <v>0</v>
      </c>
      <c r="C1318">
        <v>395</v>
      </c>
    </row>
    <row r="1319" spans="1:3" x14ac:dyDescent="0.25">
      <c r="A1319">
        <v>11</v>
      </c>
      <c r="B1319">
        <v>0</v>
      </c>
      <c r="C1319">
        <v>395</v>
      </c>
    </row>
    <row r="1320" spans="1:3" x14ac:dyDescent="0.25">
      <c r="A1320">
        <v>12</v>
      </c>
      <c r="B1320">
        <v>0</v>
      </c>
      <c r="C1320">
        <v>395</v>
      </c>
    </row>
    <row r="1321" spans="1:3" x14ac:dyDescent="0.25">
      <c r="A1321">
        <v>12</v>
      </c>
      <c r="B1321">
        <v>0</v>
      </c>
      <c r="C1321">
        <v>395</v>
      </c>
    </row>
    <row r="1322" spans="1:3" x14ac:dyDescent="0.25">
      <c r="A1322">
        <v>11</v>
      </c>
      <c r="B1322">
        <v>0</v>
      </c>
      <c r="C1322">
        <v>395</v>
      </c>
    </row>
    <row r="1323" spans="1:3" x14ac:dyDescent="0.25">
      <c r="A1323">
        <v>11</v>
      </c>
      <c r="B1323">
        <v>0</v>
      </c>
      <c r="C1323">
        <v>395</v>
      </c>
    </row>
    <row r="1324" spans="1:3" x14ac:dyDescent="0.25">
      <c r="A1324">
        <v>14</v>
      </c>
      <c r="B1324">
        <v>0</v>
      </c>
      <c r="C1324">
        <v>336</v>
      </c>
    </row>
    <row r="1325" spans="1:3" x14ac:dyDescent="0.25">
      <c r="A1325">
        <v>12</v>
      </c>
      <c r="B1325">
        <v>0</v>
      </c>
      <c r="C1325">
        <v>336</v>
      </c>
    </row>
    <row r="1326" spans="1:3" x14ac:dyDescent="0.25">
      <c r="A1326">
        <v>13</v>
      </c>
      <c r="B1326">
        <v>0</v>
      </c>
      <c r="C1326">
        <v>336</v>
      </c>
    </row>
    <row r="1327" spans="1:3" x14ac:dyDescent="0.25">
      <c r="A1327">
        <v>13</v>
      </c>
      <c r="B1327">
        <v>0</v>
      </c>
      <c r="C1327">
        <v>336</v>
      </c>
    </row>
    <row r="1328" spans="1:3" x14ac:dyDescent="0.25">
      <c r="A1328">
        <v>12</v>
      </c>
      <c r="B1328">
        <v>0</v>
      </c>
      <c r="C1328">
        <v>336</v>
      </c>
    </row>
    <row r="1329" spans="1:3" x14ac:dyDescent="0.25">
      <c r="A1329">
        <v>14</v>
      </c>
      <c r="B1329">
        <v>0</v>
      </c>
      <c r="C1329">
        <v>336</v>
      </c>
    </row>
    <row r="1330" spans="1:3" x14ac:dyDescent="0.25">
      <c r="A1330">
        <v>13</v>
      </c>
      <c r="B1330">
        <v>0</v>
      </c>
      <c r="C1330">
        <v>336</v>
      </c>
    </row>
    <row r="1331" spans="1:3" x14ac:dyDescent="0.25">
      <c r="A1331">
        <v>11</v>
      </c>
      <c r="B1331">
        <v>0</v>
      </c>
      <c r="C1331">
        <v>336</v>
      </c>
    </row>
    <row r="1332" spans="1:3" x14ac:dyDescent="0.25">
      <c r="A1332">
        <v>13</v>
      </c>
      <c r="B1332">
        <v>0</v>
      </c>
      <c r="C1332">
        <v>365</v>
      </c>
    </row>
    <row r="1333" spans="1:3" x14ac:dyDescent="0.25">
      <c r="A1333">
        <v>14</v>
      </c>
      <c r="B1333">
        <v>0</v>
      </c>
      <c r="C1333">
        <v>365</v>
      </c>
    </row>
    <row r="1334" spans="1:3" x14ac:dyDescent="0.25">
      <c r="A1334">
        <v>12</v>
      </c>
      <c r="B1334">
        <v>0</v>
      </c>
      <c r="C1334">
        <v>365</v>
      </c>
    </row>
    <row r="1335" spans="1:3" x14ac:dyDescent="0.25">
      <c r="A1335">
        <v>11</v>
      </c>
      <c r="B1335">
        <v>0</v>
      </c>
      <c r="C1335">
        <v>365</v>
      </c>
    </row>
    <row r="1336" spans="1:3" x14ac:dyDescent="0.25">
      <c r="A1336">
        <v>13</v>
      </c>
      <c r="B1336">
        <v>0</v>
      </c>
      <c r="C1336">
        <v>365</v>
      </c>
    </row>
    <row r="1337" spans="1:3" x14ac:dyDescent="0.25">
      <c r="A1337">
        <v>12</v>
      </c>
      <c r="B1337">
        <v>0</v>
      </c>
      <c r="C1337">
        <v>365</v>
      </c>
    </row>
    <row r="1338" spans="1:3" x14ac:dyDescent="0.25">
      <c r="A1338">
        <v>12</v>
      </c>
      <c r="B1338">
        <v>0</v>
      </c>
      <c r="C1338">
        <v>365</v>
      </c>
    </row>
    <row r="1339" spans="1:3" x14ac:dyDescent="0.25">
      <c r="A1339">
        <v>15</v>
      </c>
      <c r="B1339">
        <v>0</v>
      </c>
      <c r="C1339">
        <v>365</v>
      </c>
    </row>
    <row r="1340" spans="1:3" x14ac:dyDescent="0.25">
      <c r="A1340">
        <v>11</v>
      </c>
      <c r="B1340">
        <v>0</v>
      </c>
      <c r="C1340">
        <v>314</v>
      </c>
    </row>
    <row r="1341" spans="1:3" x14ac:dyDescent="0.25">
      <c r="A1341">
        <v>15</v>
      </c>
      <c r="B1341">
        <v>0</v>
      </c>
      <c r="C1341">
        <v>314</v>
      </c>
    </row>
    <row r="1342" spans="1:3" x14ac:dyDescent="0.25">
      <c r="A1342">
        <v>12</v>
      </c>
      <c r="B1342">
        <v>0</v>
      </c>
      <c r="C1342">
        <v>314</v>
      </c>
    </row>
    <row r="1343" spans="1:3" x14ac:dyDescent="0.25">
      <c r="A1343">
        <v>14</v>
      </c>
      <c r="B1343">
        <v>0</v>
      </c>
      <c r="C1343">
        <v>314</v>
      </c>
    </row>
    <row r="1344" spans="1:3" x14ac:dyDescent="0.25">
      <c r="A1344">
        <v>11</v>
      </c>
      <c r="B1344">
        <v>0</v>
      </c>
      <c r="C1344">
        <v>314</v>
      </c>
    </row>
    <row r="1345" spans="1:3" x14ac:dyDescent="0.25">
      <c r="A1345">
        <v>12</v>
      </c>
      <c r="B1345">
        <v>0</v>
      </c>
      <c r="C1345">
        <v>314</v>
      </c>
    </row>
    <row r="1346" spans="1:3" x14ac:dyDescent="0.25">
      <c r="A1346">
        <v>14</v>
      </c>
      <c r="B1346">
        <v>0</v>
      </c>
      <c r="C1346">
        <v>314</v>
      </c>
    </row>
    <row r="1347" spans="1:3" x14ac:dyDescent="0.25">
      <c r="A1347">
        <v>13</v>
      </c>
      <c r="B1347">
        <v>0</v>
      </c>
      <c r="C1347">
        <v>314</v>
      </c>
    </row>
    <row r="1348" spans="1:3" x14ac:dyDescent="0.25">
      <c r="A1348">
        <v>16</v>
      </c>
      <c r="B1348">
        <v>0</v>
      </c>
      <c r="C1348">
        <v>327</v>
      </c>
    </row>
    <row r="1349" spans="1:3" x14ac:dyDescent="0.25">
      <c r="A1349">
        <v>11</v>
      </c>
      <c r="B1349">
        <v>0</v>
      </c>
      <c r="C1349">
        <v>327</v>
      </c>
    </row>
    <row r="1350" spans="1:3" x14ac:dyDescent="0.25">
      <c r="A1350">
        <v>11</v>
      </c>
      <c r="B1350">
        <v>0</v>
      </c>
      <c r="C1350">
        <v>327</v>
      </c>
    </row>
    <row r="1351" spans="1:3" x14ac:dyDescent="0.25">
      <c r="A1351">
        <v>12</v>
      </c>
      <c r="B1351">
        <v>0</v>
      </c>
      <c r="C1351">
        <v>327</v>
      </c>
    </row>
    <row r="1352" spans="1:3" x14ac:dyDescent="0.25">
      <c r="A1352">
        <v>12</v>
      </c>
      <c r="B1352">
        <v>0</v>
      </c>
      <c r="C1352">
        <v>327</v>
      </c>
    </row>
    <row r="1353" spans="1:3" x14ac:dyDescent="0.25">
      <c r="A1353">
        <v>12</v>
      </c>
      <c r="B1353">
        <v>0</v>
      </c>
      <c r="C1353">
        <v>327</v>
      </c>
    </row>
    <row r="1354" spans="1:3" x14ac:dyDescent="0.25">
      <c r="A1354">
        <v>15</v>
      </c>
      <c r="B1354">
        <v>0</v>
      </c>
      <c r="C1354">
        <v>327</v>
      </c>
    </row>
    <row r="1355" spans="1:3" x14ac:dyDescent="0.25">
      <c r="A1355">
        <v>16</v>
      </c>
      <c r="B1355">
        <v>0</v>
      </c>
      <c r="C1355">
        <v>327</v>
      </c>
    </row>
    <row r="1356" spans="1:3" x14ac:dyDescent="0.25">
      <c r="A1356">
        <v>13</v>
      </c>
      <c r="B1356">
        <v>0</v>
      </c>
      <c r="C1356">
        <v>370</v>
      </c>
    </row>
    <row r="1357" spans="1:3" x14ac:dyDescent="0.25">
      <c r="A1357">
        <v>11</v>
      </c>
      <c r="B1357">
        <v>0</v>
      </c>
      <c r="C1357">
        <v>370</v>
      </c>
    </row>
    <row r="1358" spans="1:3" x14ac:dyDescent="0.25">
      <c r="A1358">
        <v>12</v>
      </c>
      <c r="B1358">
        <v>0</v>
      </c>
      <c r="C1358">
        <v>370</v>
      </c>
    </row>
    <row r="1359" spans="1:3" x14ac:dyDescent="0.25">
      <c r="A1359">
        <v>12</v>
      </c>
      <c r="B1359">
        <v>0</v>
      </c>
      <c r="C1359">
        <v>370</v>
      </c>
    </row>
    <row r="1360" spans="1:3" x14ac:dyDescent="0.25">
      <c r="A1360">
        <v>12</v>
      </c>
      <c r="B1360">
        <v>0</v>
      </c>
      <c r="C1360">
        <v>370</v>
      </c>
    </row>
    <row r="1361" spans="1:3" x14ac:dyDescent="0.25">
      <c r="A1361">
        <v>14</v>
      </c>
      <c r="B1361">
        <v>0</v>
      </c>
      <c r="C1361">
        <v>370</v>
      </c>
    </row>
    <row r="1362" spans="1:3" x14ac:dyDescent="0.25">
      <c r="A1362">
        <v>12</v>
      </c>
      <c r="B1362">
        <v>0</v>
      </c>
      <c r="C1362">
        <v>370</v>
      </c>
    </row>
    <row r="1363" spans="1:3" x14ac:dyDescent="0.25">
      <c r="A1363">
        <v>15</v>
      </c>
      <c r="B1363">
        <v>0</v>
      </c>
      <c r="C1363">
        <v>370</v>
      </c>
    </row>
    <row r="1364" spans="1:3" x14ac:dyDescent="0.25">
      <c r="A1364">
        <v>14</v>
      </c>
      <c r="B1364">
        <v>0</v>
      </c>
      <c r="C1364">
        <v>315</v>
      </c>
    </row>
    <row r="1365" spans="1:3" x14ac:dyDescent="0.25">
      <c r="A1365">
        <v>11</v>
      </c>
      <c r="B1365">
        <v>0</v>
      </c>
      <c r="C1365">
        <v>315</v>
      </c>
    </row>
    <row r="1366" spans="1:3" x14ac:dyDescent="0.25">
      <c r="A1366">
        <v>12</v>
      </c>
      <c r="B1366">
        <v>0</v>
      </c>
      <c r="C1366">
        <v>315</v>
      </c>
    </row>
    <row r="1367" spans="1:3" x14ac:dyDescent="0.25">
      <c r="A1367">
        <v>12</v>
      </c>
      <c r="B1367">
        <v>0</v>
      </c>
      <c r="C1367">
        <v>315</v>
      </c>
    </row>
    <row r="1368" spans="1:3" x14ac:dyDescent="0.25">
      <c r="A1368">
        <v>15</v>
      </c>
      <c r="B1368">
        <v>0</v>
      </c>
      <c r="C1368">
        <v>315</v>
      </c>
    </row>
    <row r="1369" spans="1:3" x14ac:dyDescent="0.25">
      <c r="A1369">
        <v>18</v>
      </c>
      <c r="B1369">
        <v>0</v>
      </c>
      <c r="C1369">
        <v>315</v>
      </c>
    </row>
    <row r="1370" spans="1:3" x14ac:dyDescent="0.25">
      <c r="A1370">
        <v>11</v>
      </c>
      <c r="B1370">
        <v>0</v>
      </c>
      <c r="C1370">
        <v>315</v>
      </c>
    </row>
    <row r="1371" spans="1:3" x14ac:dyDescent="0.25">
      <c r="A1371">
        <v>12</v>
      </c>
      <c r="B1371">
        <v>0</v>
      </c>
      <c r="C1371">
        <v>299</v>
      </c>
    </row>
    <row r="1372" spans="1:3" x14ac:dyDescent="0.25">
      <c r="A1372">
        <v>12</v>
      </c>
      <c r="B1372">
        <v>0</v>
      </c>
      <c r="C1372">
        <v>299</v>
      </c>
    </row>
    <row r="1373" spans="1:3" x14ac:dyDescent="0.25">
      <c r="A1373">
        <v>12</v>
      </c>
      <c r="B1373">
        <v>0</v>
      </c>
      <c r="C1373">
        <v>299</v>
      </c>
    </row>
    <row r="1374" spans="1:3" x14ac:dyDescent="0.25">
      <c r="A1374">
        <v>12</v>
      </c>
      <c r="B1374">
        <v>0</v>
      </c>
      <c r="C1374">
        <v>299</v>
      </c>
    </row>
    <row r="1375" spans="1:3" x14ac:dyDescent="0.25">
      <c r="A1375">
        <v>11</v>
      </c>
      <c r="B1375">
        <v>0</v>
      </c>
      <c r="C1375">
        <v>299</v>
      </c>
    </row>
    <row r="1376" spans="1:3" x14ac:dyDescent="0.25">
      <c r="A1376">
        <v>13</v>
      </c>
      <c r="B1376">
        <v>0</v>
      </c>
      <c r="C1376">
        <v>299</v>
      </c>
    </row>
    <row r="1377" spans="1:3" x14ac:dyDescent="0.25">
      <c r="A1377">
        <v>12</v>
      </c>
      <c r="B1377">
        <v>0</v>
      </c>
      <c r="C1377">
        <v>299</v>
      </c>
    </row>
    <row r="1378" spans="1:3" x14ac:dyDescent="0.25">
      <c r="A1378">
        <v>11</v>
      </c>
      <c r="B1378">
        <v>0</v>
      </c>
      <c r="C1378">
        <v>299</v>
      </c>
    </row>
    <row r="1379" spans="1:3" x14ac:dyDescent="0.25">
      <c r="A1379">
        <v>11</v>
      </c>
      <c r="B1379">
        <v>0</v>
      </c>
      <c r="C1379">
        <v>338</v>
      </c>
    </row>
    <row r="1380" spans="1:3" x14ac:dyDescent="0.25">
      <c r="A1380">
        <v>11</v>
      </c>
      <c r="B1380">
        <v>0</v>
      </c>
      <c r="C1380">
        <v>338</v>
      </c>
    </row>
    <row r="1381" spans="1:3" x14ac:dyDescent="0.25">
      <c r="A1381">
        <v>11</v>
      </c>
      <c r="B1381">
        <v>0</v>
      </c>
      <c r="C1381">
        <v>338</v>
      </c>
    </row>
    <row r="1382" spans="1:3" x14ac:dyDescent="0.25">
      <c r="A1382">
        <v>12</v>
      </c>
      <c r="B1382">
        <v>0</v>
      </c>
      <c r="C1382">
        <v>338</v>
      </c>
    </row>
    <row r="1383" spans="1:3" x14ac:dyDescent="0.25">
      <c r="A1383">
        <v>13</v>
      </c>
      <c r="B1383">
        <v>0</v>
      </c>
      <c r="C1383">
        <v>338</v>
      </c>
    </row>
    <row r="1384" spans="1:3" x14ac:dyDescent="0.25">
      <c r="A1384">
        <v>11</v>
      </c>
      <c r="B1384">
        <v>0</v>
      </c>
      <c r="C1384">
        <v>338</v>
      </c>
    </row>
    <row r="1385" spans="1:3" x14ac:dyDescent="0.25">
      <c r="A1385">
        <v>13</v>
      </c>
      <c r="B1385">
        <v>0</v>
      </c>
      <c r="C1385">
        <v>338</v>
      </c>
    </row>
    <row r="1386" spans="1:3" x14ac:dyDescent="0.25">
      <c r="A1386">
        <v>12</v>
      </c>
      <c r="B1386">
        <v>0</v>
      </c>
      <c r="C1386">
        <v>338</v>
      </c>
    </row>
    <row r="1387" spans="1:3" x14ac:dyDescent="0.25">
      <c r="A1387">
        <v>12</v>
      </c>
      <c r="B1387">
        <v>0</v>
      </c>
      <c r="C1387">
        <v>356</v>
      </c>
    </row>
    <row r="1388" spans="1:3" x14ac:dyDescent="0.25">
      <c r="A1388">
        <v>11</v>
      </c>
      <c r="B1388">
        <v>0</v>
      </c>
      <c r="C1388">
        <v>356</v>
      </c>
    </row>
    <row r="1389" spans="1:3" x14ac:dyDescent="0.25">
      <c r="A1389">
        <v>12</v>
      </c>
      <c r="B1389">
        <v>0</v>
      </c>
      <c r="C1389">
        <v>356</v>
      </c>
    </row>
    <row r="1390" spans="1:3" x14ac:dyDescent="0.25">
      <c r="A1390">
        <v>11</v>
      </c>
      <c r="B1390">
        <v>0</v>
      </c>
      <c r="C1390">
        <v>356</v>
      </c>
    </row>
    <row r="1391" spans="1:3" x14ac:dyDescent="0.25">
      <c r="A1391">
        <v>14</v>
      </c>
      <c r="B1391">
        <v>0</v>
      </c>
      <c r="C1391">
        <v>356</v>
      </c>
    </row>
    <row r="1392" spans="1:3" x14ac:dyDescent="0.25">
      <c r="A1392">
        <v>13</v>
      </c>
      <c r="B1392">
        <v>0</v>
      </c>
      <c r="C1392">
        <v>356</v>
      </c>
    </row>
    <row r="1393" spans="1:3" x14ac:dyDescent="0.25">
      <c r="A1393">
        <v>11</v>
      </c>
      <c r="B1393">
        <v>0</v>
      </c>
      <c r="C1393">
        <v>356</v>
      </c>
    </row>
    <row r="1394" spans="1:3" x14ac:dyDescent="0.25">
      <c r="A1394">
        <v>11</v>
      </c>
      <c r="B1394">
        <v>0</v>
      </c>
      <c r="C1394">
        <v>356</v>
      </c>
    </row>
    <row r="1395" spans="1:3" x14ac:dyDescent="0.25">
      <c r="A1395">
        <v>12</v>
      </c>
      <c r="B1395">
        <v>0</v>
      </c>
      <c r="C1395">
        <v>360</v>
      </c>
    </row>
    <row r="1396" spans="1:3" x14ac:dyDescent="0.25">
      <c r="A1396">
        <v>12</v>
      </c>
      <c r="B1396">
        <v>0</v>
      </c>
      <c r="C1396">
        <v>360</v>
      </c>
    </row>
    <row r="1397" spans="1:3" x14ac:dyDescent="0.25">
      <c r="A1397">
        <v>13</v>
      </c>
      <c r="B1397">
        <v>0</v>
      </c>
      <c r="C1397">
        <v>360</v>
      </c>
    </row>
    <row r="1398" spans="1:3" x14ac:dyDescent="0.25">
      <c r="A1398">
        <v>12</v>
      </c>
      <c r="B1398">
        <v>0</v>
      </c>
      <c r="C1398">
        <v>360</v>
      </c>
    </row>
    <row r="1399" spans="1:3" x14ac:dyDescent="0.25">
      <c r="A1399">
        <v>11</v>
      </c>
      <c r="B1399">
        <v>0</v>
      </c>
      <c r="C1399">
        <v>360</v>
      </c>
    </row>
    <row r="1400" spans="1:3" x14ac:dyDescent="0.25">
      <c r="A1400">
        <v>12</v>
      </c>
      <c r="B1400">
        <v>0</v>
      </c>
      <c r="C1400">
        <v>360</v>
      </c>
    </row>
    <row r="1401" spans="1:3" x14ac:dyDescent="0.25">
      <c r="A1401">
        <v>11</v>
      </c>
      <c r="B1401">
        <v>0</v>
      </c>
      <c r="C1401">
        <v>360</v>
      </c>
    </row>
    <row r="1402" spans="1:3" x14ac:dyDescent="0.25">
      <c r="A1402">
        <v>15</v>
      </c>
      <c r="B1402">
        <v>0</v>
      </c>
      <c r="C1402">
        <v>360</v>
      </c>
    </row>
    <row r="1403" spans="1:3" x14ac:dyDescent="0.25">
      <c r="A1403">
        <v>16</v>
      </c>
      <c r="B1403">
        <v>0</v>
      </c>
      <c r="C1403">
        <v>344</v>
      </c>
    </row>
    <row r="1404" spans="1:3" x14ac:dyDescent="0.25">
      <c r="A1404">
        <v>11</v>
      </c>
      <c r="B1404">
        <v>0</v>
      </c>
      <c r="C1404">
        <v>344</v>
      </c>
    </row>
    <row r="1405" spans="1:3" x14ac:dyDescent="0.25">
      <c r="A1405">
        <v>12</v>
      </c>
      <c r="B1405">
        <v>0</v>
      </c>
      <c r="C1405">
        <v>344</v>
      </c>
    </row>
    <row r="1406" spans="1:3" x14ac:dyDescent="0.25">
      <c r="A1406">
        <v>12</v>
      </c>
      <c r="B1406">
        <v>0</v>
      </c>
      <c r="C1406">
        <v>344</v>
      </c>
    </row>
    <row r="1407" spans="1:3" x14ac:dyDescent="0.25">
      <c r="A1407">
        <v>12</v>
      </c>
      <c r="B1407">
        <v>0</v>
      </c>
      <c r="C1407">
        <v>344</v>
      </c>
    </row>
    <row r="1408" spans="1:3" x14ac:dyDescent="0.25">
      <c r="A1408">
        <v>11</v>
      </c>
      <c r="B1408">
        <v>0</v>
      </c>
      <c r="C1408">
        <v>344</v>
      </c>
    </row>
    <row r="1409" spans="1:3" x14ac:dyDescent="0.25">
      <c r="A1409">
        <v>11</v>
      </c>
      <c r="B1409">
        <v>0</v>
      </c>
      <c r="C1409">
        <v>344</v>
      </c>
    </row>
    <row r="1410" spans="1:3" x14ac:dyDescent="0.25">
      <c r="A1410">
        <v>12</v>
      </c>
      <c r="B1410">
        <v>0</v>
      </c>
      <c r="C1410">
        <v>344</v>
      </c>
    </row>
    <row r="1411" spans="1:3" x14ac:dyDescent="0.25">
      <c r="A1411">
        <v>13</v>
      </c>
      <c r="B1411">
        <v>0</v>
      </c>
      <c r="C1411">
        <v>313</v>
      </c>
    </row>
    <row r="1412" spans="1:3" x14ac:dyDescent="0.25">
      <c r="A1412">
        <v>12</v>
      </c>
      <c r="B1412">
        <v>0</v>
      </c>
      <c r="C1412">
        <v>313</v>
      </c>
    </row>
    <row r="1413" spans="1:3" x14ac:dyDescent="0.25">
      <c r="A1413">
        <v>12</v>
      </c>
      <c r="B1413">
        <v>0</v>
      </c>
      <c r="C1413">
        <v>313</v>
      </c>
    </row>
    <row r="1414" spans="1:3" x14ac:dyDescent="0.25">
      <c r="A1414">
        <v>12</v>
      </c>
      <c r="B1414">
        <v>0</v>
      </c>
      <c r="C1414">
        <v>313</v>
      </c>
    </row>
    <row r="1415" spans="1:3" x14ac:dyDescent="0.25">
      <c r="A1415">
        <v>13</v>
      </c>
      <c r="B1415">
        <v>0</v>
      </c>
      <c r="C1415">
        <v>313</v>
      </c>
    </row>
    <row r="1416" spans="1:3" x14ac:dyDescent="0.25">
      <c r="A1416">
        <v>17</v>
      </c>
      <c r="B1416">
        <v>0</v>
      </c>
      <c r="C1416">
        <v>313</v>
      </c>
    </row>
    <row r="1417" spans="1:3" x14ac:dyDescent="0.25">
      <c r="A1417">
        <v>11</v>
      </c>
      <c r="B1417">
        <v>0</v>
      </c>
      <c r="C1417">
        <v>313</v>
      </c>
    </row>
    <row r="1418" spans="1:3" x14ac:dyDescent="0.25">
      <c r="A1418">
        <v>14</v>
      </c>
      <c r="B1418">
        <v>0</v>
      </c>
      <c r="C1418">
        <v>313</v>
      </c>
    </row>
    <row r="1419" spans="1:3" x14ac:dyDescent="0.25">
      <c r="A1419">
        <v>13</v>
      </c>
      <c r="B1419">
        <v>0</v>
      </c>
      <c r="C1419">
        <v>383</v>
      </c>
    </row>
    <row r="1420" spans="1:3" x14ac:dyDescent="0.25">
      <c r="A1420">
        <v>12</v>
      </c>
      <c r="B1420">
        <v>0</v>
      </c>
      <c r="C1420">
        <v>383</v>
      </c>
    </row>
    <row r="1421" spans="1:3" x14ac:dyDescent="0.25">
      <c r="A1421">
        <v>12</v>
      </c>
      <c r="B1421">
        <v>0</v>
      </c>
      <c r="C1421">
        <v>383</v>
      </c>
    </row>
    <row r="1422" spans="1:3" x14ac:dyDescent="0.25">
      <c r="A1422">
        <v>11</v>
      </c>
      <c r="B1422">
        <v>0</v>
      </c>
      <c r="C1422">
        <v>383</v>
      </c>
    </row>
    <row r="1423" spans="1:3" x14ac:dyDescent="0.25">
      <c r="A1423">
        <v>11</v>
      </c>
      <c r="B1423">
        <v>0</v>
      </c>
      <c r="C1423">
        <v>383</v>
      </c>
    </row>
    <row r="1424" spans="1:3" x14ac:dyDescent="0.25">
      <c r="A1424">
        <v>12</v>
      </c>
      <c r="B1424">
        <v>0</v>
      </c>
      <c r="C1424">
        <v>383</v>
      </c>
    </row>
    <row r="1425" spans="1:3" x14ac:dyDescent="0.25">
      <c r="A1425">
        <v>13</v>
      </c>
      <c r="B1425">
        <v>0</v>
      </c>
      <c r="C1425">
        <v>383</v>
      </c>
    </row>
    <row r="1426" spans="1:3" x14ac:dyDescent="0.25">
      <c r="A1426">
        <v>14</v>
      </c>
      <c r="B1426">
        <v>0</v>
      </c>
      <c r="C1426">
        <v>383</v>
      </c>
    </row>
    <row r="1427" spans="1:3" x14ac:dyDescent="0.25">
      <c r="A1427">
        <v>13</v>
      </c>
      <c r="B1427">
        <v>0</v>
      </c>
      <c r="C1427">
        <v>304</v>
      </c>
    </row>
    <row r="1428" spans="1:3" x14ac:dyDescent="0.25">
      <c r="A1428">
        <v>13</v>
      </c>
      <c r="B1428">
        <v>0</v>
      </c>
      <c r="C1428">
        <v>304</v>
      </c>
    </row>
    <row r="1429" spans="1:3" x14ac:dyDescent="0.25">
      <c r="A1429">
        <v>12</v>
      </c>
      <c r="B1429">
        <v>0</v>
      </c>
      <c r="C1429">
        <v>304</v>
      </c>
    </row>
    <row r="1430" spans="1:3" x14ac:dyDescent="0.25">
      <c r="A1430">
        <v>12</v>
      </c>
      <c r="B1430">
        <v>0</v>
      </c>
      <c r="C1430">
        <v>304</v>
      </c>
    </row>
    <row r="1431" spans="1:3" x14ac:dyDescent="0.25">
      <c r="A1431">
        <v>12</v>
      </c>
      <c r="B1431">
        <v>0</v>
      </c>
      <c r="C1431">
        <v>304</v>
      </c>
    </row>
    <row r="1432" spans="1:3" x14ac:dyDescent="0.25">
      <c r="A1432">
        <v>14</v>
      </c>
      <c r="B1432">
        <v>0</v>
      </c>
      <c r="C1432">
        <v>304</v>
      </c>
    </row>
    <row r="1433" spans="1:3" x14ac:dyDescent="0.25">
      <c r="A1433">
        <v>13</v>
      </c>
      <c r="B1433">
        <v>0</v>
      </c>
      <c r="C1433">
        <v>304</v>
      </c>
    </row>
    <row r="1434" spans="1:3" x14ac:dyDescent="0.25">
      <c r="A1434">
        <v>12</v>
      </c>
      <c r="B1434">
        <v>0</v>
      </c>
      <c r="C1434">
        <v>304</v>
      </c>
    </row>
    <row r="1435" spans="1:3" x14ac:dyDescent="0.25">
      <c r="A1435">
        <v>12</v>
      </c>
      <c r="B1435">
        <v>0</v>
      </c>
      <c r="C1435">
        <v>349</v>
      </c>
    </row>
    <row r="1436" spans="1:3" x14ac:dyDescent="0.25">
      <c r="A1436">
        <v>12</v>
      </c>
      <c r="B1436">
        <v>0</v>
      </c>
      <c r="C1436">
        <v>349</v>
      </c>
    </row>
    <row r="1437" spans="1:3" x14ac:dyDescent="0.25">
      <c r="A1437">
        <v>12</v>
      </c>
      <c r="B1437">
        <v>0</v>
      </c>
      <c r="C1437">
        <v>349</v>
      </c>
    </row>
    <row r="1438" spans="1:3" x14ac:dyDescent="0.25">
      <c r="A1438">
        <v>17</v>
      </c>
      <c r="B1438">
        <v>0</v>
      </c>
      <c r="C1438">
        <v>349</v>
      </c>
    </row>
    <row r="1439" spans="1:3" x14ac:dyDescent="0.25">
      <c r="A1439">
        <v>11</v>
      </c>
      <c r="B1439">
        <v>0</v>
      </c>
      <c r="C1439">
        <v>349</v>
      </c>
    </row>
    <row r="1440" spans="1:3" x14ac:dyDescent="0.25">
      <c r="A1440">
        <v>13</v>
      </c>
      <c r="B1440">
        <v>0</v>
      </c>
      <c r="C1440">
        <v>349</v>
      </c>
    </row>
    <row r="1441" spans="1:3" x14ac:dyDescent="0.25">
      <c r="A1441">
        <v>13</v>
      </c>
      <c r="B1441">
        <v>0</v>
      </c>
      <c r="C1441">
        <v>349</v>
      </c>
    </row>
    <row r="1442" spans="1:3" x14ac:dyDescent="0.25">
      <c r="A1442">
        <v>11</v>
      </c>
      <c r="B1442">
        <v>0</v>
      </c>
      <c r="C1442">
        <v>349</v>
      </c>
    </row>
    <row r="1443" spans="1:3" x14ac:dyDescent="0.25">
      <c r="A1443">
        <v>12</v>
      </c>
      <c r="B1443">
        <v>0</v>
      </c>
      <c r="C1443">
        <v>347</v>
      </c>
    </row>
    <row r="1444" spans="1:3" x14ac:dyDescent="0.25">
      <c r="A1444">
        <v>12</v>
      </c>
      <c r="B1444">
        <v>0</v>
      </c>
      <c r="C1444">
        <v>347</v>
      </c>
    </row>
    <row r="1445" spans="1:3" x14ac:dyDescent="0.25">
      <c r="A1445">
        <v>11</v>
      </c>
      <c r="B1445">
        <v>0</v>
      </c>
      <c r="C1445">
        <v>347</v>
      </c>
    </row>
    <row r="1446" spans="1:3" x14ac:dyDescent="0.25">
      <c r="A1446">
        <v>14</v>
      </c>
      <c r="B1446">
        <v>0</v>
      </c>
      <c r="C1446">
        <v>347</v>
      </c>
    </row>
    <row r="1447" spans="1:3" x14ac:dyDescent="0.25">
      <c r="A1447">
        <v>12</v>
      </c>
      <c r="B1447">
        <v>0</v>
      </c>
      <c r="C1447">
        <v>347</v>
      </c>
    </row>
    <row r="1448" spans="1:3" x14ac:dyDescent="0.25">
      <c r="A1448">
        <v>12</v>
      </c>
      <c r="B1448">
        <v>0</v>
      </c>
      <c r="C1448">
        <v>347</v>
      </c>
    </row>
    <row r="1449" spans="1:3" x14ac:dyDescent="0.25">
      <c r="A1449">
        <v>12</v>
      </c>
      <c r="B1449">
        <v>0</v>
      </c>
      <c r="C1449">
        <v>347</v>
      </c>
    </row>
    <row r="1450" spans="1:3" x14ac:dyDescent="0.25">
      <c r="A1450">
        <v>13</v>
      </c>
      <c r="B1450">
        <v>0</v>
      </c>
      <c r="C1450">
        <v>347</v>
      </c>
    </row>
    <row r="1451" spans="1:3" x14ac:dyDescent="0.25">
      <c r="A1451">
        <v>13</v>
      </c>
      <c r="B1451">
        <v>0</v>
      </c>
      <c r="C1451">
        <v>333</v>
      </c>
    </row>
    <row r="1452" spans="1:3" x14ac:dyDescent="0.25">
      <c r="A1452">
        <v>13</v>
      </c>
      <c r="B1452">
        <v>0</v>
      </c>
      <c r="C1452">
        <v>333</v>
      </c>
    </row>
    <row r="1453" spans="1:3" x14ac:dyDescent="0.25">
      <c r="A1453">
        <v>14</v>
      </c>
      <c r="B1453">
        <v>0</v>
      </c>
      <c r="C1453">
        <v>333</v>
      </c>
    </row>
    <row r="1454" spans="1:3" x14ac:dyDescent="0.25">
      <c r="A1454">
        <v>12</v>
      </c>
      <c r="B1454">
        <v>0</v>
      </c>
      <c r="C1454">
        <v>333</v>
      </c>
    </row>
    <row r="1455" spans="1:3" x14ac:dyDescent="0.25">
      <c r="A1455">
        <v>15</v>
      </c>
      <c r="B1455">
        <v>0</v>
      </c>
      <c r="C1455">
        <v>333</v>
      </c>
    </row>
    <row r="1456" spans="1:3" x14ac:dyDescent="0.25">
      <c r="A1456">
        <v>12</v>
      </c>
      <c r="B1456">
        <v>0</v>
      </c>
      <c r="C1456">
        <v>333</v>
      </c>
    </row>
    <row r="1457" spans="1:3" x14ac:dyDescent="0.25">
      <c r="A1457">
        <v>11</v>
      </c>
      <c r="B1457">
        <v>0</v>
      </c>
      <c r="C1457">
        <v>333</v>
      </c>
    </row>
    <row r="1458" spans="1:3" x14ac:dyDescent="0.25">
      <c r="A1458">
        <v>12</v>
      </c>
      <c r="B1458">
        <v>0</v>
      </c>
      <c r="C1458">
        <v>333</v>
      </c>
    </row>
    <row r="1459" spans="1:3" x14ac:dyDescent="0.25">
      <c r="A1459">
        <v>13</v>
      </c>
      <c r="B1459">
        <v>0</v>
      </c>
      <c r="C1459">
        <v>326</v>
      </c>
    </row>
    <row r="1460" spans="1:3" x14ac:dyDescent="0.25">
      <c r="A1460">
        <v>11</v>
      </c>
      <c r="B1460">
        <v>0</v>
      </c>
      <c r="C1460">
        <v>326</v>
      </c>
    </row>
    <row r="1461" spans="1:3" x14ac:dyDescent="0.25">
      <c r="A1461">
        <v>14</v>
      </c>
      <c r="B1461">
        <v>0</v>
      </c>
      <c r="C1461">
        <v>326</v>
      </c>
    </row>
    <row r="1462" spans="1:3" x14ac:dyDescent="0.25">
      <c r="A1462">
        <v>12</v>
      </c>
      <c r="B1462">
        <v>0</v>
      </c>
      <c r="C1462">
        <v>326</v>
      </c>
    </row>
    <row r="1463" spans="1:3" x14ac:dyDescent="0.25">
      <c r="A1463">
        <v>11</v>
      </c>
      <c r="B1463">
        <v>0</v>
      </c>
      <c r="C1463">
        <v>326</v>
      </c>
    </row>
    <row r="1464" spans="1:3" x14ac:dyDescent="0.25">
      <c r="A1464">
        <v>12</v>
      </c>
      <c r="B1464">
        <v>0</v>
      </c>
      <c r="C1464">
        <v>326</v>
      </c>
    </row>
    <row r="1465" spans="1:3" x14ac:dyDescent="0.25">
      <c r="A1465">
        <v>13</v>
      </c>
      <c r="B1465">
        <v>0</v>
      </c>
      <c r="C1465">
        <v>326</v>
      </c>
    </row>
    <row r="1466" spans="1:3" x14ac:dyDescent="0.25">
      <c r="A1466">
        <v>13</v>
      </c>
      <c r="B1466">
        <v>0</v>
      </c>
      <c r="C1466">
        <v>326</v>
      </c>
    </row>
    <row r="1467" spans="1:3" x14ac:dyDescent="0.25">
      <c r="A1467">
        <v>14</v>
      </c>
      <c r="B1467">
        <v>0</v>
      </c>
      <c r="C1467">
        <v>388</v>
      </c>
    </row>
    <row r="1468" spans="1:3" x14ac:dyDescent="0.25">
      <c r="A1468">
        <v>13</v>
      </c>
      <c r="B1468">
        <v>0</v>
      </c>
      <c r="C1468">
        <v>388</v>
      </c>
    </row>
    <row r="1469" spans="1:3" x14ac:dyDescent="0.25">
      <c r="A1469">
        <v>12</v>
      </c>
      <c r="B1469">
        <v>0</v>
      </c>
      <c r="C1469">
        <v>388</v>
      </c>
    </row>
    <row r="1470" spans="1:3" x14ac:dyDescent="0.25">
      <c r="A1470">
        <v>12</v>
      </c>
      <c r="B1470">
        <v>0</v>
      </c>
      <c r="C1470">
        <v>388</v>
      </c>
    </row>
    <row r="1471" spans="1:3" x14ac:dyDescent="0.25">
      <c r="A1471">
        <v>12</v>
      </c>
      <c r="B1471">
        <v>0</v>
      </c>
      <c r="C1471">
        <v>388</v>
      </c>
    </row>
    <row r="1472" spans="1:3" x14ac:dyDescent="0.25">
      <c r="A1472">
        <v>12</v>
      </c>
      <c r="B1472">
        <v>0</v>
      </c>
      <c r="C1472">
        <v>388</v>
      </c>
    </row>
    <row r="1473" spans="1:3" x14ac:dyDescent="0.25">
      <c r="A1473">
        <v>11</v>
      </c>
      <c r="B1473">
        <v>0</v>
      </c>
      <c r="C1473">
        <v>388</v>
      </c>
    </row>
    <row r="1474" spans="1:3" x14ac:dyDescent="0.25">
      <c r="A1474">
        <v>12</v>
      </c>
      <c r="B1474">
        <v>0</v>
      </c>
      <c r="C1474">
        <v>388</v>
      </c>
    </row>
    <row r="1475" spans="1:3" x14ac:dyDescent="0.25">
      <c r="A1475">
        <v>12</v>
      </c>
      <c r="B1475">
        <v>0</v>
      </c>
      <c r="C1475">
        <v>366</v>
      </c>
    </row>
    <row r="1476" spans="1:3" x14ac:dyDescent="0.25">
      <c r="A1476">
        <v>13</v>
      </c>
      <c r="B1476">
        <v>0</v>
      </c>
      <c r="C1476">
        <v>366</v>
      </c>
    </row>
    <row r="1477" spans="1:3" x14ac:dyDescent="0.25">
      <c r="A1477">
        <v>12</v>
      </c>
      <c r="B1477">
        <v>0</v>
      </c>
      <c r="C1477">
        <v>366</v>
      </c>
    </row>
    <row r="1478" spans="1:3" x14ac:dyDescent="0.25">
      <c r="A1478">
        <v>12</v>
      </c>
      <c r="B1478">
        <v>0</v>
      </c>
      <c r="C1478">
        <v>366</v>
      </c>
    </row>
    <row r="1479" spans="1:3" x14ac:dyDescent="0.25">
      <c r="A1479">
        <v>12</v>
      </c>
      <c r="B1479">
        <v>0</v>
      </c>
      <c r="C1479">
        <v>366</v>
      </c>
    </row>
    <row r="1480" spans="1:3" x14ac:dyDescent="0.25">
      <c r="A1480">
        <v>12</v>
      </c>
      <c r="B1480">
        <v>0</v>
      </c>
      <c r="C1480">
        <v>366</v>
      </c>
    </row>
    <row r="1481" spans="1:3" x14ac:dyDescent="0.25">
      <c r="A1481">
        <v>11</v>
      </c>
      <c r="B1481">
        <v>0</v>
      </c>
      <c r="C1481">
        <v>366</v>
      </c>
    </row>
    <row r="1482" spans="1:3" x14ac:dyDescent="0.25">
      <c r="A1482">
        <v>13</v>
      </c>
      <c r="B1482">
        <v>0</v>
      </c>
      <c r="C1482">
        <v>366</v>
      </c>
    </row>
    <row r="1483" spans="1:3" x14ac:dyDescent="0.25">
      <c r="A1483">
        <v>12</v>
      </c>
      <c r="B1483">
        <v>0</v>
      </c>
      <c r="C1483">
        <v>360</v>
      </c>
    </row>
    <row r="1484" spans="1:3" x14ac:dyDescent="0.25">
      <c r="A1484">
        <v>11</v>
      </c>
      <c r="B1484">
        <v>0</v>
      </c>
      <c r="C1484">
        <v>360</v>
      </c>
    </row>
    <row r="1485" spans="1:3" x14ac:dyDescent="0.25">
      <c r="A1485">
        <v>12</v>
      </c>
      <c r="B1485">
        <v>0</v>
      </c>
      <c r="C1485">
        <v>360</v>
      </c>
    </row>
    <row r="1486" spans="1:3" x14ac:dyDescent="0.25">
      <c r="A1486">
        <v>11</v>
      </c>
      <c r="B1486">
        <v>0</v>
      </c>
      <c r="C1486">
        <v>360</v>
      </c>
    </row>
    <row r="1487" spans="1:3" x14ac:dyDescent="0.25">
      <c r="A1487">
        <v>14</v>
      </c>
      <c r="B1487">
        <v>0</v>
      </c>
      <c r="C1487">
        <v>360</v>
      </c>
    </row>
    <row r="1488" spans="1:3" x14ac:dyDescent="0.25">
      <c r="A1488">
        <v>12</v>
      </c>
      <c r="B1488">
        <v>0</v>
      </c>
      <c r="C1488">
        <v>360</v>
      </c>
    </row>
    <row r="1489" spans="1:3" x14ac:dyDescent="0.25">
      <c r="A1489">
        <v>13</v>
      </c>
      <c r="B1489">
        <v>0</v>
      </c>
      <c r="C1489">
        <v>360</v>
      </c>
    </row>
    <row r="1490" spans="1:3" x14ac:dyDescent="0.25">
      <c r="A1490">
        <v>12</v>
      </c>
      <c r="B1490">
        <v>0</v>
      </c>
      <c r="C1490">
        <v>360</v>
      </c>
    </row>
    <row r="1491" spans="1:3" x14ac:dyDescent="0.25">
      <c r="A1491">
        <v>12</v>
      </c>
      <c r="B1491">
        <v>0</v>
      </c>
      <c r="C1491">
        <v>367</v>
      </c>
    </row>
    <row r="1492" spans="1:3" x14ac:dyDescent="0.25">
      <c r="A1492">
        <v>12</v>
      </c>
      <c r="B1492">
        <v>0</v>
      </c>
      <c r="C1492">
        <v>367</v>
      </c>
    </row>
    <row r="1493" spans="1:3" x14ac:dyDescent="0.25">
      <c r="A1493">
        <v>15</v>
      </c>
      <c r="B1493">
        <v>0</v>
      </c>
      <c r="C1493">
        <v>367</v>
      </c>
    </row>
    <row r="1494" spans="1:3" x14ac:dyDescent="0.25">
      <c r="A1494">
        <v>11</v>
      </c>
      <c r="B1494">
        <v>0</v>
      </c>
      <c r="C1494">
        <v>367</v>
      </c>
    </row>
    <row r="1495" spans="1:3" x14ac:dyDescent="0.25">
      <c r="A1495">
        <v>11</v>
      </c>
      <c r="B1495">
        <v>0</v>
      </c>
      <c r="C1495">
        <v>367</v>
      </c>
    </row>
    <row r="1496" spans="1:3" x14ac:dyDescent="0.25">
      <c r="A1496">
        <v>12</v>
      </c>
      <c r="B1496">
        <v>0</v>
      </c>
      <c r="C1496">
        <v>367</v>
      </c>
    </row>
    <row r="1497" spans="1:3" x14ac:dyDescent="0.25">
      <c r="A1497">
        <v>11</v>
      </c>
      <c r="B1497">
        <v>0</v>
      </c>
      <c r="C1497">
        <v>367</v>
      </c>
    </row>
    <row r="1498" spans="1:3" x14ac:dyDescent="0.25">
      <c r="A1498">
        <v>12</v>
      </c>
      <c r="B1498">
        <v>0</v>
      </c>
      <c r="C1498">
        <v>367</v>
      </c>
    </row>
    <row r="1499" spans="1:3" x14ac:dyDescent="0.25">
      <c r="A1499">
        <v>12</v>
      </c>
      <c r="B1499">
        <v>0</v>
      </c>
      <c r="C1499">
        <v>337</v>
      </c>
    </row>
    <row r="1500" spans="1:3" x14ac:dyDescent="0.25">
      <c r="A1500">
        <v>14</v>
      </c>
      <c r="B1500">
        <v>0</v>
      </c>
      <c r="C1500">
        <v>337</v>
      </c>
    </row>
    <row r="1501" spans="1:3" x14ac:dyDescent="0.25">
      <c r="A1501">
        <v>12</v>
      </c>
      <c r="B1501">
        <v>0</v>
      </c>
      <c r="C1501">
        <v>337</v>
      </c>
    </row>
    <row r="1502" spans="1:3" x14ac:dyDescent="0.25">
      <c r="A1502">
        <v>12</v>
      </c>
      <c r="B1502">
        <v>0</v>
      </c>
      <c r="C1502">
        <v>337</v>
      </c>
    </row>
    <row r="1503" spans="1:3" x14ac:dyDescent="0.25">
      <c r="A1503">
        <v>12</v>
      </c>
      <c r="B1503">
        <v>0</v>
      </c>
      <c r="C1503">
        <v>337</v>
      </c>
    </row>
    <row r="1504" spans="1:3" x14ac:dyDescent="0.25">
      <c r="A1504">
        <v>12</v>
      </c>
      <c r="B1504">
        <v>0</v>
      </c>
      <c r="C1504">
        <v>337</v>
      </c>
    </row>
    <row r="1505" spans="1:3" x14ac:dyDescent="0.25">
      <c r="A1505">
        <v>11</v>
      </c>
      <c r="B1505">
        <v>0</v>
      </c>
      <c r="C1505">
        <v>337</v>
      </c>
    </row>
    <row r="1506" spans="1:3" x14ac:dyDescent="0.25">
      <c r="A1506">
        <v>12</v>
      </c>
      <c r="B1506">
        <v>0</v>
      </c>
      <c r="C1506">
        <v>337</v>
      </c>
    </row>
    <row r="1507" spans="1:3" x14ac:dyDescent="0.25">
      <c r="A1507">
        <v>12</v>
      </c>
      <c r="B1507">
        <v>0</v>
      </c>
      <c r="C1507">
        <v>338</v>
      </c>
    </row>
    <row r="1508" spans="1:3" x14ac:dyDescent="0.25">
      <c r="A1508">
        <v>14</v>
      </c>
      <c r="B1508">
        <v>0</v>
      </c>
      <c r="C1508">
        <v>338</v>
      </c>
    </row>
    <row r="1509" spans="1:3" x14ac:dyDescent="0.25">
      <c r="A1509">
        <v>14</v>
      </c>
      <c r="B1509">
        <v>0</v>
      </c>
      <c r="C1509">
        <v>338</v>
      </c>
    </row>
    <row r="1510" spans="1:3" x14ac:dyDescent="0.25">
      <c r="A1510">
        <v>12</v>
      </c>
      <c r="B1510">
        <v>0</v>
      </c>
      <c r="C1510">
        <v>338</v>
      </c>
    </row>
    <row r="1511" spans="1:3" x14ac:dyDescent="0.25">
      <c r="A1511">
        <v>13</v>
      </c>
      <c r="B1511">
        <v>0</v>
      </c>
      <c r="C1511">
        <v>338</v>
      </c>
    </row>
    <row r="1512" spans="1:3" x14ac:dyDescent="0.25">
      <c r="A1512">
        <v>12</v>
      </c>
      <c r="B1512">
        <v>0</v>
      </c>
      <c r="C1512">
        <v>338</v>
      </c>
    </row>
    <row r="1513" spans="1:3" x14ac:dyDescent="0.25">
      <c r="A1513">
        <v>12</v>
      </c>
      <c r="B1513">
        <v>0</v>
      </c>
      <c r="C1513">
        <v>338</v>
      </c>
    </row>
    <row r="1514" spans="1:3" x14ac:dyDescent="0.25">
      <c r="A1514">
        <v>16</v>
      </c>
      <c r="B1514">
        <v>0</v>
      </c>
      <c r="C1514">
        <v>338</v>
      </c>
    </row>
    <row r="1515" spans="1:3" x14ac:dyDescent="0.25">
      <c r="A1515">
        <v>13</v>
      </c>
      <c r="B1515">
        <v>0</v>
      </c>
      <c r="C1515">
        <v>358</v>
      </c>
    </row>
    <row r="1516" spans="1:3" x14ac:dyDescent="0.25">
      <c r="A1516">
        <v>12</v>
      </c>
      <c r="B1516">
        <v>0</v>
      </c>
      <c r="C1516">
        <v>358</v>
      </c>
    </row>
    <row r="1517" spans="1:3" x14ac:dyDescent="0.25">
      <c r="A1517">
        <v>12</v>
      </c>
      <c r="B1517">
        <v>0</v>
      </c>
      <c r="C1517">
        <v>358</v>
      </c>
    </row>
    <row r="1518" spans="1:3" x14ac:dyDescent="0.25">
      <c r="A1518">
        <v>14</v>
      </c>
      <c r="B1518">
        <v>0</v>
      </c>
      <c r="C1518">
        <v>358</v>
      </c>
    </row>
    <row r="1519" spans="1:3" x14ac:dyDescent="0.25">
      <c r="A1519">
        <v>12</v>
      </c>
      <c r="B1519">
        <v>0</v>
      </c>
      <c r="C1519">
        <v>358</v>
      </c>
    </row>
    <row r="1520" spans="1:3" x14ac:dyDescent="0.25">
      <c r="A1520">
        <v>13</v>
      </c>
      <c r="B1520">
        <v>0</v>
      </c>
      <c r="C1520">
        <v>358</v>
      </c>
    </row>
    <row r="1521" spans="1:3" x14ac:dyDescent="0.25">
      <c r="A1521">
        <v>12</v>
      </c>
      <c r="B1521">
        <v>0</v>
      </c>
      <c r="C1521">
        <v>358</v>
      </c>
    </row>
    <row r="1522" spans="1:3" x14ac:dyDescent="0.25">
      <c r="A1522">
        <v>11</v>
      </c>
      <c r="B1522">
        <v>0</v>
      </c>
      <c r="C1522">
        <v>358</v>
      </c>
    </row>
    <row r="1523" spans="1:3" x14ac:dyDescent="0.25">
      <c r="A1523">
        <v>12</v>
      </c>
      <c r="B1523">
        <v>0</v>
      </c>
      <c r="C1523">
        <v>367</v>
      </c>
    </row>
    <row r="1524" spans="1:3" x14ac:dyDescent="0.25">
      <c r="A1524">
        <v>13</v>
      </c>
      <c r="B1524">
        <v>0</v>
      </c>
      <c r="C1524">
        <v>367</v>
      </c>
    </row>
    <row r="1525" spans="1:3" x14ac:dyDescent="0.25">
      <c r="A1525">
        <v>13</v>
      </c>
      <c r="B1525">
        <v>0</v>
      </c>
      <c r="C1525">
        <v>367</v>
      </c>
    </row>
    <row r="1526" spans="1:3" x14ac:dyDescent="0.25">
      <c r="A1526">
        <v>12</v>
      </c>
      <c r="B1526">
        <v>0</v>
      </c>
      <c r="C1526">
        <v>367</v>
      </c>
    </row>
    <row r="1527" spans="1:3" x14ac:dyDescent="0.25">
      <c r="A1527">
        <v>12</v>
      </c>
      <c r="B1527">
        <v>0</v>
      </c>
      <c r="C1527">
        <v>367</v>
      </c>
    </row>
    <row r="1528" spans="1:3" x14ac:dyDescent="0.25">
      <c r="A1528">
        <v>11</v>
      </c>
      <c r="B1528">
        <v>0</v>
      </c>
      <c r="C1528">
        <v>367</v>
      </c>
    </row>
    <row r="1529" spans="1:3" x14ac:dyDescent="0.25">
      <c r="A1529">
        <v>11</v>
      </c>
      <c r="B1529">
        <v>0</v>
      </c>
      <c r="C1529">
        <v>367</v>
      </c>
    </row>
    <row r="1530" spans="1:3" x14ac:dyDescent="0.25">
      <c r="A1530">
        <v>11</v>
      </c>
      <c r="B1530">
        <v>0</v>
      </c>
      <c r="C1530">
        <v>367</v>
      </c>
    </row>
    <row r="1531" spans="1:3" x14ac:dyDescent="0.25">
      <c r="A1531">
        <v>12</v>
      </c>
      <c r="B1531">
        <v>0</v>
      </c>
      <c r="C1531">
        <v>287</v>
      </c>
    </row>
    <row r="1532" spans="1:3" x14ac:dyDescent="0.25">
      <c r="A1532">
        <v>12</v>
      </c>
      <c r="B1532">
        <v>0</v>
      </c>
      <c r="C1532">
        <v>287</v>
      </c>
    </row>
    <row r="1533" spans="1:3" x14ac:dyDescent="0.25">
      <c r="A1533">
        <v>12</v>
      </c>
      <c r="B1533">
        <v>0</v>
      </c>
      <c r="C1533">
        <v>287</v>
      </c>
    </row>
    <row r="1534" spans="1:3" x14ac:dyDescent="0.25">
      <c r="A1534">
        <v>12</v>
      </c>
      <c r="B1534">
        <v>0</v>
      </c>
      <c r="C1534">
        <v>287</v>
      </c>
    </row>
    <row r="1535" spans="1:3" x14ac:dyDescent="0.25">
      <c r="A1535">
        <v>12</v>
      </c>
      <c r="B1535">
        <v>0</v>
      </c>
      <c r="C1535">
        <v>287</v>
      </c>
    </row>
    <row r="1536" spans="1:3" x14ac:dyDescent="0.25">
      <c r="A1536">
        <v>12</v>
      </c>
      <c r="B1536">
        <v>0</v>
      </c>
      <c r="C1536">
        <v>287</v>
      </c>
    </row>
    <row r="1537" spans="1:3" x14ac:dyDescent="0.25">
      <c r="A1537">
        <v>11</v>
      </c>
      <c r="B1537">
        <v>0</v>
      </c>
      <c r="C1537">
        <v>287</v>
      </c>
    </row>
    <row r="1538" spans="1:3" x14ac:dyDescent="0.25">
      <c r="A1538">
        <v>13</v>
      </c>
      <c r="B1538">
        <v>0</v>
      </c>
      <c r="C1538">
        <v>287</v>
      </c>
    </row>
    <row r="1539" spans="1:3" x14ac:dyDescent="0.25">
      <c r="A1539">
        <v>11</v>
      </c>
      <c r="B1539">
        <v>0</v>
      </c>
      <c r="C1539">
        <v>319</v>
      </c>
    </row>
    <row r="1540" spans="1:3" x14ac:dyDescent="0.25">
      <c r="A1540">
        <v>12</v>
      </c>
      <c r="B1540">
        <v>0</v>
      </c>
      <c r="C1540">
        <v>319</v>
      </c>
    </row>
    <row r="1541" spans="1:3" x14ac:dyDescent="0.25">
      <c r="A1541">
        <v>13</v>
      </c>
      <c r="B1541">
        <v>0</v>
      </c>
      <c r="C1541">
        <v>319</v>
      </c>
    </row>
    <row r="1542" spans="1:3" x14ac:dyDescent="0.25">
      <c r="A1542">
        <v>11</v>
      </c>
      <c r="B1542">
        <v>0</v>
      </c>
      <c r="C1542">
        <v>319</v>
      </c>
    </row>
    <row r="1543" spans="1:3" x14ac:dyDescent="0.25">
      <c r="A1543">
        <v>11</v>
      </c>
      <c r="B1543">
        <v>0</v>
      </c>
      <c r="C1543">
        <v>319</v>
      </c>
    </row>
    <row r="1544" spans="1:3" x14ac:dyDescent="0.25">
      <c r="A1544">
        <v>16</v>
      </c>
      <c r="B1544">
        <v>0</v>
      </c>
      <c r="C1544">
        <v>319</v>
      </c>
    </row>
    <row r="1545" spans="1:3" x14ac:dyDescent="0.25">
      <c r="A1545">
        <v>13</v>
      </c>
      <c r="B1545">
        <v>0</v>
      </c>
      <c r="C1545">
        <v>319</v>
      </c>
    </row>
    <row r="1546" spans="1:3" x14ac:dyDescent="0.25">
      <c r="A1546">
        <v>15</v>
      </c>
      <c r="B1546">
        <v>0</v>
      </c>
      <c r="C1546">
        <v>319</v>
      </c>
    </row>
    <row r="1547" spans="1:3" x14ac:dyDescent="0.25">
      <c r="A1547">
        <v>12</v>
      </c>
      <c r="B1547">
        <v>0</v>
      </c>
      <c r="C1547">
        <v>439</v>
      </c>
    </row>
    <row r="1548" spans="1:3" x14ac:dyDescent="0.25">
      <c r="A1548">
        <v>14</v>
      </c>
      <c r="B1548">
        <v>0</v>
      </c>
      <c r="C1548">
        <v>439</v>
      </c>
    </row>
    <row r="1549" spans="1:3" x14ac:dyDescent="0.25">
      <c r="A1549">
        <v>11</v>
      </c>
      <c r="B1549">
        <v>0</v>
      </c>
      <c r="C1549">
        <v>439</v>
      </c>
    </row>
    <row r="1550" spans="1:3" x14ac:dyDescent="0.25">
      <c r="A1550">
        <v>15</v>
      </c>
      <c r="B1550">
        <v>0</v>
      </c>
      <c r="C1550">
        <v>439</v>
      </c>
    </row>
    <row r="1551" spans="1:3" x14ac:dyDescent="0.25">
      <c r="A1551">
        <v>13</v>
      </c>
      <c r="B1551">
        <v>0</v>
      </c>
      <c r="C1551">
        <v>439</v>
      </c>
    </row>
    <row r="1552" spans="1:3" x14ac:dyDescent="0.25">
      <c r="A1552">
        <v>13</v>
      </c>
      <c r="B1552">
        <v>0</v>
      </c>
      <c r="C1552">
        <v>439</v>
      </c>
    </row>
    <row r="1553" spans="1:3" x14ac:dyDescent="0.25">
      <c r="A1553">
        <v>18</v>
      </c>
      <c r="B1553">
        <v>0</v>
      </c>
      <c r="C1553">
        <v>439</v>
      </c>
    </row>
    <row r="1554" spans="1:3" x14ac:dyDescent="0.25">
      <c r="A1554">
        <v>12</v>
      </c>
      <c r="B1554">
        <v>0</v>
      </c>
      <c r="C1554">
        <v>490</v>
      </c>
    </row>
    <row r="1555" spans="1:3" x14ac:dyDescent="0.25">
      <c r="A1555">
        <v>16</v>
      </c>
      <c r="B1555">
        <v>0</v>
      </c>
      <c r="C1555">
        <v>490</v>
      </c>
    </row>
    <row r="1556" spans="1:3" x14ac:dyDescent="0.25">
      <c r="A1556">
        <v>13</v>
      </c>
      <c r="B1556">
        <v>0</v>
      </c>
      <c r="C1556">
        <v>490</v>
      </c>
    </row>
    <row r="1557" spans="1:3" x14ac:dyDescent="0.25">
      <c r="A1557">
        <v>12</v>
      </c>
      <c r="B1557">
        <v>0</v>
      </c>
      <c r="C1557">
        <v>490</v>
      </c>
    </row>
    <row r="1558" spans="1:3" x14ac:dyDescent="0.25">
      <c r="A1558">
        <v>12</v>
      </c>
      <c r="B1558">
        <v>0</v>
      </c>
      <c r="C1558">
        <v>490</v>
      </c>
    </row>
    <row r="1559" spans="1:3" x14ac:dyDescent="0.25">
      <c r="A1559">
        <v>12</v>
      </c>
      <c r="B1559">
        <v>0</v>
      </c>
      <c r="C1559">
        <v>490</v>
      </c>
    </row>
    <row r="1560" spans="1:3" x14ac:dyDescent="0.25">
      <c r="A1560">
        <v>13</v>
      </c>
      <c r="B1560">
        <v>0</v>
      </c>
      <c r="C1560">
        <v>490</v>
      </c>
    </row>
    <row r="1561" spans="1:3" x14ac:dyDescent="0.25">
      <c r="A1561">
        <v>13</v>
      </c>
      <c r="B1561">
        <v>0</v>
      </c>
      <c r="C1561">
        <v>396</v>
      </c>
    </row>
    <row r="1562" spans="1:3" x14ac:dyDescent="0.25">
      <c r="A1562">
        <v>11</v>
      </c>
      <c r="B1562">
        <v>0</v>
      </c>
      <c r="C1562">
        <v>396</v>
      </c>
    </row>
    <row r="1563" spans="1:3" x14ac:dyDescent="0.25">
      <c r="A1563">
        <v>12</v>
      </c>
      <c r="B1563">
        <v>0</v>
      </c>
      <c r="C1563">
        <v>396</v>
      </c>
    </row>
    <row r="1564" spans="1:3" x14ac:dyDescent="0.25">
      <c r="A1564">
        <v>13</v>
      </c>
      <c r="B1564">
        <v>0</v>
      </c>
      <c r="C1564">
        <v>396</v>
      </c>
    </row>
    <row r="1565" spans="1:3" x14ac:dyDescent="0.25">
      <c r="A1565">
        <v>12</v>
      </c>
      <c r="B1565">
        <v>0</v>
      </c>
      <c r="C1565">
        <v>396</v>
      </c>
    </row>
    <row r="1566" spans="1:3" x14ac:dyDescent="0.25">
      <c r="A1566">
        <v>14</v>
      </c>
      <c r="B1566">
        <v>0</v>
      </c>
      <c r="C1566">
        <v>396</v>
      </c>
    </row>
    <row r="1567" spans="1:3" x14ac:dyDescent="0.25">
      <c r="A1567">
        <v>14</v>
      </c>
      <c r="B1567">
        <v>0</v>
      </c>
      <c r="C1567">
        <v>396</v>
      </c>
    </row>
    <row r="1568" spans="1:3" x14ac:dyDescent="0.25">
      <c r="A1568">
        <v>12</v>
      </c>
      <c r="B1568">
        <v>0</v>
      </c>
      <c r="C1568">
        <v>396</v>
      </c>
    </row>
    <row r="1569" spans="1:3" x14ac:dyDescent="0.25">
      <c r="A1569">
        <v>13</v>
      </c>
      <c r="B1569">
        <v>0</v>
      </c>
      <c r="C1569">
        <v>323</v>
      </c>
    </row>
    <row r="1570" spans="1:3" x14ac:dyDescent="0.25">
      <c r="A1570">
        <v>12</v>
      </c>
      <c r="B1570">
        <v>0</v>
      </c>
      <c r="C1570">
        <v>323</v>
      </c>
    </row>
    <row r="1571" spans="1:3" x14ac:dyDescent="0.25">
      <c r="A1571">
        <v>13</v>
      </c>
      <c r="B1571">
        <v>0</v>
      </c>
      <c r="C1571">
        <v>323</v>
      </c>
    </row>
    <row r="1572" spans="1:3" x14ac:dyDescent="0.25">
      <c r="A1572">
        <v>11</v>
      </c>
      <c r="B1572">
        <v>0</v>
      </c>
      <c r="C1572">
        <v>323</v>
      </c>
    </row>
    <row r="1573" spans="1:3" x14ac:dyDescent="0.25">
      <c r="A1573">
        <v>12</v>
      </c>
      <c r="B1573">
        <v>0</v>
      </c>
      <c r="C1573">
        <v>323</v>
      </c>
    </row>
    <row r="1574" spans="1:3" x14ac:dyDescent="0.25">
      <c r="A1574">
        <v>13</v>
      </c>
      <c r="B1574">
        <v>0</v>
      </c>
      <c r="C1574">
        <v>323</v>
      </c>
    </row>
    <row r="1575" spans="1:3" x14ac:dyDescent="0.25">
      <c r="A1575">
        <v>12</v>
      </c>
      <c r="B1575">
        <v>0</v>
      </c>
      <c r="C1575">
        <v>323</v>
      </c>
    </row>
    <row r="1576" spans="1:3" x14ac:dyDescent="0.25">
      <c r="A1576">
        <v>14</v>
      </c>
      <c r="B1576">
        <v>0</v>
      </c>
      <c r="C1576">
        <v>323</v>
      </c>
    </row>
    <row r="1577" spans="1:3" x14ac:dyDescent="0.25">
      <c r="A1577">
        <v>13</v>
      </c>
      <c r="B1577">
        <v>0</v>
      </c>
      <c r="C1577">
        <v>337</v>
      </c>
    </row>
    <row r="1578" spans="1:3" x14ac:dyDescent="0.25">
      <c r="A1578">
        <v>13</v>
      </c>
      <c r="B1578">
        <v>0</v>
      </c>
      <c r="C1578">
        <v>337</v>
      </c>
    </row>
    <row r="1579" spans="1:3" x14ac:dyDescent="0.25">
      <c r="A1579">
        <v>13</v>
      </c>
      <c r="B1579">
        <v>0</v>
      </c>
      <c r="C1579">
        <v>337</v>
      </c>
    </row>
    <row r="1580" spans="1:3" x14ac:dyDescent="0.25">
      <c r="A1580">
        <v>12</v>
      </c>
      <c r="B1580">
        <v>0</v>
      </c>
      <c r="C1580">
        <v>337</v>
      </c>
    </row>
    <row r="1581" spans="1:3" x14ac:dyDescent="0.25">
      <c r="A1581">
        <v>12</v>
      </c>
      <c r="B1581">
        <v>0</v>
      </c>
      <c r="C1581">
        <v>337</v>
      </c>
    </row>
    <row r="1582" spans="1:3" x14ac:dyDescent="0.25">
      <c r="A1582">
        <v>11</v>
      </c>
      <c r="B1582">
        <v>0</v>
      </c>
      <c r="C1582">
        <v>337</v>
      </c>
    </row>
    <row r="1583" spans="1:3" x14ac:dyDescent="0.25">
      <c r="A1583">
        <v>12</v>
      </c>
      <c r="B1583">
        <v>0</v>
      </c>
      <c r="C1583">
        <v>337</v>
      </c>
    </row>
    <row r="1584" spans="1:3" x14ac:dyDescent="0.25">
      <c r="A1584">
        <v>15</v>
      </c>
      <c r="B1584">
        <v>0</v>
      </c>
      <c r="C1584">
        <v>337</v>
      </c>
    </row>
    <row r="1585" spans="1:3" x14ac:dyDescent="0.25">
      <c r="A1585">
        <v>12</v>
      </c>
      <c r="B1585">
        <v>0</v>
      </c>
      <c r="C1585">
        <v>332</v>
      </c>
    </row>
    <row r="1586" spans="1:3" x14ac:dyDescent="0.25">
      <c r="A1586">
        <v>13</v>
      </c>
      <c r="B1586">
        <v>0</v>
      </c>
      <c r="C1586">
        <v>332</v>
      </c>
    </row>
    <row r="1587" spans="1:3" x14ac:dyDescent="0.25">
      <c r="A1587">
        <v>11</v>
      </c>
      <c r="B1587">
        <v>0</v>
      </c>
      <c r="C1587">
        <v>332</v>
      </c>
    </row>
    <row r="1588" spans="1:3" x14ac:dyDescent="0.25">
      <c r="A1588">
        <v>13</v>
      </c>
      <c r="B1588">
        <v>0</v>
      </c>
      <c r="C1588">
        <v>332</v>
      </c>
    </row>
    <row r="1589" spans="1:3" x14ac:dyDescent="0.25">
      <c r="A1589">
        <v>12</v>
      </c>
      <c r="B1589">
        <v>0</v>
      </c>
      <c r="C1589">
        <v>332</v>
      </c>
    </row>
    <row r="1590" spans="1:3" x14ac:dyDescent="0.25">
      <c r="A1590">
        <v>12</v>
      </c>
      <c r="B1590">
        <v>0</v>
      </c>
      <c r="C1590">
        <v>332</v>
      </c>
    </row>
    <row r="1591" spans="1:3" x14ac:dyDescent="0.25">
      <c r="A1591">
        <v>12</v>
      </c>
      <c r="B1591">
        <v>0</v>
      </c>
      <c r="C1591">
        <v>332</v>
      </c>
    </row>
    <row r="1592" spans="1:3" x14ac:dyDescent="0.25">
      <c r="A1592">
        <v>12</v>
      </c>
      <c r="B1592">
        <v>0</v>
      </c>
      <c r="C1592">
        <v>332</v>
      </c>
    </row>
    <row r="1593" spans="1:3" x14ac:dyDescent="0.25">
      <c r="A1593">
        <v>12</v>
      </c>
      <c r="B1593">
        <v>0</v>
      </c>
      <c r="C1593">
        <v>315</v>
      </c>
    </row>
    <row r="1594" spans="1:3" x14ac:dyDescent="0.25">
      <c r="A1594">
        <v>12</v>
      </c>
      <c r="B1594">
        <v>0</v>
      </c>
      <c r="C1594">
        <v>315</v>
      </c>
    </row>
    <row r="1595" spans="1:3" x14ac:dyDescent="0.25">
      <c r="A1595">
        <v>12</v>
      </c>
      <c r="B1595">
        <v>0</v>
      </c>
      <c r="C1595">
        <v>315</v>
      </c>
    </row>
    <row r="1596" spans="1:3" x14ac:dyDescent="0.25">
      <c r="A1596">
        <v>12</v>
      </c>
      <c r="B1596">
        <v>0</v>
      </c>
      <c r="C1596">
        <v>315</v>
      </c>
    </row>
    <row r="1597" spans="1:3" x14ac:dyDescent="0.25">
      <c r="A1597">
        <v>12</v>
      </c>
      <c r="B1597">
        <v>0</v>
      </c>
      <c r="C1597">
        <v>315</v>
      </c>
    </row>
    <row r="1598" spans="1:3" x14ac:dyDescent="0.25">
      <c r="A1598">
        <v>12</v>
      </c>
      <c r="B1598">
        <v>0</v>
      </c>
      <c r="C1598">
        <v>315</v>
      </c>
    </row>
    <row r="1599" spans="1:3" x14ac:dyDescent="0.25">
      <c r="A1599">
        <v>14</v>
      </c>
      <c r="B1599">
        <v>0</v>
      </c>
      <c r="C1599">
        <v>315</v>
      </c>
    </row>
    <row r="1600" spans="1:3" x14ac:dyDescent="0.25">
      <c r="A1600">
        <v>11</v>
      </c>
      <c r="B1600">
        <v>0</v>
      </c>
      <c r="C1600">
        <v>315</v>
      </c>
    </row>
    <row r="1601" spans="1:3" x14ac:dyDescent="0.25">
      <c r="A1601">
        <v>13</v>
      </c>
      <c r="B1601">
        <v>0</v>
      </c>
      <c r="C1601">
        <v>374</v>
      </c>
    </row>
    <row r="1602" spans="1:3" x14ac:dyDescent="0.25">
      <c r="A1602">
        <v>11</v>
      </c>
      <c r="B1602">
        <v>0</v>
      </c>
      <c r="C1602">
        <v>374</v>
      </c>
    </row>
    <row r="1603" spans="1:3" x14ac:dyDescent="0.25">
      <c r="A1603">
        <v>11</v>
      </c>
      <c r="B1603">
        <v>0</v>
      </c>
      <c r="C1603">
        <v>374</v>
      </c>
    </row>
    <row r="1604" spans="1:3" x14ac:dyDescent="0.25">
      <c r="A1604">
        <v>12</v>
      </c>
      <c r="B1604">
        <v>0</v>
      </c>
      <c r="C1604">
        <v>374</v>
      </c>
    </row>
    <row r="1605" spans="1:3" x14ac:dyDescent="0.25">
      <c r="A1605">
        <v>12</v>
      </c>
      <c r="B1605">
        <v>0</v>
      </c>
      <c r="C1605">
        <v>374</v>
      </c>
    </row>
    <row r="1606" spans="1:3" x14ac:dyDescent="0.25">
      <c r="A1606">
        <v>14</v>
      </c>
      <c r="B1606">
        <v>0</v>
      </c>
      <c r="C1606">
        <v>374</v>
      </c>
    </row>
    <row r="1607" spans="1:3" x14ac:dyDescent="0.25">
      <c r="A1607">
        <v>14</v>
      </c>
      <c r="B1607">
        <v>0</v>
      </c>
      <c r="C1607">
        <v>374</v>
      </c>
    </row>
    <row r="1608" spans="1:3" x14ac:dyDescent="0.25">
      <c r="A1608">
        <v>12</v>
      </c>
      <c r="B1608">
        <v>0</v>
      </c>
      <c r="C1608">
        <v>374</v>
      </c>
    </row>
    <row r="1609" spans="1:3" x14ac:dyDescent="0.25">
      <c r="A1609">
        <v>13</v>
      </c>
      <c r="B1609">
        <v>0</v>
      </c>
      <c r="C1609">
        <v>343</v>
      </c>
    </row>
    <row r="1610" spans="1:3" x14ac:dyDescent="0.25">
      <c r="A1610">
        <v>12</v>
      </c>
      <c r="B1610">
        <v>0</v>
      </c>
      <c r="C1610">
        <v>343</v>
      </c>
    </row>
    <row r="1611" spans="1:3" x14ac:dyDescent="0.25">
      <c r="A1611">
        <v>12</v>
      </c>
      <c r="B1611">
        <v>0</v>
      </c>
      <c r="C1611">
        <v>343</v>
      </c>
    </row>
    <row r="1612" spans="1:3" x14ac:dyDescent="0.25">
      <c r="A1612">
        <v>12</v>
      </c>
      <c r="B1612">
        <v>0</v>
      </c>
      <c r="C1612">
        <v>343</v>
      </c>
    </row>
    <row r="1613" spans="1:3" x14ac:dyDescent="0.25">
      <c r="A1613">
        <v>13</v>
      </c>
      <c r="B1613">
        <v>0</v>
      </c>
      <c r="C1613">
        <v>343</v>
      </c>
    </row>
    <row r="1614" spans="1:3" x14ac:dyDescent="0.25">
      <c r="A1614">
        <v>12</v>
      </c>
      <c r="B1614">
        <v>0</v>
      </c>
      <c r="C1614">
        <v>343</v>
      </c>
    </row>
    <row r="1615" spans="1:3" x14ac:dyDescent="0.25">
      <c r="A1615">
        <v>12</v>
      </c>
      <c r="B1615">
        <v>0</v>
      </c>
      <c r="C1615">
        <v>343</v>
      </c>
    </row>
    <row r="1616" spans="1:3" x14ac:dyDescent="0.25">
      <c r="A1616">
        <v>15</v>
      </c>
      <c r="B1616">
        <v>0</v>
      </c>
      <c r="C1616">
        <v>343</v>
      </c>
    </row>
    <row r="1617" spans="1:3" x14ac:dyDescent="0.25">
      <c r="A1617">
        <v>12</v>
      </c>
      <c r="B1617">
        <v>0</v>
      </c>
      <c r="C1617">
        <v>332</v>
      </c>
    </row>
    <row r="1618" spans="1:3" x14ac:dyDescent="0.25">
      <c r="A1618">
        <v>14</v>
      </c>
      <c r="B1618">
        <v>0</v>
      </c>
      <c r="C1618">
        <v>332</v>
      </c>
    </row>
    <row r="1619" spans="1:3" x14ac:dyDescent="0.25">
      <c r="A1619">
        <v>12</v>
      </c>
      <c r="B1619">
        <v>0</v>
      </c>
      <c r="C1619">
        <v>332</v>
      </c>
    </row>
    <row r="1620" spans="1:3" x14ac:dyDescent="0.25">
      <c r="A1620">
        <v>11</v>
      </c>
      <c r="B1620">
        <v>0</v>
      </c>
      <c r="C1620">
        <v>332</v>
      </c>
    </row>
    <row r="1621" spans="1:3" x14ac:dyDescent="0.25">
      <c r="A1621">
        <v>14</v>
      </c>
      <c r="B1621">
        <v>0</v>
      </c>
      <c r="C1621">
        <v>332</v>
      </c>
    </row>
    <row r="1622" spans="1:3" x14ac:dyDescent="0.25">
      <c r="A1622">
        <v>13</v>
      </c>
      <c r="B1622">
        <v>0</v>
      </c>
      <c r="C1622">
        <v>332</v>
      </c>
    </row>
    <row r="1623" spans="1:3" x14ac:dyDescent="0.25">
      <c r="A1623">
        <v>12</v>
      </c>
      <c r="B1623">
        <v>0</v>
      </c>
      <c r="C1623">
        <v>332</v>
      </c>
    </row>
    <row r="1624" spans="1:3" x14ac:dyDescent="0.25">
      <c r="A1624">
        <v>12</v>
      </c>
      <c r="B1624">
        <v>0</v>
      </c>
      <c r="C1624">
        <v>332</v>
      </c>
    </row>
    <row r="1625" spans="1:3" x14ac:dyDescent="0.25">
      <c r="A1625">
        <v>13</v>
      </c>
      <c r="B1625">
        <v>0</v>
      </c>
      <c r="C1625">
        <v>367</v>
      </c>
    </row>
    <row r="1626" spans="1:3" x14ac:dyDescent="0.25">
      <c r="A1626">
        <v>12</v>
      </c>
      <c r="B1626">
        <v>0</v>
      </c>
      <c r="C1626">
        <v>367</v>
      </c>
    </row>
    <row r="1627" spans="1:3" x14ac:dyDescent="0.25">
      <c r="A1627">
        <v>15</v>
      </c>
      <c r="B1627">
        <v>0</v>
      </c>
      <c r="C1627">
        <v>367</v>
      </c>
    </row>
    <row r="1628" spans="1:3" x14ac:dyDescent="0.25">
      <c r="A1628">
        <v>13</v>
      </c>
      <c r="B1628">
        <v>0</v>
      </c>
      <c r="C1628">
        <v>367</v>
      </c>
    </row>
    <row r="1629" spans="1:3" x14ac:dyDescent="0.25">
      <c r="A1629">
        <v>15</v>
      </c>
      <c r="B1629">
        <v>0</v>
      </c>
      <c r="C1629">
        <v>367</v>
      </c>
    </row>
    <row r="1630" spans="1:3" x14ac:dyDescent="0.25">
      <c r="A1630">
        <v>13</v>
      </c>
      <c r="B1630">
        <v>0</v>
      </c>
      <c r="C1630">
        <v>367</v>
      </c>
    </row>
    <row r="1631" spans="1:3" x14ac:dyDescent="0.25">
      <c r="A1631">
        <v>13</v>
      </c>
      <c r="B1631">
        <v>0</v>
      </c>
      <c r="C1631">
        <v>367</v>
      </c>
    </row>
    <row r="1632" spans="1:3" x14ac:dyDescent="0.25">
      <c r="A1632">
        <v>13</v>
      </c>
      <c r="B1632">
        <v>0</v>
      </c>
      <c r="C1632">
        <v>367</v>
      </c>
    </row>
    <row r="1633" spans="1:3" x14ac:dyDescent="0.25">
      <c r="A1633">
        <v>11</v>
      </c>
      <c r="B1633">
        <v>0</v>
      </c>
      <c r="C1633">
        <v>379</v>
      </c>
    </row>
    <row r="1634" spans="1:3" x14ac:dyDescent="0.25">
      <c r="A1634">
        <v>12</v>
      </c>
      <c r="B1634">
        <v>0</v>
      </c>
      <c r="C1634">
        <v>379</v>
      </c>
    </row>
    <row r="1635" spans="1:3" x14ac:dyDescent="0.25">
      <c r="A1635">
        <v>12</v>
      </c>
      <c r="B1635">
        <v>0</v>
      </c>
      <c r="C1635">
        <v>379</v>
      </c>
    </row>
    <row r="1636" spans="1:3" x14ac:dyDescent="0.25">
      <c r="A1636">
        <v>12</v>
      </c>
      <c r="B1636">
        <v>0</v>
      </c>
      <c r="C1636">
        <v>379</v>
      </c>
    </row>
    <row r="1637" spans="1:3" x14ac:dyDescent="0.25">
      <c r="A1637">
        <v>12</v>
      </c>
      <c r="B1637">
        <v>0</v>
      </c>
      <c r="C1637">
        <v>379</v>
      </c>
    </row>
    <row r="1638" spans="1:3" x14ac:dyDescent="0.25">
      <c r="A1638">
        <v>12</v>
      </c>
      <c r="B1638">
        <v>0</v>
      </c>
      <c r="C1638">
        <v>379</v>
      </c>
    </row>
    <row r="1639" spans="1:3" x14ac:dyDescent="0.25">
      <c r="A1639">
        <v>13</v>
      </c>
      <c r="B1639">
        <v>0</v>
      </c>
      <c r="C1639">
        <v>379</v>
      </c>
    </row>
    <row r="1640" spans="1:3" x14ac:dyDescent="0.25">
      <c r="A1640">
        <v>12</v>
      </c>
      <c r="B1640">
        <v>0</v>
      </c>
      <c r="C1640">
        <v>379</v>
      </c>
    </row>
    <row r="1641" spans="1:3" x14ac:dyDescent="0.25">
      <c r="A1641">
        <v>12</v>
      </c>
      <c r="B1641">
        <v>0</v>
      </c>
      <c r="C1641">
        <v>351</v>
      </c>
    </row>
    <row r="1642" spans="1:3" x14ac:dyDescent="0.25">
      <c r="A1642">
        <v>12</v>
      </c>
      <c r="B1642">
        <v>0</v>
      </c>
      <c r="C1642">
        <v>351</v>
      </c>
    </row>
    <row r="1643" spans="1:3" x14ac:dyDescent="0.25">
      <c r="A1643">
        <v>12</v>
      </c>
      <c r="B1643">
        <v>0</v>
      </c>
      <c r="C1643">
        <v>351</v>
      </c>
    </row>
    <row r="1644" spans="1:3" x14ac:dyDescent="0.25">
      <c r="A1644">
        <v>12</v>
      </c>
      <c r="B1644">
        <v>0</v>
      </c>
      <c r="C1644">
        <v>351</v>
      </c>
    </row>
    <row r="1645" spans="1:3" x14ac:dyDescent="0.25">
      <c r="A1645">
        <v>12</v>
      </c>
      <c r="B1645">
        <v>0</v>
      </c>
      <c r="C1645">
        <v>351</v>
      </c>
    </row>
    <row r="1646" spans="1:3" x14ac:dyDescent="0.25">
      <c r="A1646">
        <v>12</v>
      </c>
      <c r="B1646">
        <v>0</v>
      </c>
      <c r="C1646">
        <v>351</v>
      </c>
    </row>
    <row r="1647" spans="1:3" x14ac:dyDescent="0.25">
      <c r="A1647">
        <v>13</v>
      </c>
      <c r="B1647">
        <v>0</v>
      </c>
      <c r="C1647">
        <v>351</v>
      </c>
    </row>
    <row r="1648" spans="1:3" x14ac:dyDescent="0.25">
      <c r="A1648">
        <v>12</v>
      </c>
      <c r="B1648">
        <v>0</v>
      </c>
      <c r="C1648">
        <v>351</v>
      </c>
    </row>
    <row r="1649" spans="1:3" x14ac:dyDescent="0.25">
      <c r="A1649">
        <v>14</v>
      </c>
      <c r="B1649">
        <v>0</v>
      </c>
      <c r="C1649">
        <v>361</v>
      </c>
    </row>
    <row r="1650" spans="1:3" x14ac:dyDescent="0.25">
      <c r="A1650">
        <v>13</v>
      </c>
      <c r="B1650">
        <v>0</v>
      </c>
      <c r="C1650">
        <v>361</v>
      </c>
    </row>
    <row r="1651" spans="1:3" x14ac:dyDescent="0.25">
      <c r="A1651">
        <v>12</v>
      </c>
      <c r="B1651">
        <v>0</v>
      </c>
      <c r="C1651">
        <v>361</v>
      </c>
    </row>
    <row r="1652" spans="1:3" x14ac:dyDescent="0.25">
      <c r="A1652">
        <v>14</v>
      </c>
      <c r="B1652">
        <v>0</v>
      </c>
      <c r="C1652">
        <v>361</v>
      </c>
    </row>
    <row r="1653" spans="1:3" x14ac:dyDescent="0.25">
      <c r="A1653">
        <v>11</v>
      </c>
      <c r="B1653">
        <v>0</v>
      </c>
      <c r="C1653">
        <v>361</v>
      </c>
    </row>
    <row r="1654" spans="1:3" x14ac:dyDescent="0.25">
      <c r="A1654">
        <v>12</v>
      </c>
      <c r="B1654">
        <v>0</v>
      </c>
      <c r="C1654">
        <v>361</v>
      </c>
    </row>
    <row r="1655" spans="1:3" x14ac:dyDescent="0.25">
      <c r="A1655">
        <v>11</v>
      </c>
      <c r="B1655">
        <v>0</v>
      </c>
      <c r="C1655">
        <v>361</v>
      </c>
    </row>
    <row r="1656" spans="1:3" x14ac:dyDescent="0.25">
      <c r="A1656">
        <v>12</v>
      </c>
      <c r="B1656">
        <v>0</v>
      </c>
      <c r="C1656">
        <v>320</v>
      </c>
    </row>
    <row r="1657" spans="1:3" x14ac:dyDescent="0.25">
      <c r="A1657">
        <v>11</v>
      </c>
      <c r="B1657">
        <v>0</v>
      </c>
      <c r="C1657">
        <v>320</v>
      </c>
    </row>
    <row r="1658" spans="1:3" x14ac:dyDescent="0.25">
      <c r="A1658">
        <v>12</v>
      </c>
      <c r="B1658">
        <v>0</v>
      </c>
      <c r="C1658">
        <v>320</v>
      </c>
    </row>
    <row r="1659" spans="1:3" x14ac:dyDescent="0.25">
      <c r="A1659">
        <v>13</v>
      </c>
      <c r="B1659">
        <v>0</v>
      </c>
      <c r="C1659">
        <v>320</v>
      </c>
    </row>
    <row r="1660" spans="1:3" x14ac:dyDescent="0.25">
      <c r="A1660">
        <v>13</v>
      </c>
      <c r="B1660">
        <v>0</v>
      </c>
      <c r="C1660">
        <v>320</v>
      </c>
    </row>
    <row r="1661" spans="1:3" x14ac:dyDescent="0.25">
      <c r="A1661">
        <v>12</v>
      </c>
      <c r="B1661">
        <v>0</v>
      </c>
      <c r="C1661">
        <v>320</v>
      </c>
    </row>
    <row r="1662" spans="1:3" x14ac:dyDescent="0.25">
      <c r="A1662">
        <v>12</v>
      </c>
      <c r="B1662">
        <v>0</v>
      </c>
      <c r="C1662">
        <v>320</v>
      </c>
    </row>
    <row r="1663" spans="1:3" x14ac:dyDescent="0.25">
      <c r="A1663">
        <v>11</v>
      </c>
      <c r="B1663">
        <v>0</v>
      </c>
      <c r="C1663">
        <v>320</v>
      </c>
    </row>
    <row r="1664" spans="1:3" x14ac:dyDescent="0.25">
      <c r="A1664">
        <v>11</v>
      </c>
      <c r="B1664">
        <v>0</v>
      </c>
      <c r="C1664">
        <v>303</v>
      </c>
    </row>
    <row r="1665" spans="1:3" x14ac:dyDescent="0.25">
      <c r="A1665">
        <v>11</v>
      </c>
      <c r="B1665">
        <v>0</v>
      </c>
      <c r="C1665">
        <v>303</v>
      </c>
    </row>
    <row r="1666" spans="1:3" x14ac:dyDescent="0.25">
      <c r="A1666">
        <v>12</v>
      </c>
      <c r="B1666">
        <v>0</v>
      </c>
      <c r="C1666">
        <v>303</v>
      </c>
    </row>
    <row r="1667" spans="1:3" x14ac:dyDescent="0.25">
      <c r="A1667">
        <v>13</v>
      </c>
      <c r="B1667">
        <v>0</v>
      </c>
      <c r="C1667">
        <v>303</v>
      </c>
    </row>
    <row r="1668" spans="1:3" x14ac:dyDescent="0.25">
      <c r="A1668">
        <v>12</v>
      </c>
      <c r="B1668">
        <v>0</v>
      </c>
      <c r="C1668">
        <v>303</v>
      </c>
    </row>
    <row r="1669" spans="1:3" x14ac:dyDescent="0.25">
      <c r="A1669">
        <v>14</v>
      </c>
      <c r="B1669">
        <v>0</v>
      </c>
      <c r="C1669">
        <v>303</v>
      </c>
    </row>
    <row r="1670" spans="1:3" x14ac:dyDescent="0.25">
      <c r="A1670">
        <v>12</v>
      </c>
      <c r="B1670">
        <v>0</v>
      </c>
      <c r="C1670">
        <v>303</v>
      </c>
    </row>
    <row r="1671" spans="1:3" x14ac:dyDescent="0.25">
      <c r="A1671">
        <v>20</v>
      </c>
      <c r="B1671">
        <v>0</v>
      </c>
      <c r="C1671">
        <v>303</v>
      </c>
    </row>
    <row r="1672" spans="1:3" x14ac:dyDescent="0.25">
      <c r="A1672">
        <v>12</v>
      </c>
      <c r="B1672">
        <v>0</v>
      </c>
      <c r="C1672">
        <v>401</v>
      </c>
    </row>
    <row r="1673" spans="1:3" x14ac:dyDescent="0.25">
      <c r="A1673">
        <v>11</v>
      </c>
      <c r="B1673">
        <v>0</v>
      </c>
      <c r="C1673">
        <v>401</v>
      </c>
    </row>
    <row r="1674" spans="1:3" x14ac:dyDescent="0.25">
      <c r="A1674">
        <v>12</v>
      </c>
      <c r="B1674">
        <v>0</v>
      </c>
      <c r="C1674">
        <v>401</v>
      </c>
    </row>
    <row r="1675" spans="1:3" x14ac:dyDescent="0.25">
      <c r="A1675">
        <v>13</v>
      </c>
      <c r="B1675">
        <v>0</v>
      </c>
      <c r="C1675">
        <v>401</v>
      </c>
    </row>
    <row r="1676" spans="1:3" x14ac:dyDescent="0.25">
      <c r="A1676">
        <v>13</v>
      </c>
      <c r="B1676">
        <v>0</v>
      </c>
      <c r="C1676">
        <v>401</v>
      </c>
    </row>
    <row r="1677" spans="1:3" x14ac:dyDescent="0.25">
      <c r="A1677">
        <v>13</v>
      </c>
      <c r="B1677">
        <v>0</v>
      </c>
      <c r="C1677">
        <v>401</v>
      </c>
    </row>
    <row r="1678" spans="1:3" x14ac:dyDescent="0.25">
      <c r="A1678">
        <v>13</v>
      </c>
      <c r="B1678">
        <v>0</v>
      </c>
      <c r="C1678">
        <v>401</v>
      </c>
    </row>
    <row r="1679" spans="1:3" x14ac:dyDescent="0.25">
      <c r="A1679">
        <v>12</v>
      </c>
      <c r="B1679">
        <v>0</v>
      </c>
      <c r="C1679">
        <v>401</v>
      </c>
    </row>
    <row r="1680" spans="1:3" x14ac:dyDescent="0.25">
      <c r="A1680">
        <v>12</v>
      </c>
      <c r="B1680">
        <v>0</v>
      </c>
      <c r="C1680">
        <v>306</v>
      </c>
    </row>
    <row r="1681" spans="1:3" x14ac:dyDescent="0.25">
      <c r="A1681">
        <v>13</v>
      </c>
      <c r="B1681">
        <v>0</v>
      </c>
      <c r="C1681">
        <v>306</v>
      </c>
    </row>
    <row r="1682" spans="1:3" x14ac:dyDescent="0.25">
      <c r="A1682">
        <v>12</v>
      </c>
      <c r="B1682">
        <v>0</v>
      </c>
      <c r="C1682">
        <v>306</v>
      </c>
    </row>
    <row r="1683" spans="1:3" x14ac:dyDescent="0.25">
      <c r="A1683">
        <v>11</v>
      </c>
      <c r="B1683">
        <v>0</v>
      </c>
      <c r="C1683">
        <v>306</v>
      </c>
    </row>
    <row r="1684" spans="1:3" x14ac:dyDescent="0.25">
      <c r="A1684">
        <v>12</v>
      </c>
      <c r="B1684">
        <v>0</v>
      </c>
      <c r="C1684">
        <v>306</v>
      </c>
    </row>
    <row r="1685" spans="1:3" x14ac:dyDescent="0.25">
      <c r="A1685">
        <v>12</v>
      </c>
      <c r="B1685">
        <v>0</v>
      </c>
      <c r="C1685">
        <v>306</v>
      </c>
    </row>
    <row r="1686" spans="1:3" x14ac:dyDescent="0.25">
      <c r="A1686">
        <v>14</v>
      </c>
      <c r="B1686">
        <v>0</v>
      </c>
      <c r="C1686">
        <v>306</v>
      </c>
    </row>
    <row r="1687" spans="1:3" x14ac:dyDescent="0.25">
      <c r="A1687">
        <v>13</v>
      </c>
      <c r="B1687">
        <v>0</v>
      </c>
      <c r="C1687">
        <v>306</v>
      </c>
    </row>
    <row r="1688" spans="1:3" x14ac:dyDescent="0.25">
      <c r="A1688">
        <v>12</v>
      </c>
      <c r="B1688">
        <v>0</v>
      </c>
      <c r="C1688">
        <v>326</v>
      </c>
    </row>
    <row r="1689" spans="1:3" x14ac:dyDescent="0.25">
      <c r="A1689">
        <v>13</v>
      </c>
      <c r="B1689">
        <v>0</v>
      </c>
      <c r="C1689">
        <v>326</v>
      </c>
    </row>
    <row r="1690" spans="1:3" x14ac:dyDescent="0.25">
      <c r="A1690">
        <v>12</v>
      </c>
      <c r="B1690">
        <v>0</v>
      </c>
      <c r="C1690">
        <v>326</v>
      </c>
    </row>
    <row r="1691" spans="1:3" x14ac:dyDescent="0.25">
      <c r="A1691">
        <v>14</v>
      </c>
      <c r="B1691">
        <v>0</v>
      </c>
      <c r="C1691">
        <v>326</v>
      </c>
    </row>
    <row r="1692" spans="1:3" x14ac:dyDescent="0.25">
      <c r="A1692">
        <v>14</v>
      </c>
      <c r="B1692">
        <v>0</v>
      </c>
      <c r="C1692">
        <v>326</v>
      </c>
    </row>
    <row r="1693" spans="1:3" x14ac:dyDescent="0.25">
      <c r="A1693">
        <v>20</v>
      </c>
      <c r="B1693">
        <v>0</v>
      </c>
      <c r="C1693">
        <v>326</v>
      </c>
    </row>
    <row r="1694" spans="1:3" x14ac:dyDescent="0.25">
      <c r="A1694">
        <v>13</v>
      </c>
      <c r="B1694">
        <v>0</v>
      </c>
      <c r="C1694">
        <v>326</v>
      </c>
    </row>
    <row r="1695" spans="1:3" x14ac:dyDescent="0.25">
      <c r="A1695">
        <v>12</v>
      </c>
      <c r="B1695">
        <v>0</v>
      </c>
      <c r="C1695">
        <v>558</v>
      </c>
    </row>
    <row r="1696" spans="1:3" x14ac:dyDescent="0.25">
      <c r="A1696">
        <v>13</v>
      </c>
      <c r="B1696">
        <v>0</v>
      </c>
      <c r="C1696">
        <v>558</v>
      </c>
    </row>
    <row r="1697" spans="1:3" x14ac:dyDescent="0.25">
      <c r="A1697">
        <v>12</v>
      </c>
      <c r="B1697">
        <v>0</v>
      </c>
      <c r="C1697">
        <v>558</v>
      </c>
    </row>
    <row r="1698" spans="1:3" x14ac:dyDescent="0.25">
      <c r="A1698">
        <v>19</v>
      </c>
      <c r="B1698">
        <v>0</v>
      </c>
      <c r="C1698">
        <v>558</v>
      </c>
    </row>
    <row r="1699" spans="1:3" x14ac:dyDescent="0.25">
      <c r="A1699">
        <v>20</v>
      </c>
      <c r="B1699">
        <v>0</v>
      </c>
      <c r="C1699">
        <v>558</v>
      </c>
    </row>
    <row r="1700" spans="1:3" x14ac:dyDescent="0.25">
      <c r="A1700">
        <v>12</v>
      </c>
      <c r="B1700">
        <v>0</v>
      </c>
      <c r="C1700">
        <v>402</v>
      </c>
    </row>
    <row r="1701" spans="1:3" x14ac:dyDescent="0.25">
      <c r="A1701">
        <v>12</v>
      </c>
      <c r="B1701">
        <v>0</v>
      </c>
      <c r="C1701">
        <v>402</v>
      </c>
    </row>
    <row r="1702" spans="1:3" x14ac:dyDescent="0.25">
      <c r="A1702">
        <v>12</v>
      </c>
      <c r="B1702">
        <v>0</v>
      </c>
      <c r="C1702">
        <v>402</v>
      </c>
    </row>
    <row r="1703" spans="1:3" x14ac:dyDescent="0.25">
      <c r="A1703">
        <v>12</v>
      </c>
      <c r="B1703">
        <v>0</v>
      </c>
      <c r="C1703">
        <v>402</v>
      </c>
    </row>
    <row r="1704" spans="1:3" x14ac:dyDescent="0.25">
      <c r="A1704">
        <v>12</v>
      </c>
      <c r="B1704">
        <v>0</v>
      </c>
      <c r="C1704">
        <v>402</v>
      </c>
    </row>
    <row r="1705" spans="1:3" x14ac:dyDescent="0.25">
      <c r="A1705">
        <v>12</v>
      </c>
      <c r="B1705">
        <v>0</v>
      </c>
      <c r="C1705">
        <v>402</v>
      </c>
    </row>
    <row r="1706" spans="1:3" x14ac:dyDescent="0.25">
      <c r="A1706">
        <v>11</v>
      </c>
      <c r="B1706">
        <v>0</v>
      </c>
      <c r="C1706">
        <v>402</v>
      </c>
    </row>
    <row r="1707" spans="1:3" x14ac:dyDescent="0.25">
      <c r="A1707">
        <v>12</v>
      </c>
      <c r="B1707">
        <v>0</v>
      </c>
      <c r="C1707">
        <v>402</v>
      </c>
    </row>
    <row r="1708" spans="1:3" x14ac:dyDescent="0.25">
      <c r="A1708">
        <v>12</v>
      </c>
      <c r="B1708">
        <v>0</v>
      </c>
      <c r="C1708">
        <v>388</v>
      </c>
    </row>
    <row r="1709" spans="1:3" x14ac:dyDescent="0.25">
      <c r="A1709">
        <v>13</v>
      </c>
      <c r="B1709">
        <v>0</v>
      </c>
      <c r="C1709">
        <v>388</v>
      </c>
    </row>
    <row r="1710" spans="1:3" x14ac:dyDescent="0.25">
      <c r="A1710">
        <v>12</v>
      </c>
      <c r="B1710">
        <v>0</v>
      </c>
      <c r="C1710">
        <v>388</v>
      </c>
    </row>
    <row r="1711" spans="1:3" x14ac:dyDescent="0.25">
      <c r="A1711">
        <v>11</v>
      </c>
      <c r="B1711">
        <v>0</v>
      </c>
      <c r="C1711">
        <v>388</v>
      </c>
    </row>
    <row r="1712" spans="1:3" x14ac:dyDescent="0.25">
      <c r="A1712">
        <v>12</v>
      </c>
      <c r="B1712">
        <v>0</v>
      </c>
      <c r="C1712">
        <v>388</v>
      </c>
    </row>
    <row r="1713" spans="1:3" x14ac:dyDescent="0.25">
      <c r="A1713">
        <v>12</v>
      </c>
      <c r="B1713">
        <v>0</v>
      </c>
      <c r="C1713">
        <v>388</v>
      </c>
    </row>
    <row r="1714" spans="1:3" x14ac:dyDescent="0.25">
      <c r="A1714">
        <v>14</v>
      </c>
      <c r="B1714">
        <v>0</v>
      </c>
      <c r="C1714">
        <v>388</v>
      </c>
    </row>
    <row r="1715" spans="1:3" x14ac:dyDescent="0.25">
      <c r="A1715">
        <v>12</v>
      </c>
      <c r="B1715">
        <v>0</v>
      </c>
      <c r="C1715">
        <v>388</v>
      </c>
    </row>
    <row r="1716" spans="1:3" x14ac:dyDescent="0.25">
      <c r="A1716">
        <v>13</v>
      </c>
      <c r="B1716">
        <v>0</v>
      </c>
      <c r="C1716">
        <v>355</v>
      </c>
    </row>
    <row r="1717" spans="1:3" x14ac:dyDescent="0.25">
      <c r="A1717">
        <v>13</v>
      </c>
      <c r="B1717">
        <v>0</v>
      </c>
      <c r="C1717">
        <v>355</v>
      </c>
    </row>
    <row r="1718" spans="1:3" x14ac:dyDescent="0.25">
      <c r="A1718">
        <v>12</v>
      </c>
      <c r="B1718">
        <v>0</v>
      </c>
      <c r="C1718">
        <v>355</v>
      </c>
    </row>
    <row r="1719" spans="1:3" x14ac:dyDescent="0.25">
      <c r="A1719">
        <v>12</v>
      </c>
      <c r="B1719">
        <v>0</v>
      </c>
      <c r="C1719">
        <v>355</v>
      </c>
    </row>
    <row r="1720" spans="1:3" x14ac:dyDescent="0.25">
      <c r="A1720">
        <v>12</v>
      </c>
      <c r="B1720">
        <v>0</v>
      </c>
      <c r="C1720">
        <v>355</v>
      </c>
    </row>
    <row r="1721" spans="1:3" x14ac:dyDescent="0.25">
      <c r="A1721">
        <v>12</v>
      </c>
      <c r="B1721">
        <v>0</v>
      </c>
      <c r="C1721">
        <v>355</v>
      </c>
    </row>
    <row r="1722" spans="1:3" x14ac:dyDescent="0.25">
      <c r="A1722">
        <v>12</v>
      </c>
      <c r="B1722">
        <v>0</v>
      </c>
      <c r="C1722">
        <v>355</v>
      </c>
    </row>
    <row r="1723" spans="1:3" x14ac:dyDescent="0.25">
      <c r="A1723">
        <v>11</v>
      </c>
      <c r="B1723">
        <v>0</v>
      </c>
      <c r="C1723">
        <v>355</v>
      </c>
    </row>
    <row r="1724" spans="1:3" x14ac:dyDescent="0.25">
      <c r="A1724">
        <v>11</v>
      </c>
      <c r="B1724">
        <v>0</v>
      </c>
      <c r="C1724">
        <v>343</v>
      </c>
    </row>
    <row r="1725" spans="1:3" x14ac:dyDescent="0.25">
      <c r="A1725">
        <v>12</v>
      </c>
      <c r="B1725">
        <v>0</v>
      </c>
      <c r="C1725">
        <v>343</v>
      </c>
    </row>
    <row r="1726" spans="1:3" x14ac:dyDescent="0.25">
      <c r="A1726">
        <v>12</v>
      </c>
      <c r="B1726">
        <v>0</v>
      </c>
      <c r="C1726">
        <v>343</v>
      </c>
    </row>
    <row r="1727" spans="1:3" x14ac:dyDescent="0.25">
      <c r="A1727">
        <v>18</v>
      </c>
      <c r="B1727">
        <v>0</v>
      </c>
      <c r="C1727">
        <v>343</v>
      </c>
    </row>
    <row r="1728" spans="1:3" x14ac:dyDescent="0.25">
      <c r="A1728">
        <v>12</v>
      </c>
      <c r="B1728">
        <v>0</v>
      </c>
      <c r="C1728">
        <v>343</v>
      </c>
    </row>
    <row r="1729" spans="1:3" x14ac:dyDescent="0.25">
      <c r="A1729">
        <v>16</v>
      </c>
      <c r="B1729">
        <v>0</v>
      </c>
      <c r="C1729">
        <v>343</v>
      </c>
    </row>
    <row r="1730" spans="1:3" x14ac:dyDescent="0.25">
      <c r="A1730">
        <v>12</v>
      </c>
      <c r="B1730">
        <v>0</v>
      </c>
      <c r="C1730">
        <v>343</v>
      </c>
    </row>
    <row r="1731" spans="1:3" x14ac:dyDescent="0.25">
      <c r="A1731">
        <v>13</v>
      </c>
      <c r="B1731">
        <v>0</v>
      </c>
      <c r="C1731">
        <v>343</v>
      </c>
    </row>
    <row r="1732" spans="1:3" x14ac:dyDescent="0.25">
      <c r="A1732">
        <v>12</v>
      </c>
      <c r="B1732">
        <v>0</v>
      </c>
      <c r="C1732">
        <v>352</v>
      </c>
    </row>
    <row r="1733" spans="1:3" x14ac:dyDescent="0.25">
      <c r="A1733">
        <v>12</v>
      </c>
      <c r="B1733">
        <v>0</v>
      </c>
      <c r="C1733">
        <v>352</v>
      </c>
    </row>
    <row r="1734" spans="1:3" x14ac:dyDescent="0.25">
      <c r="A1734">
        <v>16</v>
      </c>
      <c r="B1734">
        <v>0</v>
      </c>
      <c r="C1734">
        <v>352</v>
      </c>
    </row>
    <row r="1735" spans="1:3" x14ac:dyDescent="0.25">
      <c r="A1735">
        <v>12</v>
      </c>
      <c r="B1735">
        <v>0</v>
      </c>
      <c r="C1735">
        <v>352</v>
      </c>
    </row>
    <row r="1736" spans="1:3" x14ac:dyDescent="0.25">
      <c r="A1736">
        <v>13</v>
      </c>
      <c r="B1736">
        <v>0</v>
      </c>
      <c r="C1736">
        <v>352</v>
      </c>
    </row>
    <row r="1737" spans="1:3" x14ac:dyDescent="0.25">
      <c r="A1737">
        <v>12</v>
      </c>
      <c r="B1737">
        <v>0</v>
      </c>
      <c r="C1737">
        <v>352</v>
      </c>
    </row>
    <row r="1738" spans="1:3" x14ac:dyDescent="0.25">
      <c r="A1738">
        <v>17</v>
      </c>
      <c r="B1738">
        <v>0</v>
      </c>
      <c r="C1738">
        <v>352</v>
      </c>
    </row>
    <row r="1739" spans="1:3" x14ac:dyDescent="0.25">
      <c r="A1739">
        <v>12</v>
      </c>
      <c r="B1739">
        <v>0</v>
      </c>
      <c r="C1739">
        <v>352</v>
      </c>
    </row>
    <row r="1740" spans="1:3" x14ac:dyDescent="0.25">
      <c r="A1740">
        <v>12</v>
      </c>
      <c r="B1740">
        <v>0</v>
      </c>
      <c r="C1740">
        <v>363</v>
      </c>
    </row>
    <row r="1741" spans="1:3" x14ac:dyDescent="0.25">
      <c r="A1741">
        <v>14</v>
      </c>
      <c r="B1741">
        <v>0</v>
      </c>
      <c r="C1741">
        <v>363</v>
      </c>
    </row>
    <row r="1742" spans="1:3" x14ac:dyDescent="0.25">
      <c r="A1742">
        <v>12</v>
      </c>
      <c r="B1742">
        <v>0</v>
      </c>
      <c r="C1742">
        <v>363</v>
      </c>
    </row>
    <row r="1743" spans="1:3" x14ac:dyDescent="0.25">
      <c r="A1743">
        <v>12</v>
      </c>
      <c r="B1743">
        <v>0</v>
      </c>
      <c r="C1743">
        <v>363</v>
      </c>
    </row>
    <row r="1744" spans="1:3" x14ac:dyDescent="0.25">
      <c r="A1744">
        <v>12</v>
      </c>
      <c r="B1744">
        <v>0</v>
      </c>
      <c r="C1744">
        <v>363</v>
      </c>
    </row>
    <row r="1745" spans="1:3" x14ac:dyDescent="0.25">
      <c r="A1745">
        <v>12</v>
      </c>
      <c r="B1745">
        <v>0</v>
      </c>
      <c r="C1745">
        <v>363</v>
      </c>
    </row>
    <row r="1746" spans="1:3" x14ac:dyDescent="0.25">
      <c r="A1746">
        <v>13</v>
      </c>
      <c r="B1746">
        <v>0</v>
      </c>
      <c r="C1746">
        <v>363</v>
      </c>
    </row>
    <row r="1747" spans="1:3" x14ac:dyDescent="0.25">
      <c r="A1747">
        <v>13</v>
      </c>
      <c r="B1747">
        <v>0</v>
      </c>
      <c r="C1747">
        <v>363</v>
      </c>
    </row>
    <row r="1748" spans="1:3" x14ac:dyDescent="0.25">
      <c r="A1748">
        <v>11</v>
      </c>
      <c r="B1748">
        <v>0</v>
      </c>
      <c r="C1748">
        <v>413</v>
      </c>
    </row>
    <row r="1749" spans="1:3" x14ac:dyDescent="0.25">
      <c r="A1749">
        <v>13</v>
      </c>
      <c r="B1749">
        <v>0</v>
      </c>
      <c r="C1749">
        <v>413</v>
      </c>
    </row>
    <row r="1750" spans="1:3" x14ac:dyDescent="0.25">
      <c r="A1750">
        <v>14</v>
      </c>
      <c r="B1750">
        <v>0</v>
      </c>
      <c r="C1750">
        <v>413</v>
      </c>
    </row>
    <row r="1751" spans="1:3" x14ac:dyDescent="0.25">
      <c r="A1751">
        <v>12</v>
      </c>
      <c r="B1751">
        <v>0</v>
      </c>
      <c r="C1751">
        <v>413</v>
      </c>
    </row>
    <row r="1752" spans="1:3" x14ac:dyDescent="0.25">
      <c r="A1752">
        <v>14</v>
      </c>
      <c r="B1752">
        <v>0</v>
      </c>
      <c r="C1752">
        <v>413</v>
      </c>
    </row>
    <row r="1753" spans="1:3" x14ac:dyDescent="0.25">
      <c r="A1753">
        <v>15</v>
      </c>
      <c r="B1753">
        <v>0</v>
      </c>
      <c r="C1753">
        <v>413</v>
      </c>
    </row>
    <row r="1754" spans="1:3" x14ac:dyDescent="0.25">
      <c r="A1754">
        <v>11</v>
      </c>
      <c r="B1754">
        <v>0</v>
      </c>
      <c r="C1754">
        <v>413</v>
      </c>
    </row>
    <row r="1755" spans="1:3" x14ac:dyDescent="0.25">
      <c r="A1755">
        <v>12</v>
      </c>
      <c r="B1755">
        <v>0</v>
      </c>
      <c r="C1755">
        <v>463</v>
      </c>
    </row>
    <row r="1756" spans="1:3" x14ac:dyDescent="0.25">
      <c r="A1756">
        <v>13</v>
      </c>
      <c r="B1756">
        <v>0</v>
      </c>
      <c r="C1756">
        <v>463</v>
      </c>
    </row>
    <row r="1757" spans="1:3" x14ac:dyDescent="0.25">
      <c r="A1757">
        <v>12</v>
      </c>
      <c r="B1757">
        <v>0</v>
      </c>
      <c r="C1757">
        <v>463</v>
      </c>
    </row>
    <row r="1758" spans="1:3" x14ac:dyDescent="0.25">
      <c r="A1758">
        <v>15</v>
      </c>
      <c r="B1758">
        <v>0</v>
      </c>
      <c r="C1758">
        <v>463</v>
      </c>
    </row>
    <row r="1759" spans="1:3" x14ac:dyDescent="0.25">
      <c r="A1759">
        <v>13</v>
      </c>
      <c r="B1759">
        <v>0</v>
      </c>
      <c r="C1759">
        <v>463</v>
      </c>
    </row>
    <row r="1760" spans="1:3" x14ac:dyDescent="0.25">
      <c r="A1760">
        <v>12</v>
      </c>
      <c r="B1760">
        <v>0</v>
      </c>
      <c r="C1760">
        <v>463</v>
      </c>
    </row>
    <row r="1761" spans="1:3" x14ac:dyDescent="0.25">
      <c r="A1761">
        <v>12</v>
      </c>
      <c r="B1761">
        <v>0</v>
      </c>
      <c r="C1761">
        <v>463</v>
      </c>
    </row>
    <row r="1762" spans="1:3" x14ac:dyDescent="0.25">
      <c r="A1762">
        <v>12</v>
      </c>
      <c r="B1762">
        <v>0</v>
      </c>
      <c r="C1762">
        <v>463</v>
      </c>
    </row>
    <row r="1763" spans="1:3" x14ac:dyDescent="0.25">
      <c r="A1763">
        <v>13</v>
      </c>
      <c r="B1763">
        <v>0</v>
      </c>
      <c r="C1763">
        <v>346</v>
      </c>
    </row>
    <row r="1764" spans="1:3" x14ac:dyDescent="0.25">
      <c r="A1764">
        <v>13</v>
      </c>
      <c r="B1764">
        <v>0</v>
      </c>
      <c r="C1764">
        <v>346</v>
      </c>
    </row>
    <row r="1765" spans="1:3" x14ac:dyDescent="0.25">
      <c r="A1765">
        <v>14</v>
      </c>
      <c r="B1765">
        <v>0</v>
      </c>
      <c r="C1765">
        <v>346</v>
      </c>
    </row>
    <row r="1766" spans="1:3" x14ac:dyDescent="0.25">
      <c r="A1766">
        <v>12</v>
      </c>
      <c r="B1766">
        <v>0</v>
      </c>
      <c r="C1766">
        <v>346</v>
      </c>
    </row>
    <row r="1767" spans="1:3" x14ac:dyDescent="0.25">
      <c r="A1767">
        <v>16</v>
      </c>
      <c r="B1767">
        <v>0</v>
      </c>
      <c r="C1767">
        <v>346</v>
      </c>
    </row>
    <row r="1768" spans="1:3" x14ac:dyDescent="0.25">
      <c r="A1768">
        <v>12</v>
      </c>
      <c r="B1768">
        <v>0</v>
      </c>
      <c r="C1768">
        <v>346</v>
      </c>
    </row>
    <row r="1769" spans="1:3" x14ac:dyDescent="0.25">
      <c r="A1769">
        <v>11</v>
      </c>
      <c r="B1769">
        <v>0</v>
      </c>
      <c r="C1769">
        <v>346</v>
      </c>
    </row>
    <row r="1770" spans="1:3" x14ac:dyDescent="0.25">
      <c r="A1770">
        <v>11</v>
      </c>
      <c r="B1770">
        <v>0</v>
      </c>
      <c r="C1770">
        <v>346</v>
      </c>
    </row>
    <row r="1771" spans="1:3" x14ac:dyDescent="0.25">
      <c r="A1771">
        <v>14</v>
      </c>
      <c r="B1771">
        <v>0</v>
      </c>
      <c r="C1771">
        <v>337</v>
      </c>
    </row>
    <row r="1772" spans="1:3" x14ac:dyDescent="0.25">
      <c r="A1772">
        <v>12</v>
      </c>
      <c r="B1772">
        <v>0</v>
      </c>
      <c r="C1772">
        <v>337</v>
      </c>
    </row>
    <row r="1773" spans="1:3" x14ac:dyDescent="0.25">
      <c r="A1773">
        <v>12</v>
      </c>
      <c r="B1773">
        <v>0</v>
      </c>
      <c r="C1773">
        <v>337</v>
      </c>
    </row>
    <row r="1774" spans="1:3" x14ac:dyDescent="0.25">
      <c r="A1774">
        <v>12</v>
      </c>
      <c r="B1774">
        <v>0</v>
      </c>
      <c r="C1774">
        <v>337</v>
      </c>
    </row>
    <row r="1775" spans="1:3" x14ac:dyDescent="0.25">
      <c r="A1775">
        <v>13</v>
      </c>
      <c r="B1775">
        <v>0</v>
      </c>
      <c r="C1775">
        <v>337</v>
      </c>
    </row>
    <row r="1776" spans="1:3" x14ac:dyDescent="0.25">
      <c r="A1776">
        <v>13</v>
      </c>
      <c r="B1776">
        <v>0</v>
      </c>
      <c r="C1776">
        <v>337</v>
      </c>
    </row>
    <row r="1777" spans="1:3" x14ac:dyDescent="0.25">
      <c r="A1777">
        <v>11</v>
      </c>
      <c r="B1777">
        <v>0</v>
      </c>
      <c r="C1777">
        <v>337</v>
      </c>
    </row>
    <row r="1778" spans="1:3" x14ac:dyDescent="0.25">
      <c r="A1778">
        <v>12</v>
      </c>
      <c r="B1778">
        <v>0</v>
      </c>
      <c r="C1778">
        <v>337</v>
      </c>
    </row>
    <row r="1779" spans="1:3" x14ac:dyDescent="0.25">
      <c r="A1779">
        <v>12</v>
      </c>
      <c r="B1779">
        <v>0</v>
      </c>
      <c r="C1779">
        <v>345</v>
      </c>
    </row>
    <row r="1780" spans="1:3" x14ac:dyDescent="0.25">
      <c r="A1780">
        <v>14</v>
      </c>
      <c r="B1780">
        <v>0</v>
      </c>
      <c r="C1780">
        <v>345</v>
      </c>
    </row>
    <row r="1781" spans="1:3" x14ac:dyDescent="0.25">
      <c r="A1781">
        <v>11</v>
      </c>
      <c r="B1781">
        <v>0</v>
      </c>
      <c r="C1781">
        <v>345</v>
      </c>
    </row>
    <row r="1782" spans="1:3" x14ac:dyDescent="0.25">
      <c r="A1782">
        <v>12</v>
      </c>
      <c r="B1782">
        <v>0</v>
      </c>
      <c r="C1782">
        <v>345</v>
      </c>
    </row>
    <row r="1783" spans="1:3" x14ac:dyDescent="0.25">
      <c r="A1783">
        <v>12</v>
      </c>
      <c r="B1783">
        <v>0</v>
      </c>
      <c r="C1783">
        <v>345</v>
      </c>
    </row>
    <row r="1784" spans="1:3" x14ac:dyDescent="0.25">
      <c r="A1784">
        <v>12</v>
      </c>
      <c r="B1784">
        <v>0</v>
      </c>
      <c r="C1784">
        <v>345</v>
      </c>
    </row>
    <row r="1785" spans="1:3" x14ac:dyDescent="0.25">
      <c r="A1785">
        <v>12</v>
      </c>
      <c r="B1785">
        <v>0</v>
      </c>
      <c r="C1785">
        <v>345</v>
      </c>
    </row>
    <row r="1786" spans="1:3" x14ac:dyDescent="0.25">
      <c r="A1786">
        <v>12</v>
      </c>
      <c r="B1786">
        <v>0</v>
      </c>
      <c r="C1786">
        <v>345</v>
      </c>
    </row>
    <row r="1787" spans="1:3" x14ac:dyDescent="0.25">
      <c r="A1787">
        <v>12</v>
      </c>
      <c r="B1787">
        <v>0</v>
      </c>
      <c r="C1787">
        <v>370</v>
      </c>
    </row>
    <row r="1788" spans="1:3" x14ac:dyDescent="0.25">
      <c r="A1788">
        <v>12</v>
      </c>
      <c r="B1788">
        <v>0</v>
      </c>
      <c r="C1788">
        <v>370</v>
      </c>
    </row>
    <row r="1789" spans="1:3" x14ac:dyDescent="0.25">
      <c r="A1789">
        <v>12</v>
      </c>
      <c r="B1789">
        <v>0</v>
      </c>
      <c r="C1789">
        <v>370</v>
      </c>
    </row>
    <row r="1790" spans="1:3" x14ac:dyDescent="0.25">
      <c r="A1790">
        <v>12</v>
      </c>
      <c r="B1790">
        <v>0</v>
      </c>
      <c r="C1790">
        <v>370</v>
      </c>
    </row>
    <row r="1791" spans="1:3" x14ac:dyDescent="0.25">
      <c r="A1791">
        <v>14</v>
      </c>
      <c r="B1791">
        <v>0</v>
      </c>
      <c r="C1791">
        <v>370</v>
      </c>
    </row>
    <row r="1792" spans="1:3" x14ac:dyDescent="0.25">
      <c r="A1792">
        <v>12</v>
      </c>
      <c r="B1792">
        <v>0</v>
      </c>
      <c r="C1792">
        <v>370</v>
      </c>
    </row>
    <row r="1793" spans="1:3" x14ac:dyDescent="0.25">
      <c r="A1793">
        <v>11</v>
      </c>
      <c r="B1793">
        <v>0</v>
      </c>
      <c r="C1793">
        <v>370</v>
      </c>
    </row>
    <row r="1794" spans="1:3" x14ac:dyDescent="0.25">
      <c r="A1794">
        <v>13</v>
      </c>
      <c r="B1794">
        <v>0</v>
      </c>
      <c r="C1794">
        <v>334</v>
      </c>
    </row>
    <row r="1795" spans="1:3" x14ac:dyDescent="0.25">
      <c r="A1795">
        <v>19</v>
      </c>
      <c r="B1795">
        <v>0</v>
      </c>
      <c r="C1795">
        <v>334</v>
      </c>
    </row>
    <row r="1796" spans="1:3" x14ac:dyDescent="0.25">
      <c r="A1796">
        <v>13</v>
      </c>
      <c r="B1796">
        <v>0</v>
      </c>
      <c r="C1796">
        <v>334</v>
      </c>
    </row>
    <row r="1797" spans="1:3" x14ac:dyDescent="0.25">
      <c r="A1797">
        <v>15</v>
      </c>
      <c r="B1797">
        <v>0</v>
      </c>
      <c r="C1797">
        <v>334</v>
      </c>
    </row>
    <row r="1798" spans="1:3" x14ac:dyDescent="0.25">
      <c r="A1798">
        <v>16</v>
      </c>
      <c r="B1798">
        <v>0</v>
      </c>
      <c r="C1798">
        <v>334</v>
      </c>
    </row>
    <row r="1799" spans="1:3" x14ac:dyDescent="0.25">
      <c r="A1799">
        <v>11</v>
      </c>
      <c r="B1799">
        <v>0</v>
      </c>
      <c r="C1799">
        <v>334</v>
      </c>
    </row>
    <row r="1800" spans="1:3" x14ac:dyDescent="0.25">
      <c r="A1800">
        <v>14</v>
      </c>
      <c r="B1800">
        <v>0</v>
      </c>
      <c r="C1800">
        <v>334</v>
      </c>
    </row>
    <row r="1801" spans="1:3" x14ac:dyDescent="0.25">
      <c r="A1801">
        <v>12</v>
      </c>
      <c r="B1801">
        <v>0</v>
      </c>
      <c r="C1801">
        <v>334</v>
      </c>
    </row>
    <row r="1802" spans="1:3" x14ac:dyDescent="0.25">
      <c r="A1802">
        <v>11</v>
      </c>
      <c r="B1802">
        <v>0</v>
      </c>
      <c r="C1802">
        <v>348</v>
      </c>
    </row>
    <row r="1803" spans="1:3" x14ac:dyDescent="0.25">
      <c r="A1803">
        <v>12</v>
      </c>
      <c r="B1803">
        <v>0</v>
      </c>
      <c r="C1803">
        <v>348</v>
      </c>
    </row>
    <row r="1804" spans="1:3" x14ac:dyDescent="0.25">
      <c r="A1804">
        <v>12</v>
      </c>
      <c r="B1804">
        <v>0</v>
      </c>
      <c r="C1804">
        <v>348</v>
      </c>
    </row>
    <row r="1805" spans="1:3" x14ac:dyDescent="0.25">
      <c r="A1805">
        <v>11</v>
      </c>
      <c r="B1805">
        <v>0</v>
      </c>
      <c r="C1805">
        <v>348</v>
      </c>
    </row>
    <row r="1806" spans="1:3" x14ac:dyDescent="0.25">
      <c r="A1806">
        <v>12</v>
      </c>
      <c r="B1806">
        <v>0</v>
      </c>
      <c r="C1806">
        <v>348</v>
      </c>
    </row>
    <row r="1807" spans="1:3" x14ac:dyDescent="0.25">
      <c r="A1807">
        <v>12</v>
      </c>
      <c r="B1807">
        <v>0</v>
      </c>
      <c r="C1807">
        <v>348</v>
      </c>
    </row>
    <row r="1808" spans="1:3" x14ac:dyDescent="0.25">
      <c r="A1808">
        <v>12</v>
      </c>
      <c r="B1808">
        <v>0</v>
      </c>
      <c r="C1808">
        <v>348</v>
      </c>
    </row>
    <row r="1809" spans="1:3" x14ac:dyDescent="0.25">
      <c r="A1809">
        <v>12</v>
      </c>
      <c r="B1809">
        <v>0</v>
      </c>
      <c r="C1809">
        <v>348</v>
      </c>
    </row>
    <row r="1810" spans="1:3" x14ac:dyDescent="0.25">
      <c r="A1810">
        <v>12</v>
      </c>
      <c r="B1810">
        <v>0</v>
      </c>
      <c r="C1810">
        <v>342</v>
      </c>
    </row>
    <row r="1811" spans="1:3" x14ac:dyDescent="0.25">
      <c r="A1811">
        <v>12</v>
      </c>
      <c r="B1811">
        <v>0</v>
      </c>
      <c r="C1811">
        <v>342</v>
      </c>
    </row>
    <row r="1812" spans="1:3" x14ac:dyDescent="0.25">
      <c r="A1812">
        <v>12</v>
      </c>
      <c r="B1812">
        <v>0</v>
      </c>
      <c r="C1812">
        <v>342</v>
      </c>
    </row>
    <row r="1813" spans="1:3" x14ac:dyDescent="0.25">
      <c r="A1813">
        <v>11</v>
      </c>
      <c r="B1813">
        <v>0</v>
      </c>
      <c r="C1813">
        <v>342</v>
      </c>
    </row>
    <row r="1814" spans="1:3" x14ac:dyDescent="0.25">
      <c r="A1814">
        <v>12</v>
      </c>
      <c r="B1814">
        <v>0</v>
      </c>
      <c r="C1814">
        <v>342</v>
      </c>
    </row>
    <row r="1815" spans="1:3" x14ac:dyDescent="0.25">
      <c r="A1815">
        <v>11</v>
      </c>
      <c r="B1815">
        <v>0</v>
      </c>
      <c r="C1815">
        <v>342</v>
      </c>
    </row>
    <row r="1816" spans="1:3" x14ac:dyDescent="0.25">
      <c r="A1816">
        <v>11</v>
      </c>
      <c r="B1816">
        <v>0</v>
      </c>
      <c r="C1816">
        <v>342</v>
      </c>
    </row>
    <row r="1817" spans="1:3" x14ac:dyDescent="0.25">
      <c r="A1817">
        <v>11</v>
      </c>
      <c r="B1817">
        <v>0</v>
      </c>
      <c r="C1817">
        <v>342</v>
      </c>
    </row>
    <row r="1818" spans="1:3" x14ac:dyDescent="0.25">
      <c r="A1818">
        <v>15</v>
      </c>
      <c r="B1818">
        <v>0</v>
      </c>
      <c r="C1818">
        <v>381</v>
      </c>
    </row>
    <row r="1819" spans="1:3" x14ac:dyDescent="0.25">
      <c r="A1819">
        <v>12</v>
      </c>
      <c r="B1819">
        <v>0</v>
      </c>
      <c r="C1819">
        <v>381</v>
      </c>
    </row>
    <row r="1820" spans="1:3" x14ac:dyDescent="0.25">
      <c r="A1820">
        <v>12</v>
      </c>
      <c r="B1820">
        <v>0</v>
      </c>
      <c r="C1820">
        <v>381</v>
      </c>
    </row>
    <row r="1821" spans="1:3" x14ac:dyDescent="0.25">
      <c r="A1821">
        <v>12</v>
      </c>
      <c r="B1821">
        <v>0</v>
      </c>
      <c r="C1821">
        <v>381</v>
      </c>
    </row>
    <row r="1822" spans="1:3" x14ac:dyDescent="0.25">
      <c r="A1822">
        <v>17</v>
      </c>
      <c r="B1822">
        <v>0</v>
      </c>
      <c r="C1822">
        <v>381</v>
      </c>
    </row>
    <row r="1823" spans="1:3" x14ac:dyDescent="0.25">
      <c r="A1823">
        <v>13</v>
      </c>
      <c r="B1823">
        <v>0</v>
      </c>
      <c r="C1823">
        <v>381</v>
      </c>
    </row>
    <row r="1824" spans="1:3" x14ac:dyDescent="0.25">
      <c r="A1824">
        <v>12</v>
      </c>
      <c r="B1824">
        <v>0</v>
      </c>
      <c r="C1824">
        <v>381</v>
      </c>
    </row>
    <row r="1825" spans="1:3" x14ac:dyDescent="0.25">
      <c r="A1825">
        <v>12</v>
      </c>
      <c r="B1825">
        <v>0</v>
      </c>
      <c r="C1825">
        <v>381</v>
      </c>
    </row>
    <row r="1826" spans="1:3" x14ac:dyDescent="0.25">
      <c r="A1826">
        <v>12</v>
      </c>
      <c r="B1826">
        <v>0</v>
      </c>
      <c r="C1826">
        <v>357</v>
      </c>
    </row>
    <row r="1827" spans="1:3" x14ac:dyDescent="0.25">
      <c r="A1827">
        <v>12</v>
      </c>
      <c r="B1827">
        <v>0</v>
      </c>
      <c r="C1827">
        <v>357</v>
      </c>
    </row>
    <row r="1828" spans="1:3" x14ac:dyDescent="0.25">
      <c r="A1828">
        <v>13</v>
      </c>
      <c r="B1828">
        <v>0</v>
      </c>
      <c r="C1828">
        <v>357</v>
      </c>
    </row>
    <row r="1829" spans="1:3" x14ac:dyDescent="0.25">
      <c r="A1829">
        <v>12</v>
      </c>
      <c r="B1829">
        <v>0</v>
      </c>
      <c r="C1829">
        <v>357</v>
      </c>
    </row>
    <row r="1830" spans="1:3" x14ac:dyDescent="0.25">
      <c r="A1830">
        <v>18</v>
      </c>
      <c r="B1830">
        <v>0</v>
      </c>
      <c r="C1830">
        <v>357</v>
      </c>
    </row>
    <row r="1831" spans="1:3" x14ac:dyDescent="0.25">
      <c r="A1831">
        <v>12</v>
      </c>
      <c r="B1831">
        <v>0</v>
      </c>
      <c r="C1831">
        <v>357</v>
      </c>
    </row>
    <row r="1832" spans="1:3" x14ac:dyDescent="0.25">
      <c r="A1832">
        <v>13</v>
      </c>
      <c r="B1832">
        <v>0</v>
      </c>
      <c r="C1832">
        <v>357</v>
      </c>
    </row>
    <row r="1833" spans="1:3" x14ac:dyDescent="0.25">
      <c r="A1833">
        <v>12</v>
      </c>
      <c r="B1833">
        <v>0</v>
      </c>
      <c r="C1833">
        <v>357</v>
      </c>
    </row>
    <row r="1834" spans="1:3" x14ac:dyDescent="0.25">
      <c r="A1834">
        <v>14</v>
      </c>
      <c r="B1834">
        <v>0</v>
      </c>
      <c r="C1834">
        <v>365</v>
      </c>
    </row>
    <row r="1835" spans="1:3" x14ac:dyDescent="0.25">
      <c r="A1835">
        <v>13</v>
      </c>
      <c r="B1835">
        <v>0</v>
      </c>
      <c r="C1835">
        <v>365</v>
      </c>
    </row>
    <row r="1836" spans="1:3" x14ac:dyDescent="0.25">
      <c r="A1836">
        <v>12</v>
      </c>
      <c r="B1836">
        <v>0</v>
      </c>
      <c r="C1836">
        <v>365</v>
      </c>
    </row>
    <row r="1837" spans="1:3" x14ac:dyDescent="0.25">
      <c r="A1837">
        <v>12</v>
      </c>
      <c r="B1837">
        <v>0</v>
      </c>
      <c r="C1837">
        <v>365</v>
      </c>
    </row>
    <row r="1838" spans="1:3" x14ac:dyDescent="0.25">
      <c r="A1838">
        <v>11</v>
      </c>
      <c r="B1838">
        <v>0</v>
      </c>
      <c r="C1838">
        <v>365</v>
      </c>
    </row>
    <row r="1839" spans="1:3" x14ac:dyDescent="0.25">
      <c r="A1839">
        <v>12</v>
      </c>
      <c r="B1839">
        <v>0</v>
      </c>
      <c r="C1839">
        <v>365</v>
      </c>
    </row>
    <row r="1840" spans="1:3" x14ac:dyDescent="0.25">
      <c r="A1840">
        <v>12</v>
      </c>
      <c r="B1840">
        <v>0</v>
      </c>
      <c r="C1840">
        <v>365</v>
      </c>
    </row>
    <row r="1841" spans="1:3" x14ac:dyDescent="0.25">
      <c r="A1841">
        <v>13</v>
      </c>
      <c r="B1841">
        <v>0</v>
      </c>
      <c r="C1841">
        <v>365</v>
      </c>
    </row>
    <row r="1842" spans="1:3" x14ac:dyDescent="0.25">
      <c r="A1842">
        <v>11</v>
      </c>
      <c r="B1842">
        <v>0</v>
      </c>
      <c r="C1842">
        <v>311</v>
      </c>
    </row>
    <row r="1843" spans="1:3" x14ac:dyDescent="0.25">
      <c r="A1843">
        <v>12</v>
      </c>
      <c r="B1843">
        <v>0</v>
      </c>
      <c r="C1843">
        <v>311</v>
      </c>
    </row>
    <row r="1844" spans="1:3" x14ac:dyDescent="0.25">
      <c r="A1844">
        <v>15</v>
      </c>
      <c r="B1844">
        <v>0</v>
      </c>
      <c r="C1844">
        <v>311</v>
      </c>
    </row>
    <row r="1845" spans="1:3" x14ac:dyDescent="0.25">
      <c r="A1845">
        <v>14</v>
      </c>
      <c r="B1845">
        <v>0</v>
      </c>
      <c r="C1845">
        <v>311</v>
      </c>
    </row>
    <row r="1846" spans="1:3" x14ac:dyDescent="0.25">
      <c r="A1846">
        <v>12</v>
      </c>
      <c r="B1846">
        <v>0</v>
      </c>
      <c r="C1846">
        <v>311</v>
      </c>
    </row>
    <row r="1847" spans="1:3" x14ac:dyDescent="0.25">
      <c r="A1847">
        <v>12</v>
      </c>
      <c r="B1847">
        <v>0</v>
      </c>
      <c r="C1847">
        <v>311</v>
      </c>
    </row>
    <row r="1848" spans="1:3" x14ac:dyDescent="0.25">
      <c r="A1848">
        <v>12</v>
      </c>
      <c r="B1848">
        <v>0</v>
      </c>
      <c r="C1848">
        <v>311</v>
      </c>
    </row>
    <row r="1849" spans="1:3" x14ac:dyDescent="0.25">
      <c r="A1849">
        <v>12</v>
      </c>
      <c r="B1849">
        <v>0</v>
      </c>
      <c r="C1849">
        <v>311</v>
      </c>
    </row>
    <row r="1850" spans="1:3" x14ac:dyDescent="0.25">
      <c r="A1850">
        <v>13</v>
      </c>
      <c r="B1850">
        <v>0</v>
      </c>
      <c r="C1850">
        <v>385</v>
      </c>
    </row>
    <row r="1851" spans="1:3" x14ac:dyDescent="0.25">
      <c r="A1851">
        <v>12</v>
      </c>
      <c r="B1851">
        <v>0</v>
      </c>
      <c r="C1851">
        <v>385</v>
      </c>
    </row>
    <row r="1852" spans="1:3" x14ac:dyDescent="0.25">
      <c r="A1852">
        <v>12</v>
      </c>
      <c r="B1852">
        <v>0</v>
      </c>
      <c r="C1852">
        <v>385</v>
      </c>
    </row>
    <row r="1853" spans="1:3" x14ac:dyDescent="0.25">
      <c r="A1853">
        <v>13</v>
      </c>
      <c r="B1853">
        <v>0</v>
      </c>
      <c r="C1853">
        <v>385</v>
      </c>
    </row>
    <row r="1854" spans="1:3" x14ac:dyDescent="0.25">
      <c r="A1854">
        <v>13</v>
      </c>
      <c r="B1854">
        <v>0</v>
      </c>
      <c r="C1854">
        <v>385</v>
      </c>
    </row>
    <row r="1855" spans="1:3" x14ac:dyDescent="0.25">
      <c r="A1855">
        <v>12</v>
      </c>
      <c r="B1855">
        <v>0</v>
      </c>
      <c r="C1855">
        <v>385</v>
      </c>
    </row>
    <row r="1856" spans="1:3" x14ac:dyDescent="0.25">
      <c r="A1856">
        <v>12</v>
      </c>
      <c r="B1856">
        <v>0</v>
      </c>
      <c r="C1856">
        <v>385</v>
      </c>
    </row>
    <row r="1857" spans="1:3" x14ac:dyDescent="0.25">
      <c r="A1857">
        <v>15</v>
      </c>
      <c r="B1857">
        <v>0</v>
      </c>
      <c r="C1857">
        <v>385</v>
      </c>
    </row>
    <row r="1858" spans="1:3" x14ac:dyDescent="0.25">
      <c r="A1858">
        <v>12</v>
      </c>
      <c r="B1858">
        <v>0</v>
      </c>
      <c r="C1858">
        <v>351</v>
      </c>
    </row>
    <row r="1859" spans="1:3" x14ac:dyDescent="0.25">
      <c r="A1859">
        <v>12</v>
      </c>
      <c r="B1859">
        <v>0</v>
      </c>
      <c r="C1859">
        <v>351</v>
      </c>
    </row>
    <row r="1860" spans="1:3" x14ac:dyDescent="0.25">
      <c r="A1860">
        <v>12</v>
      </c>
      <c r="B1860">
        <v>0</v>
      </c>
      <c r="C1860">
        <v>351</v>
      </c>
    </row>
    <row r="1861" spans="1:3" x14ac:dyDescent="0.25">
      <c r="A1861">
        <v>12</v>
      </c>
      <c r="B1861">
        <v>0</v>
      </c>
      <c r="C1861">
        <v>351</v>
      </c>
    </row>
    <row r="1862" spans="1:3" x14ac:dyDescent="0.25">
      <c r="A1862">
        <v>16</v>
      </c>
      <c r="B1862">
        <v>0</v>
      </c>
      <c r="C1862">
        <v>351</v>
      </c>
    </row>
    <row r="1863" spans="1:3" x14ac:dyDescent="0.25">
      <c r="A1863">
        <v>12</v>
      </c>
      <c r="B1863">
        <v>0</v>
      </c>
      <c r="C1863">
        <v>351</v>
      </c>
    </row>
    <row r="1864" spans="1:3" x14ac:dyDescent="0.25">
      <c r="A1864">
        <v>11</v>
      </c>
      <c r="B1864">
        <v>0</v>
      </c>
      <c r="C1864">
        <v>351</v>
      </c>
    </row>
    <row r="1865" spans="1:3" x14ac:dyDescent="0.25">
      <c r="A1865">
        <v>12</v>
      </c>
      <c r="B1865">
        <v>0</v>
      </c>
      <c r="C1865">
        <v>351</v>
      </c>
    </row>
    <row r="1866" spans="1:3" x14ac:dyDescent="0.25">
      <c r="A1866">
        <v>13</v>
      </c>
      <c r="B1866">
        <v>0</v>
      </c>
      <c r="C1866">
        <v>314</v>
      </c>
    </row>
    <row r="1867" spans="1:3" x14ac:dyDescent="0.25">
      <c r="A1867">
        <v>12</v>
      </c>
      <c r="B1867">
        <v>0</v>
      </c>
      <c r="C1867">
        <v>314</v>
      </c>
    </row>
    <row r="1868" spans="1:3" x14ac:dyDescent="0.25">
      <c r="A1868">
        <v>11</v>
      </c>
      <c r="B1868">
        <v>0</v>
      </c>
      <c r="C1868">
        <v>314</v>
      </c>
    </row>
    <row r="1869" spans="1:3" x14ac:dyDescent="0.25">
      <c r="A1869">
        <v>12</v>
      </c>
      <c r="B1869">
        <v>0</v>
      </c>
      <c r="C1869">
        <v>314</v>
      </c>
    </row>
    <row r="1870" spans="1:3" x14ac:dyDescent="0.25">
      <c r="A1870">
        <v>12</v>
      </c>
      <c r="B1870">
        <v>0</v>
      </c>
      <c r="C1870">
        <v>314</v>
      </c>
    </row>
    <row r="1871" spans="1:3" x14ac:dyDescent="0.25">
      <c r="A1871">
        <v>11</v>
      </c>
      <c r="B1871">
        <v>0</v>
      </c>
      <c r="C1871">
        <v>314</v>
      </c>
    </row>
    <row r="1872" spans="1:3" x14ac:dyDescent="0.25">
      <c r="A1872">
        <v>11</v>
      </c>
      <c r="B1872">
        <v>0</v>
      </c>
      <c r="C1872">
        <v>314</v>
      </c>
    </row>
    <row r="1873" spans="1:3" x14ac:dyDescent="0.25">
      <c r="A1873">
        <v>14</v>
      </c>
      <c r="B1873">
        <v>0</v>
      </c>
      <c r="C1873">
        <v>314</v>
      </c>
    </row>
    <row r="1874" spans="1:3" x14ac:dyDescent="0.25">
      <c r="A1874">
        <v>12</v>
      </c>
      <c r="B1874">
        <v>0</v>
      </c>
      <c r="C1874">
        <v>330</v>
      </c>
    </row>
    <row r="1875" spans="1:3" x14ac:dyDescent="0.25">
      <c r="A1875">
        <v>12</v>
      </c>
      <c r="B1875">
        <v>0</v>
      </c>
      <c r="C1875">
        <v>330</v>
      </c>
    </row>
    <row r="1876" spans="1:3" x14ac:dyDescent="0.25">
      <c r="A1876">
        <v>14</v>
      </c>
      <c r="B1876">
        <v>0</v>
      </c>
      <c r="C1876">
        <v>330</v>
      </c>
    </row>
    <row r="1877" spans="1:3" x14ac:dyDescent="0.25">
      <c r="A1877">
        <v>16</v>
      </c>
      <c r="B1877">
        <v>0</v>
      </c>
      <c r="C1877">
        <v>330</v>
      </c>
    </row>
    <row r="1878" spans="1:3" x14ac:dyDescent="0.25">
      <c r="A1878">
        <v>12</v>
      </c>
      <c r="B1878">
        <v>0</v>
      </c>
      <c r="C1878">
        <v>330</v>
      </c>
    </row>
    <row r="1879" spans="1:3" x14ac:dyDescent="0.25">
      <c r="A1879">
        <v>13</v>
      </c>
      <c r="B1879">
        <v>0</v>
      </c>
      <c r="C1879">
        <v>330</v>
      </c>
    </row>
    <row r="1880" spans="1:3" x14ac:dyDescent="0.25">
      <c r="A1880">
        <v>11</v>
      </c>
      <c r="B1880">
        <v>0</v>
      </c>
      <c r="C1880">
        <v>330</v>
      </c>
    </row>
    <row r="1881" spans="1:3" x14ac:dyDescent="0.25">
      <c r="A1881">
        <v>11</v>
      </c>
      <c r="B1881">
        <v>0</v>
      </c>
      <c r="C1881">
        <v>330</v>
      </c>
    </row>
    <row r="1882" spans="1:3" x14ac:dyDescent="0.25">
      <c r="A1882">
        <v>12</v>
      </c>
      <c r="B1882">
        <v>0</v>
      </c>
      <c r="C1882">
        <v>325</v>
      </c>
    </row>
    <row r="1883" spans="1:3" x14ac:dyDescent="0.25">
      <c r="A1883">
        <v>12</v>
      </c>
      <c r="B1883">
        <v>0</v>
      </c>
      <c r="C1883">
        <v>325</v>
      </c>
    </row>
    <row r="1884" spans="1:3" x14ac:dyDescent="0.25">
      <c r="A1884">
        <v>12</v>
      </c>
      <c r="B1884">
        <v>0</v>
      </c>
      <c r="C1884">
        <v>325</v>
      </c>
    </row>
    <row r="1885" spans="1:3" x14ac:dyDescent="0.25">
      <c r="A1885">
        <v>12</v>
      </c>
      <c r="B1885">
        <v>0</v>
      </c>
      <c r="C1885">
        <v>325</v>
      </c>
    </row>
    <row r="1886" spans="1:3" x14ac:dyDescent="0.25">
      <c r="A1886">
        <v>12</v>
      </c>
      <c r="B1886">
        <v>0</v>
      </c>
      <c r="C1886">
        <v>325</v>
      </c>
    </row>
    <row r="1887" spans="1:3" x14ac:dyDescent="0.25">
      <c r="A1887">
        <v>13</v>
      </c>
      <c r="B1887">
        <v>0</v>
      </c>
      <c r="C1887">
        <v>325</v>
      </c>
    </row>
    <row r="1888" spans="1:3" x14ac:dyDescent="0.25">
      <c r="A1888">
        <v>11</v>
      </c>
      <c r="B1888">
        <v>0</v>
      </c>
      <c r="C1888">
        <v>325</v>
      </c>
    </row>
    <row r="1889" spans="1:3" x14ac:dyDescent="0.25">
      <c r="A1889">
        <v>15</v>
      </c>
      <c r="B1889">
        <v>0</v>
      </c>
      <c r="C1889">
        <v>325</v>
      </c>
    </row>
    <row r="1890" spans="1:3" x14ac:dyDescent="0.25">
      <c r="A1890">
        <v>19</v>
      </c>
      <c r="B1890">
        <v>0</v>
      </c>
      <c r="C1890">
        <v>375</v>
      </c>
    </row>
    <row r="1891" spans="1:3" x14ac:dyDescent="0.25">
      <c r="A1891">
        <v>13</v>
      </c>
      <c r="B1891">
        <v>0</v>
      </c>
      <c r="C1891">
        <v>375</v>
      </c>
    </row>
    <row r="1892" spans="1:3" x14ac:dyDescent="0.25">
      <c r="A1892">
        <v>16</v>
      </c>
      <c r="B1892">
        <v>0</v>
      </c>
      <c r="C1892">
        <v>375</v>
      </c>
    </row>
    <row r="1893" spans="1:3" x14ac:dyDescent="0.25">
      <c r="A1893">
        <v>14</v>
      </c>
      <c r="B1893">
        <v>0</v>
      </c>
      <c r="C1893">
        <v>375</v>
      </c>
    </row>
    <row r="1894" spans="1:3" x14ac:dyDescent="0.25">
      <c r="A1894">
        <v>12</v>
      </c>
      <c r="B1894">
        <v>0</v>
      </c>
      <c r="C1894">
        <v>375</v>
      </c>
    </row>
    <row r="1895" spans="1:3" x14ac:dyDescent="0.25">
      <c r="A1895">
        <v>12</v>
      </c>
      <c r="B1895">
        <v>0</v>
      </c>
      <c r="C1895">
        <v>375</v>
      </c>
    </row>
    <row r="1896" spans="1:3" x14ac:dyDescent="0.25">
      <c r="A1896">
        <v>12</v>
      </c>
      <c r="B1896">
        <v>0</v>
      </c>
      <c r="C1896">
        <v>375</v>
      </c>
    </row>
    <row r="1897" spans="1:3" x14ac:dyDescent="0.25">
      <c r="A1897">
        <v>12</v>
      </c>
      <c r="B1897">
        <v>0</v>
      </c>
      <c r="C1897">
        <v>375</v>
      </c>
    </row>
    <row r="1898" spans="1:3" x14ac:dyDescent="0.25">
      <c r="A1898">
        <v>12</v>
      </c>
      <c r="B1898">
        <v>0</v>
      </c>
      <c r="C1898">
        <v>296</v>
      </c>
    </row>
    <row r="1899" spans="1:3" x14ac:dyDescent="0.25">
      <c r="A1899">
        <v>14</v>
      </c>
      <c r="B1899">
        <v>0</v>
      </c>
      <c r="C1899">
        <v>296</v>
      </c>
    </row>
    <row r="1900" spans="1:3" x14ac:dyDescent="0.25">
      <c r="A1900">
        <v>12</v>
      </c>
      <c r="B1900">
        <v>0</v>
      </c>
      <c r="C1900">
        <v>296</v>
      </c>
    </row>
    <row r="1901" spans="1:3" x14ac:dyDescent="0.25">
      <c r="A1901">
        <v>11</v>
      </c>
      <c r="B1901">
        <v>0</v>
      </c>
      <c r="C1901">
        <v>296</v>
      </c>
    </row>
    <row r="1902" spans="1:3" x14ac:dyDescent="0.25">
      <c r="A1902">
        <v>12</v>
      </c>
      <c r="B1902">
        <v>0</v>
      </c>
      <c r="C1902">
        <v>296</v>
      </c>
    </row>
    <row r="1903" spans="1:3" x14ac:dyDescent="0.25">
      <c r="A1903">
        <v>14</v>
      </c>
      <c r="B1903">
        <v>0</v>
      </c>
      <c r="C1903">
        <v>296</v>
      </c>
    </row>
    <row r="1904" spans="1:3" x14ac:dyDescent="0.25">
      <c r="A1904">
        <v>12</v>
      </c>
      <c r="B1904">
        <v>0</v>
      </c>
      <c r="C1904">
        <v>296</v>
      </c>
    </row>
    <row r="1905" spans="1:3" x14ac:dyDescent="0.25">
      <c r="A1905">
        <v>11</v>
      </c>
      <c r="B1905">
        <v>0</v>
      </c>
      <c r="C1905">
        <v>296</v>
      </c>
    </row>
    <row r="1906" spans="1:3" x14ac:dyDescent="0.25">
      <c r="A1906">
        <v>16</v>
      </c>
      <c r="B1906">
        <v>0</v>
      </c>
      <c r="C1906">
        <v>354</v>
      </c>
    </row>
    <row r="1907" spans="1:3" x14ac:dyDescent="0.25">
      <c r="A1907">
        <v>15</v>
      </c>
      <c r="B1907">
        <v>0</v>
      </c>
      <c r="C1907">
        <v>354</v>
      </c>
    </row>
    <row r="1908" spans="1:3" x14ac:dyDescent="0.25">
      <c r="A1908">
        <v>12</v>
      </c>
      <c r="B1908">
        <v>0</v>
      </c>
      <c r="C1908">
        <v>354</v>
      </c>
    </row>
    <row r="1909" spans="1:3" x14ac:dyDescent="0.25">
      <c r="A1909">
        <v>12</v>
      </c>
      <c r="B1909">
        <v>0</v>
      </c>
      <c r="C1909">
        <v>354</v>
      </c>
    </row>
    <row r="1910" spans="1:3" x14ac:dyDescent="0.25">
      <c r="A1910">
        <v>12</v>
      </c>
      <c r="B1910">
        <v>0</v>
      </c>
      <c r="C1910">
        <v>354</v>
      </c>
    </row>
    <row r="1911" spans="1:3" x14ac:dyDescent="0.25">
      <c r="A1911">
        <v>12</v>
      </c>
      <c r="B1911">
        <v>0</v>
      </c>
      <c r="C1911">
        <v>354</v>
      </c>
    </row>
    <row r="1912" spans="1:3" x14ac:dyDescent="0.25">
      <c r="A1912">
        <v>11</v>
      </c>
      <c r="B1912">
        <v>0</v>
      </c>
      <c r="C1912">
        <v>354</v>
      </c>
    </row>
    <row r="1913" spans="1:3" x14ac:dyDescent="0.25">
      <c r="A1913">
        <v>11</v>
      </c>
      <c r="B1913">
        <v>0</v>
      </c>
      <c r="C1913">
        <v>354</v>
      </c>
    </row>
    <row r="1914" spans="1:3" x14ac:dyDescent="0.25">
      <c r="A1914">
        <v>12</v>
      </c>
      <c r="B1914">
        <v>0</v>
      </c>
      <c r="C1914">
        <v>356</v>
      </c>
    </row>
    <row r="1915" spans="1:3" x14ac:dyDescent="0.25">
      <c r="A1915">
        <v>12</v>
      </c>
      <c r="B1915">
        <v>0</v>
      </c>
      <c r="C1915">
        <v>356</v>
      </c>
    </row>
    <row r="1916" spans="1:3" x14ac:dyDescent="0.25">
      <c r="A1916">
        <v>12</v>
      </c>
      <c r="B1916">
        <v>0</v>
      </c>
      <c r="C1916">
        <v>356</v>
      </c>
    </row>
    <row r="1917" spans="1:3" x14ac:dyDescent="0.25">
      <c r="A1917">
        <v>12</v>
      </c>
      <c r="B1917">
        <v>0</v>
      </c>
      <c r="C1917">
        <v>356</v>
      </c>
    </row>
    <row r="1918" spans="1:3" x14ac:dyDescent="0.25">
      <c r="A1918">
        <v>12</v>
      </c>
      <c r="B1918">
        <v>0</v>
      </c>
      <c r="C1918">
        <v>356</v>
      </c>
    </row>
    <row r="1919" spans="1:3" x14ac:dyDescent="0.25">
      <c r="A1919">
        <v>12</v>
      </c>
      <c r="B1919">
        <v>0</v>
      </c>
      <c r="C1919">
        <v>356</v>
      </c>
    </row>
    <row r="1920" spans="1:3" x14ac:dyDescent="0.25">
      <c r="A1920">
        <v>13</v>
      </c>
      <c r="B1920">
        <v>0</v>
      </c>
      <c r="C1920">
        <v>356</v>
      </c>
    </row>
    <row r="1921" spans="1:3" x14ac:dyDescent="0.25">
      <c r="A1921">
        <v>11</v>
      </c>
      <c r="B1921">
        <v>0</v>
      </c>
      <c r="C1921">
        <v>356</v>
      </c>
    </row>
    <row r="1922" spans="1:3" x14ac:dyDescent="0.25">
      <c r="A1922">
        <v>11</v>
      </c>
      <c r="B1922">
        <v>0</v>
      </c>
      <c r="C1922">
        <v>346</v>
      </c>
    </row>
    <row r="1923" spans="1:3" x14ac:dyDescent="0.25">
      <c r="A1923">
        <v>11</v>
      </c>
      <c r="B1923">
        <v>0</v>
      </c>
      <c r="C1923">
        <v>346</v>
      </c>
    </row>
    <row r="1924" spans="1:3" x14ac:dyDescent="0.25">
      <c r="A1924">
        <v>11</v>
      </c>
      <c r="B1924">
        <v>0</v>
      </c>
      <c r="C1924">
        <v>346</v>
      </c>
    </row>
    <row r="1925" spans="1:3" x14ac:dyDescent="0.25">
      <c r="A1925">
        <v>12</v>
      </c>
      <c r="B1925">
        <v>0</v>
      </c>
      <c r="C1925">
        <v>346</v>
      </c>
    </row>
    <row r="1926" spans="1:3" x14ac:dyDescent="0.25">
      <c r="A1926">
        <v>12</v>
      </c>
      <c r="B1926">
        <v>0</v>
      </c>
      <c r="C1926">
        <v>346</v>
      </c>
    </row>
    <row r="1927" spans="1:3" x14ac:dyDescent="0.25">
      <c r="A1927">
        <v>12</v>
      </c>
      <c r="B1927">
        <v>0</v>
      </c>
      <c r="C1927">
        <v>346</v>
      </c>
    </row>
    <row r="1928" spans="1:3" x14ac:dyDescent="0.25">
      <c r="A1928">
        <v>13</v>
      </c>
      <c r="B1928">
        <v>0</v>
      </c>
      <c r="C1928">
        <v>346</v>
      </c>
    </row>
    <row r="1929" spans="1:3" x14ac:dyDescent="0.25">
      <c r="A1929">
        <v>12</v>
      </c>
      <c r="B1929">
        <v>0</v>
      </c>
      <c r="C1929">
        <v>346</v>
      </c>
    </row>
    <row r="1930" spans="1:3" x14ac:dyDescent="0.25">
      <c r="A1930">
        <v>12</v>
      </c>
      <c r="B1930">
        <v>0</v>
      </c>
      <c r="C1930">
        <v>364</v>
      </c>
    </row>
    <row r="1931" spans="1:3" x14ac:dyDescent="0.25">
      <c r="A1931">
        <v>12</v>
      </c>
      <c r="B1931">
        <v>0</v>
      </c>
      <c r="C1931">
        <v>364</v>
      </c>
    </row>
    <row r="1932" spans="1:3" x14ac:dyDescent="0.25">
      <c r="A1932">
        <v>12</v>
      </c>
      <c r="B1932">
        <v>0</v>
      </c>
      <c r="C1932">
        <v>364</v>
      </c>
    </row>
    <row r="1933" spans="1:3" x14ac:dyDescent="0.25">
      <c r="A1933">
        <v>12</v>
      </c>
      <c r="B1933">
        <v>0</v>
      </c>
      <c r="C1933">
        <v>364</v>
      </c>
    </row>
    <row r="1934" spans="1:3" x14ac:dyDescent="0.25">
      <c r="A1934">
        <v>11</v>
      </c>
      <c r="B1934">
        <v>0</v>
      </c>
      <c r="C1934">
        <v>364</v>
      </c>
    </row>
    <row r="1935" spans="1:3" x14ac:dyDescent="0.25">
      <c r="A1935">
        <v>12</v>
      </c>
      <c r="B1935">
        <v>0</v>
      </c>
      <c r="C1935">
        <v>364</v>
      </c>
    </row>
    <row r="1936" spans="1:3" x14ac:dyDescent="0.25">
      <c r="A1936">
        <v>12</v>
      </c>
      <c r="B1936">
        <v>0</v>
      </c>
      <c r="C1936">
        <v>364</v>
      </c>
    </row>
    <row r="1937" spans="1:3" x14ac:dyDescent="0.25">
      <c r="A1937">
        <v>12</v>
      </c>
      <c r="B1937">
        <v>0</v>
      </c>
      <c r="C1937">
        <v>312</v>
      </c>
    </row>
    <row r="1938" spans="1:3" x14ac:dyDescent="0.25">
      <c r="A1938">
        <v>12</v>
      </c>
      <c r="B1938">
        <v>0</v>
      </c>
      <c r="C1938">
        <v>312</v>
      </c>
    </row>
    <row r="1939" spans="1:3" x14ac:dyDescent="0.25">
      <c r="A1939">
        <v>12</v>
      </c>
      <c r="B1939">
        <v>0</v>
      </c>
      <c r="C1939">
        <v>312</v>
      </c>
    </row>
    <row r="1940" spans="1:3" x14ac:dyDescent="0.25">
      <c r="A1940">
        <v>12</v>
      </c>
      <c r="B1940">
        <v>0</v>
      </c>
      <c r="C1940">
        <v>312</v>
      </c>
    </row>
    <row r="1941" spans="1:3" x14ac:dyDescent="0.25">
      <c r="A1941">
        <v>11</v>
      </c>
      <c r="B1941">
        <v>0</v>
      </c>
      <c r="C1941">
        <v>312</v>
      </c>
    </row>
    <row r="1942" spans="1:3" x14ac:dyDescent="0.25">
      <c r="A1942">
        <v>12</v>
      </c>
      <c r="B1942">
        <v>0</v>
      </c>
      <c r="C1942">
        <v>312</v>
      </c>
    </row>
    <row r="1943" spans="1:3" x14ac:dyDescent="0.25">
      <c r="A1943">
        <v>15</v>
      </c>
      <c r="B1943">
        <v>0</v>
      </c>
      <c r="C1943">
        <v>312</v>
      </c>
    </row>
    <row r="1944" spans="1:3" x14ac:dyDescent="0.25">
      <c r="A1944">
        <v>12</v>
      </c>
      <c r="B1944">
        <v>0</v>
      </c>
      <c r="C1944">
        <v>312</v>
      </c>
    </row>
    <row r="1945" spans="1:3" x14ac:dyDescent="0.25">
      <c r="A1945">
        <v>11</v>
      </c>
      <c r="B1945">
        <v>0</v>
      </c>
      <c r="C1945">
        <v>302</v>
      </c>
    </row>
    <row r="1946" spans="1:3" x14ac:dyDescent="0.25">
      <c r="A1946">
        <v>12</v>
      </c>
      <c r="B1946">
        <v>0</v>
      </c>
      <c r="C1946">
        <v>302</v>
      </c>
    </row>
    <row r="1947" spans="1:3" x14ac:dyDescent="0.25">
      <c r="A1947">
        <v>12</v>
      </c>
      <c r="B1947">
        <v>0</v>
      </c>
      <c r="C1947">
        <v>302</v>
      </c>
    </row>
    <row r="1948" spans="1:3" x14ac:dyDescent="0.25">
      <c r="A1948">
        <v>13</v>
      </c>
      <c r="B1948">
        <v>0</v>
      </c>
      <c r="C1948">
        <v>302</v>
      </c>
    </row>
    <row r="1949" spans="1:3" x14ac:dyDescent="0.25">
      <c r="A1949">
        <v>12</v>
      </c>
      <c r="B1949">
        <v>0</v>
      </c>
      <c r="C1949">
        <v>302</v>
      </c>
    </row>
    <row r="1950" spans="1:3" x14ac:dyDescent="0.25">
      <c r="A1950">
        <v>11</v>
      </c>
      <c r="B1950">
        <v>0</v>
      </c>
      <c r="C1950">
        <v>302</v>
      </c>
    </row>
    <row r="1951" spans="1:3" x14ac:dyDescent="0.25">
      <c r="A1951">
        <v>16</v>
      </c>
      <c r="B1951">
        <v>0</v>
      </c>
      <c r="C1951">
        <v>302</v>
      </c>
    </row>
    <row r="1952" spans="1:3" x14ac:dyDescent="0.25">
      <c r="A1952">
        <v>14</v>
      </c>
      <c r="B1952">
        <v>0</v>
      </c>
      <c r="C1952">
        <v>302</v>
      </c>
    </row>
    <row r="1953" spans="1:3" x14ac:dyDescent="0.25">
      <c r="A1953">
        <v>11</v>
      </c>
      <c r="B1953">
        <v>0</v>
      </c>
      <c r="C1953">
        <v>342</v>
      </c>
    </row>
    <row r="1954" spans="1:3" x14ac:dyDescent="0.25">
      <c r="A1954">
        <v>13</v>
      </c>
      <c r="B1954">
        <v>0</v>
      </c>
      <c r="C1954">
        <v>342</v>
      </c>
    </row>
    <row r="1955" spans="1:3" x14ac:dyDescent="0.25">
      <c r="A1955">
        <v>15</v>
      </c>
      <c r="B1955">
        <v>0</v>
      </c>
      <c r="C1955">
        <v>342</v>
      </c>
    </row>
    <row r="1956" spans="1:3" x14ac:dyDescent="0.25">
      <c r="A1956">
        <v>12</v>
      </c>
      <c r="B1956">
        <v>0</v>
      </c>
      <c r="C1956">
        <v>342</v>
      </c>
    </row>
    <row r="1957" spans="1:3" x14ac:dyDescent="0.25">
      <c r="A1957">
        <v>13</v>
      </c>
      <c r="B1957">
        <v>0</v>
      </c>
      <c r="C1957">
        <v>342</v>
      </c>
    </row>
    <row r="1958" spans="1:3" x14ac:dyDescent="0.25">
      <c r="A1958">
        <v>12</v>
      </c>
      <c r="B1958">
        <v>0</v>
      </c>
      <c r="C1958">
        <v>342</v>
      </c>
    </row>
    <row r="1959" spans="1:3" x14ac:dyDescent="0.25">
      <c r="A1959">
        <v>12</v>
      </c>
      <c r="B1959">
        <v>0</v>
      </c>
      <c r="C1959">
        <v>342</v>
      </c>
    </row>
    <row r="1960" spans="1:3" x14ac:dyDescent="0.25">
      <c r="A1960">
        <v>14</v>
      </c>
      <c r="B1960">
        <v>0</v>
      </c>
      <c r="C1960">
        <v>342</v>
      </c>
    </row>
    <row r="1961" spans="1:3" x14ac:dyDescent="0.25">
      <c r="A1961">
        <v>13</v>
      </c>
      <c r="B1961">
        <v>0</v>
      </c>
      <c r="C1961">
        <v>382</v>
      </c>
    </row>
    <row r="1962" spans="1:3" x14ac:dyDescent="0.25">
      <c r="A1962">
        <v>13</v>
      </c>
      <c r="B1962">
        <v>0</v>
      </c>
      <c r="C1962">
        <v>382</v>
      </c>
    </row>
    <row r="1963" spans="1:3" x14ac:dyDescent="0.25">
      <c r="A1963">
        <v>14</v>
      </c>
      <c r="B1963">
        <v>0</v>
      </c>
      <c r="C1963">
        <v>382</v>
      </c>
    </row>
    <row r="1964" spans="1:3" x14ac:dyDescent="0.25">
      <c r="A1964">
        <v>12</v>
      </c>
      <c r="B1964">
        <v>0</v>
      </c>
      <c r="C1964">
        <v>382</v>
      </c>
    </row>
    <row r="1965" spans="1:3" x14ac:dyDescent="0.25">
      <c r="A1965">
        <v>12</v>
      </c>
      <c r="B1965">
        <v>0</v>
      </c>
      <c r="C1965">
        <v>382</v>
      </c>
    </row>
    <row r="1966" spans="1:3" x14ac:dyDescent="0.25">
      <c r="A1966">
        <v>12</v>
      </c>
      <c r="B1966">
        <v>0</v>
      </c>
      <c r="C1966">
        <v>382</v>
      </c>
    </row>
    <row r="1967" spans="1:3" x14ac:dyDescent="0.25">
      <c r="A1967">
        <v>12</v>
      </c>
      <c r="B1967">
        <v>0</v>
      </c>
      <c r="C1967">
        <v>382</v>
      </c>
    </row>
    <row r="1968" spans="1:3" x14ac:dyDescent="0.25">
      <c r="A1968">
        <v>16</v>
      </c>
      <c r="B1968">
        <v>0</v>
      </c>
      <c r="C1968">
        <v>382</v>
      </c>
    </row>
    <row r="1969" spans="1:3" x14ac:dyDescent="0.25">
      <c r="A1969">
        <v>13</v>
      </c>
      <c r="B1969">
        <v>0</v>
      </c>
      <c r="C1969">
        <v>413</v>
      </c>
    </row>
    <row r="1970" spans="1:3" x14ac:dyDescent="0.25">
      <c r="A1970">
        <v>11</v>
      </c>
      <c r="B1970">
        <v>0</v>
      </c>
      <c r="C1970">
        <v>413</v>
      </c>
    </row>
    <row r="1971" spans="1:3" x14ac:dyDescent="0.25">
      <c r="A1971">
        <v>12</v>
      </c>
      <c r="B1971">
        <v>0</v>
      </c>
      <c r="C1971">
        <v>413</v>
      </c>
    </row>
    <row r="1972" spans="1:3" x14ac:dyDescent="0.25">
      <c r="A1972">
        <v>11</v>
      </c>
      <c r="B1972">
        <v>0</v>
      </c>
      <c r="C1972">
        <v>413</v>
      </c>
    </row>
    <row r="1973" spans="1:3" x14ac:dyDescent="0.25">
      <c r="A1973">
        <v>12</v>
      </c>
      <c r="B1973">
        <v>0</v>
      </c>
      <c r="C1973">
        <v>413</v>
      </c>
    </row>
    <row r="1974" spans="1:3" x14ac:dyDescent="0.25">
      <c r="A1974">
        <v>11</v>
      </c>
      <c r="B1974">
        <v>0</v>
      </c>
      <c r="C1974">
        <v>413</v>
      </c>
    </row>
    <row r="1975" spans="1:3" x14ac:dyDescent="0.25">
      <c r="A1975">
        <v>14</v>
      </c>
      <c r="B1975">
        <v>0</v>
      </c>
      <c r="C1975">
        <v>413</v>
      </c>
    </row>
    <row r="1976" spans="1:3" x14ac:dyDescent="0.25">
      <c r="A1976">
        <v>11</v>
      </c>
      <c r="B1976">
        <v>0</v>
      </c>
      <c r="C1976">
        <v>413</v>
      </c>
    </row>
    <row r="1977" spans="1:3" x14ac:dyDescent="0.25">
      <c r="A1977">
        <v>11</v>
      </c>
      <c r="B1977">
        <v>0</v>
      </c>
      <c r="C1977">
        <v>293</v>
      </c>
    </row>
    <row r="1978" spans="1:3" x14ac:dyDescent="0.25">
      <c r="A1978">
        <v>12</v>
      </c>
      <c r="B1978">
        <v>0</v>
      </c>
      <c r="C1978">
        <v>293</v>
      </c>
    </row>
    <row r="1979" spans="1:3" x14ac:dyDescent="0.25">
      <c r="A1979">
        <v>14</v>
      </c>
      <c r="B1979">
        <v>0</v>
      </c>
      <c r="C1979">
        <v>293</v>
      </c>
    </row>
    <row r="1980" spans="1:3" x14ac:dyDescent="0.25">
      <c r="A1980">
        <v>12</v>
      </c>
      <c r="B1980">
        <v>0</v>
      </c>
      <c r="C1980">
        <v>293</v>
      </c>
    </row>
    <row r="1981" spans="1:3" x14ac:dyDescent="0.25">
      <c r="A1981">
        <v>12</v>
      </c>
      <c r="B1981">
        <v>0</v>
      </c>
      <c r="C1981">
        <v>293</v>
      </c>
    </row>
    <row r="1982" spans="1:3" x14ac:dyDescent="0.25">
      <c r="A1982">
        <v>11</v>
      </c>
      <c r="B1982">
        <v>0</v>
      </c>
      <c r="C1982">
        <v>293</v>
      </c>
    </row>
    <row r="1983" spans="1:3" x14ac:dyDescent="0.25">
      <c r="A1983">
        <v>13</v>
      </c>
      <c r="B1983">
        <v>0</v>
      </c>
      <c r="C1983">
        <v>293</v>
      </c>
    </row>
    <row r="1984" spans="1:3" x14ac:dyDescent="0.25">
      <c r="A1984">
        <v>12</v>
      </c>
      <c r="B1984">
        <v>0</v>
      </c>
      <c r="C1984">
        <v>293</v>
      </c>
    </row>
    <row r="1985" spans="1:3" x14ac:dyDescent="0.25">
      <c r="A1985">
        <v>13</v>
      </c>
      <c r="B1985">
        <v>0</v>
      </c>
      <c r="C1985">
        <v>373</v>
      </c>
    </row>
    <row r="1986" spans="1:3" x14ac:dyDescent="0.25">
      <c r="A1986">
        <v>12</v>
      </c>
      <c r="B1986">
        <v>0</v>
      </c>
      <c r="C1986">
        <v>373</v>
      </c>
    </row>
    <row r="1987" spans="1:3" x14ac:dyDescent="0.25">
      <c r="A1987">
        <v>13</v>
      </c>
      <c r="B1987">
        <v>0</v>
      </c>
      <c r="C1987">
        <v>373</v>
      </c>
    </row>
    <row r="1988" spans="1:3" x14ac:dyDescent="0.25">
      <c r="A1988">
        <v>11</v>
      </c>
      <c r="B1988">
        <v>0</v>
      </c>
      <c r="C1988">
        <v>373</v>
      </c>
    </row>
    <row r="1989" spans="1:3" x14ac:dyDescent="0.25">
      <c r="A1989">
        <v>11</v>
      </c>
      <c r="B1989">
        <v>0</v>
      </c>
      <c r="C1989">
        <v>373</v>
      </c>
    </row>
    <row r="1990" spans="1:3" x14ac:dyDescent="0.25">
      <c r="A1990">
        <v>11</v>
      </c>
      <c r="B1990">
        <v>0</v>
      </c>
      <c r="C1990">
        <v>373</v>
      </c>
    </row>
    <row r="1991" spans="1:3" x14ac:dyDescent="0.25">
      <c r="A1991">
        <v>12</v>
      </c>
      <c r="B1991">
        <v>0</v>
      </c>
      <c r="C1991">
        <v>373</v>
      </c>
    </row>
    <row r="1992" spans="1:3" x14ac:dyDescent="0.25">
      <c r="A1992">
        <v>12</v>
      </c>
      <c r="B1992">
        <v>0</v>
      </c>
      <c r="C1992">
        <v>373</v>
      </c>
    </row>
    <row r="1993" spans="1:3" x14ac:dyDescent="0.25">
      <c r="A1993">
        <v>17</v>
      </c>
      <c r="B1993">
        <v>0</v>
      </c>
      <c r="C1993">
        <v>344</v>
      </c>
    </row>
    <row r="1994" spans="1:3" x14ac:dyDescent="0.25">
      <c r="A1994">
        <v>12</v>
      </c>
      <c r="B1994">
        <v>0</v>
      </c>
      <c r="C1994">
        <v>344</v>
      </c>
    </row>
    <row r="1995" spans="1:3" x14ac:dyDescent="0.25">
      <c r="A1995">
        <v>12</v>
      </c>
      <c r="B1995">
        <v>0</v>
      </c>
      <c r="C1995">
        <v>344</v>
      </c>
    </row>
    <row r="1996" spans="1:3" x14ac:dyDescent="0.25">
      <c r="A1996">
        <v>11</v>
      </c>
      <c r="B1996">
        <v>0</v>
      </c>
      <c r="C1996">
        <v>344</v>
      </c>
    </row>
    <row r="1997" spans="1:3" x14ac:dyDescent="0.25">
      <c r="A1997">
        <v>12</v>
      </c>
      <c r="B1997">
        <v>0</v>
      </c>
      <c r="C1997">
        <v>344</v>
      </c>
    </row>
    <row r="1998" spans="1:3" x14ac:dyDescent="0.25">
      <c r="A1998">
        <v>11</v>
      </c>
      <c r="B1998">
        <v>0</v>
      </c>
      <c r="C1998">
        <v>344</v>
      </c>
    </row>
    <row r="1999" spans="1:3" x14ac:dyDescent="0.25">
      <c r="A1999">
        <v>12</v>
      </c>
      <c r="B1999">
        <v>0</v>
      </c>
      <c r="C1999">
        <v>344</v>
      </c>
    </row>
    <row r="2000" spans="1:3" x14ac:dyDescent="0.25">
      <c r="A2000">
        <v>12</v>
      </c>
      <c r="B2000">
        <v>0</v>
      </c>
      <c r="C2000">
        <v>344</v>
      </c>
    </row>
    <row r="2001" spans="1:3" x14ac:dyDescent="0.25">
      <c r="A2001">
        <v>12</v>
      </c>
      <c r="B2001">
        <v>0</v>
      </c>
      <c r="C2001">
        <v>333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H17"/>
  <sheetViews>
    <sheetView workbookViewId="0">
      <selection activeCell="H16" sqref="H16"/>
    </sheetView>
  </sheetViews>
  <sheetFormatPr baseColWidth="10" defaultRowHeight="15" x14ac:dyDescent="0.25"/>
  <cols>
    <col min="2" max="2" width="24" bestFit="1" customWidth="1"/>
    <col min="3" max="3" width="10.7109375" customWidth="1"/>
    <col min="6" max="6" width="23.140625" bestFit="1" customWidth="1"/>
    <col min="7" max="7" width="21.7109375" bestFit="1" customWidth="1"/>
  </cols>
  <sheetData>
    <row r="1" spans="2:8" ht="15.75" thickBot="1" x14ac:dyDescent="0.3"/>
    <row r="2" spans="2:8" x14ac:dyDescent="0.25">
      <c r="B2" s="1" t="s">
        <v>4</v>
      </c>
      <c r="C2" s="2">
        <v>1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80</v>
      </c>
      <c r="E3" s="11">
        <v>1</v>
      </c>
      <c r="F3" s="7">
        <v>21.05</v>
      </c>
      <c r="G3" s="7">
        <v>0</v>
      </c>
      <c r="H3" s="8">
        <v>0.35444999999999999</v>
      </c>
    </row>
    <row r="4" spans="2:8" ht="15.75" thickBot="1" x14ac:dyDescent="0.3">
      <c r="B4" s="5" t="s">
        <v>6</v>
      </c>
      <c r="C4" s="6">
        <v>100</v>
      </c>
      <c r="E4" s="11">
        <v>2</v>
      </c>
      <c r="F4" s="7">
        <v>16.875</v>
      </c>
      <c r="G4" s="7">
        <v>0</v>
      </c>
      <c r="H4" s="8">
        <v>0.37895000000000001</v>
      </c>
    </row>
    <row r="5" spans="2:8" x14ac:dyDescent="0.25">
      <c r="E5" s="11">
        <v>3</v>
      </c>
      <c r="F5" s="7">
        <v>16.574999999999999</v>
      </c>
      <c r="G5" s="7">
        <v>0</v>
      </c>
      <c r="H5" s="8">
        <v>0.32968750000000002</v>
      </c>
    </row>
    <row r="6" spans="2:8" x14ac:dyDescent="0.25">
      <c r="E6" s="11">
        <v>4</v>
      </c>
      <c r="F6" s="7">
        <v>15.3375</v>
      </c>
      <c r="G6" s="7">
        <v>0</v>
      </c>
      <c r="H6" s="8">
        <v>0.34152499999999997</v>
      </c>
    </row>
    <row r="7" spans="2:8" x14ac:dyDescent="0.25">
      <c r="E7" s="11">
        <v>5</v>
      </c>
      <c r="F7" s="7">
        <v>15.7875</v>
      </c>
      <c r="G7" s="7">
        <v>0</v>
      </c>
      <c r="H7" s="8">
        <v>0.36193750000000002</v>
      </c>
    </row>
    <row r="8" spans="2:8" x14ac:dyDescent="0.25">
      <c r="E8" s="11">
        <v>6</v>
      </c>
      <c r="F8" s="7">
        <v>14.975</v>
      </c>
      <c r="G8" s="7">
        <v>0</v>
      </c>
      <c r="H8" s="8">
        <v>0.31997500000000001</v>
      </c>
    </row>
    <row r="9" spans="2:8" x14ac:dyDescent="0.25">
      <c r="E9" s="11">
        <v>7</v>
      </c>
      <c r="F9" s="7">
        <v>15.074999999999999</v>
      </c>
      <c r="G9" s="7">
        <v>0</v>
      </c>
      <c r="H9" s="8">
        <v>0.32931250000000001</v>
      </c>
    </row>
    <row r="10" spans="2:8" x14ac:dyDescent="0.25">
      <c r="E10" s="11">
        <v>8</v>
      </c>
      <c r="F10" s="7">
        <v>15.225</v>
      </c>
      <c r="G10" s="7">
        <v>0</v>
      </c>
      <c r="H10" s="8">
        <v>0.31432499999999997</v>
      </c>
    </row>
    <row r="11" spans="2:8" x14ac:dyDescent="0.25">
      <c r="E11" s="11">
        <v>9</v>
      </c>
      <c r="F11" s="7">
        <v>15.362500000000001</v>
      </c>
      <c r="G11" s="7">
        <v>0</v>
      </c>
      <c r="H11" s="8">
        <v>0.31019999999999998</v>
      </c>
    </row>
    <row r="12" spans="2:8" ht="15.75" thickBot="1" x14ac:dyDescent="0.3">
      <c r="E12" s="12">
        <v>10</v>
      </c>
      <c r="F12" s="9">
        <v>14.925000000000001</v>
      </c>
      <c r="G12" s="9">
        <v>0</v>
      </c>
      <c r="H12" s="10">
        <v>0.32937499999999997</v>
      </c>
    </row>
    <row r="13" spans="2:8" ht="15.75" thickBot="1" x14ac:dyDescent="0.3"/>
    <row r="14" spans="2:8" x14ac:dyDescent="0.25">
      <c r="E14" s="25" t="s">
        <v>11</v>
      </c>
      <c r="F14" s="26">
        <f>AVERAGE(F3:F12)</f>
        <v>16.118750000000002</v>
      </c>
      <c r="G14" s="26">
        <f t="shared" ref="G14:H14" si="0">AVERAGE(G3:G12)</f>
        <v>0</v>
      </c>
      <c r="H14" s="26">
        <f t="shared" si="0"/>
        <v>0.33697374999999996</v>
      </c>
    </row>
    <row r="15" spans="2:8" x14ac:dyDescent="0.25">
      <c r="E15" s="22" t="s">
        <v>33</v>
      </c>
      <c r="F15" s="22">
        <f>_xlfn.VAR.S(T1_80_100s[Column1])</f>
        <v>383.76185075093866</v>
      </c>
      <c r="G15" s="22">
        <f>_xlfn.VAR.S(T1_80_100s[Column2])</f>
        <v>0</v>
      </c>
      <c r="H15" s="22">
        <f>_xlfn.VAR.S(T1_80_100s[Column3])*0.00001</f>
        <v>5.8409317255944983E-2</v>
      </c>
    </row>
    <row r="16" spans="2:8" x14ac:dyDescent="0.25">
      <c r="E16" s="22" t="s">
        <v>34</v>
      </c>
      <c r="F16" s="22">
        <f>SQRT(F15)</f>
        <v>19.589840498353698</v>
      </c>
      <c r="G16" s="22">
        <f>SQRT(G15)</f>
        <v>0</v>
      </c>
      <c r="H16" s="22">
        <f>SQRT(H15)</f>
        <v>0.2416801962427724</v>
      </c>
    </row>
    <row r="17" spans="5:8" x14ac:dyDescent="0.25">
      <c r="E17" s="22" t="s">
        <v>35</v>
      </c>
      <c r="F17" s="22">
        <f>MEDIAN(T1_80_100s[Column1])</f>
        <v>13</v>
      </c>
      <c r="G17" s="22">
        <f>MEDIAN(T1_80_100s[Column2])</f>
        <v>0</v>
      </c>
      <c r="H17" s="22">
        <f>MEDIAN(H2:H12)</f>
        <v>0.32953125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C801"/>
  <sheetViews>
    <sheetView topLeftCell="A764" workbookViewId="0">
      <selection activeCell="D8" sqref="D8"/>
    </sheetView>
  </sheetViews>
  <sheetFormatPr baseColWidth="10" defaultRowHeight="15" x14ac:dyDescent="0.25"/>
  <cols>
    <col min="1" max="3" width="10.710937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>
        <v>544</v>
      </c>
      <c r="B2">
        <v>0</v>
      </c>
      <c r="C2">
        <v>0</v>
      </c>
    </row>
    <row r="3" spans="1:3" x14ac:dyDescent="0.25">
      <c r="A3">
        <v>14</v>
      </c>
      <c r="B3">
        <v>0</v>
      </c>
      <c r="C3">
        <v>0</v>
      </c>
    </row>
    <row r="4" spans="1:3" x14ac:dyDescent="0.25">
      <c r="A4">
        <v>13</v>
      </c>
      <c r="B4">
        <v>0</v>
      </c>
      <c r="C4">
        <v>0</v>
      </c>
    </row>
    <row r="5" spans="1:3" x14ac:dyDescent="0.25">
      <c r="A5">
        <v>15</v>
      </c>
      <c r="B5">
        <v>0</v>
      </c>
      <c r="C5">
        <v>0</v>
      </c>
    </row>
    <row r="6" spans="1:3" x14ac:dyDescent="0.25">
      <c r="A6">
        <v>14</v>
      </c>
      <c r="B6">
        <v>0</v>
      </c>
      <c r="C6">
        <v>0</v>
      </c>
    </row>
    <row r="7" spans="1:3" x14ac:dyDescent="0.25">
      <c r="A7">
        <v>14</v>
      </c>
      <c r="B7">
        <v>0</v>
      </c>
      <c r="C7">
        <v>0</v>
      </c>
    </row>
    <row r="8" spans="1:3" x14ac:dyDescent="0.25">
      <c r="A8">
        <v>18</v>
      </c>
      <c r="B8">
        <v>0</v>
      </c>
      <c r="C8">
        <v>0</v>
      </c>
    </row>
    <row r="9" spans="1:3" x14ac:dyDescent="0.25">
      <c r="A9">
        <v>15</v>
      </c>
      <c r="B9">
        <v>0</v>
      </c>
      <c r="C9">
        <v>0</v>
      </c>
    </row>
    <row r="10" spans="1:3" x14ac:dyDescent="0.25">
      <c r="A10">
        <v>14</v>
      </c>
      <c r="B10">
        <v>0</v>
      </c>
      <c r="C10">
        <v>391</v>
      </c>
    </row>
    <row r="11" spans="1:3" x14ac:dyDescent="0.25">
      <c r="A11">
        <v>14</v>
      </c>
      <c r="B11">
        <v>0</v>
      </c>
      <c r="C11">
        <v>391</v>
      </c>
    </row>
    <row r="12" spans="1:3" x14ac:dyDescent="0.25">
      <c r="A12">
        <v>14</v>
      </c>
      <c r="B12">
        <v>0</v>
      </c>
      <c r="C12">
        <v>391</v>
      </c>
    </row>
    <row r="13" spans="1:3" x14ac:dyDescent="0.25">
      <c r="A13">
        <v>13</v>
      </c>
      <c r="B13">
        <v>0</v>
      </c>
      <c r="C13">
        <v>391</v>
      </c>
    </row>
    <row r="14" spans="1:3" x14ac:dyDescent="0.25">
      <c r="A14">
        <v>13</v>
      </c>
      <c r="B14">
        <v>0</v>
      </c>
      <c r="C14">
        <v>391</v>
      </c>
    </row>
    <row r="15" spans="1:3" x14ac:dyDescent="0.25">
      <c r="A15">
        <v>20</v>
      </c>
      <c r="B15">
        <v>0</v>
      </c>
      <c r="C15">
        <v>391</v>
      </c>
    </row>
    <row r="16" spans="1:3" x14ac:dyDescent="0.25">
      <c r="A16">
        <v>17</v>
      </c>
      <c r="B16">
        <v>0</v>
      </c>
      <c r="C16">
        <v>391</v>
      </c>
    </row>
    <row r="17" spans="1:3" x14ac:dyDescent="0.25">
      <c r="A17">
        <v>13</v>
      </c>
      <c r="B17">
        <v>0</v>
      </c>
      <c r="C17">
        <v>391</v>
      </c>
    </row>
    <row r="18" spans="1:3" x14ac:dyDescent="0.25">
      <c r="A18">
        <v>14</v>
      </c>
      <c r="B18">
        <v>0</v>
      </c>
      <c r="C18">
        <v>411</v>
      </c>
    </row>
    <row r="19" spans="1:3" x14ac:dyDescent="0.25">
      <c r="A19">
        <v>14</v>
      </c>
      <c r="B19">
        <v>0</v>
      </c>
      <c r="C19">
        <v>411</v>
      </c>
    </row>
    <row r="20" spans="1:3" x14ac:dyDescent="0.25">
      <c r="A20">
        <v>12</v>
      </c>
      <c r="B20">
        <v>0</v>
      </c>
      <c r="C20">
        <v>411</v>
      </c>
    </row>
    <row r="21" spans="1:3" x14ac:dyDescent="0.25">
      <c r="A21">
        <v>15</v>
      </c>
      <c r="B21">
        <v>0</v>
      </c>
      <c r="C21">
        <v>411</v>
      </c>
    </row>
    <row r="22" spans="1:3" x14ac:dyDescent="0.25">
      <c r="A22">
        <v>13</v>
      </c>
      <c r="B22">
        <v>0</v>
      </c>
      <c r="C22">
        <v>411</v>
      </c>
    </row>
    <row r="23" spans="1:3" x14ac:dyDescent="0.25">
      <c r="A23">
        <v>17</v>
      </c>
      <c r="B23">
        <v>0</v>
      </c>
      <c r="C23">
        <v>411</v>
      </c>
    </row>
    <row r="24" spans="1:3" x14ac:dyDescent="0.25">
      <c r="A24">
        <v>13</v>
      </c>
      <c r="B24">
        <v>0</v>
      </c>
      <c r="C24">
        <v>411</v>
      </c>
    </row>
    <row r="25" spans="1:3" x14ac:dyDescent="0.25">
      <c r="A25">
        <v>14</v>
      </c>
      <c r="B25">
        <v>0</v>
      </c>
      <c r="C25">
        <v>411</v>
      </c>
    </row>
    <row r="26" spans="1:3" x14ac:dyDescent="0.25">
      <c r="A26">
        <v>14</v>
      </c>
      <c r="B26">
        <v>0</v>
      </c>
      <c r="C26">
        <v>397</v>
      </c>
    </row>
    <row r="27" spans="1:3" x14ac:dyDescent="0.25">
      <c r="A27">
        <v>13</v>
      </c>
      <c r="B27">
        <v>0</v>
      </c>
      <c r="C27">
        <v>397</v>
      </c>
    </row>
    <row r="28" spans="1:3" x14ac:dyDescent="0.25">
      <c r="A28">
        <v>13</v>
      </c>
      <c r="B28">
        <v>0</v>
      </c>
      <c r="C28">
        <v>397</v>
      </c>
    </row>
    <row r="29" spans="1:3" x14ac:dyDescent="0.25">
      <c r="A29">
        <v>17</v>
      </c>
      <c r="B29">
        <v>0</v>
      </c>
      <c r="C29">
        <v>397</v>
      </c>
    </row>
    <row r="30" spans="1:3" x14ac:dyDescent="0.25">
      <c r="A30">
        <v>19</v>
      </c>
      <c r="B30">
        <v>0</v>
      </c>
      <c r="C30">
        <v>397</v>
      </c>
    </row>
    <row r="31" spans="1:3" x14ac:dyDescent="0.25">
      <c r="A31">
        <v>13</v>
      </c>
      <c r="B31">
        <v>0</v>
      </c>
      <c r="C31">
        <v>397</v>
      </c>
    </row>
    <row r="32" spans="1:3" x14ac:dyDescent="0.25">
      <c r="A32">
        <v>13</v>
      </c>
      <c r="B32">
        <v>0</v>
      </c>
      <c r="C32">
        <v>397</v>
      </c>
    </row>
    <row r="33" spans="1:3" x14ac:dyDescent="0.25">
      <c r="A33">
        <v>13</v>
      </c>
      <c r="B33">
        <v>0</v>
      </c>
      <c r="C33">
        <v>479</v>
      </c>
    </row>
    <row r="34" spans="1:3" x14ac:dyDescent="0.25">
      <c r="A34">
        <v>12</v>
      </c>
      <c r="B34">
        <v>0</v>
      </c>
      <c r="C34">
        <v>479</v>
      </c>
    </row>
    <row r="35" spans="1:3" x14ac:dyDescent="0.25">
      <c r="A35">
        <v>14</v>
      </c>
      <c r="B35">
        <v>0</v>
      </c>
      <c r="C35">
        <v>479</v>
      </c>
    </row>
    <row r="36" spans="1:3" x14ac:dyDescent="0.25">
      <c r="A36">
        <v>15</v>
      </c>
      <c r="B36">
        <v>0</v>
      </c>
      <c r="C36">
        <v>479</v>
      </c>
    </row>
    <row r="37" spans="1:3" x14ac:dyDescent="0.25">
      <c r="A37">
        <v>17</v>
      </c>
      <c r="B37">
        <v>0</v>
      </c>
      <c r="C37">
        <v>479</v>
      </c>
    </row>
    <row r="38" spans="1:3" x14ac:dyDescent="0.25">
      <c r="A38">
        <v>13</v>
      </c>
      <c r="B38">
        <v>0</v>
      </c>
      <c r="C38">
        <v>479</v>
      </c>
    </row>
    <row r="39" spans="1:3" x14ac:dyDescent="0.25">
      <c r="A39">
        <v>13</v>
      </c>
      <c r="B39">
        <v>0</v>
      </c>
      <c r="C39">
        <v>479</v>
      </c>
    </row>
    <row r="40" spans="1:3" x14ac:dyDescent="0.25">
      <c r="A40">
        <v>12</v>
      </c>
      <c r="B40">
        <v>0</v>
      </c>
      <c r="C40">
        <v>479</v>
      </c>
    </row>
    <row r="41" spans="1:3" x14ac:dyDescent="0.25">
      <c r="A41">
        <v>13</v>
      </c>
      <c r="B41">
        <v>0</v>
      </c>
      <c r="C41">
        <v>393</v>
      </c>
    </row>
    <row r="42" spans="1:3" x14ac:dyDescent="0.25">
      <c r="A42">
        <v>12</v>
      </c>
      <c r="B42">
        <v>0</v>
      </c>
      <c r="C42">
        <v>393</v>
      </c>
    </row>
    <row r="43" spans="1:3" x14ac:dyDescent="0.25">
      <c r="A43">
        <v>13</v>
      </c>
      <c r="B43">
        <v>0</v>
      </c>
      <c r="C43">
        <v>393</v>
      </c>
    </row>
    <row r="44" spans="1:3" x14ac:dyDescent="0.25">
      <c r="A44">
        <v>17</v>
      </c>
      <c r="B44">
        <v>0</v>
      </c>
      <c r="C44">
        <v>393</v>
      </c>
    </row>
    <row r="45" spans="1:3" x14ac:dyDescent="0.25">
      <c r="A45">
        <v>13</v>
      </c>
      <c r="B45">
        <v>0</v>
      </c>
      <c r="C45">
        <v>393</v>
      </c>
    </row>
    <row r="46" spans="1:3" x14ac:dyDescent="0.25">
      <c r="A46">
        <v>12</v>
      </c>
      <c r="B46">
        <v>0</v>
      </c>
      <c r="C46">
        <v>393</v>
      </c>
    </row>
    <row r="47" spans="1:3" x14ac:dyDescent="0.25">
      <c r="A47">
        <v>13</v>
      </c>
      <c r="B47">
        <v>0</v>
      </c>
      <c r="C47">
        <v>393</v>
      </c>
    </row>
    <row r="48" spans="1:3" x14ac:dyDescent="0.25">
      <c r="A48">
        <v>13</v>
      </c>
      <c r="B48">
        <v>0</v>
      </c>
      <c r="C48">
        <v>403</v>
      </c>
    </row>
    <row r="49" spans="1:3" x14ac:dyDescent="0.25">
      <c r="A49">
        <v>12</v>
      </c>
      <c r="B49">
        <v>0</v>
      </c>
      <c r="C49">
        <v>403</v>
      </c>
    </row>
    <row r="50" spans="1:3" x14ac:dyDescent="0.25">
      <c r="A50">
        <v>18</v>
      </c>
      <c r="B50">
        <v>0</v>
      </c>
      <c r="C50">
        <v>403</v>
      </c>
    </row>
    <row r="51" spans="1:3" x14ac:dyDescent="0.25">
      <c r="A51">
        <v>16</v>
      </c>
      <c r="B51">
        <v>0</v>
      </c>
      <c r="C51">
        <v>403</v>
      </c>
    </row>
    <row r="52" spans="1:3" x14ac:dyDescent="0.25">
      <c r="A52">
        <v>14</v>
      </c>
      <c r="B52">
        <v>0</v>
      </c>
      <c r="C52">
        <v>403</v>
      </c>
    </row>
    <row r="53" spans="1:3" x14ac:dyDescent="0.25">
      <c r="A53">
        <v>12</v>
      </c>
      <c r="B53">
        <v>0</v>
      </c>
      <c r="C53">
        <v>403</v>
      </c>
    </row>
    <row r="54" spans="1:3" x14ac:dyDescent="0.25">
      <c r="A54">
        <v>13</v>
      </c>
      <c r="B54">
        <v>0</v>
      </c>
      <c r="C54">
        <v>403</v>
      </c>
    </row>
    <row r="55" spans="1:3" x14ac:dyDescent="0.25">
      <c r="A55">
        <v>12</v>
      </c>
      <c r="B55">
        <v>0</v>
      </c>
      <c r="C55">
        <v>333</v>
      </c>
    </row>
    <row r="56" spans="1:3" x14ac:dyDescent="0.25">
      <c r="A56">
        <v>12</v>
      </c>
      <c r="B56">
        <v>0</v>
      </c>
      <c r="C56">
        <v>333</v>
      </c>
    </row>
    <row r="57" spans="1:3" x14ac:dyDescent="0.25">
      <c r="A57">
        <v>16</v>
      </c>
      <c r="B57">
        <v>0</v>
      </c>
      <c r="C57">
        <v>333</v>
      </c>
    </row>
    <row r="58" spans="1:3" x14ac:dyDescent="0.25">
      <c r="A58">
        <v>16</v>
      </c>
      <c r="B58">
        <v>0</v>
      </c>
      <c r="C58">
        <v>333</v>
      </c>
    </row>
    <row r="59" spans="1:3" x14ac:dyDescent="0.25">
      <c r="A59">
        <v>12</v>
      </c>
      <c r="B59">
        <v>0</v>
      </c>
      <c r="C59">
        <v>333</v>
      </c>
    </row>
    <row r="60" spans="1:3" x14ac:dyDescent="0.25">
      <c r="A60">
        <v>12</v>
      </c>
      <c r="B60">
        <v>0</v>
      </c>
      <c r="C60">
        <v>333</v>
      </c>
    </row>
    <row r="61" spans="1:3" x14ac:dyDescent="0.25">
      <c r="A61">
        <v>13</v>
      </c>
      <c r="B61">
        <v>0</v>
      </c>
      <c r="C61">
        <v>333</v>
      </c>
    </row>
    <row r="62" spans="1:3" x14ac:dyDescent="0.25">
      <c r="A62">
        <v>14</v>
      </c>
      <c r="B62">
        <v>0</v>
      </c>
      <c r="C62">
        <v>333</v>
      </c>
    </row>
    <row r="63" spans="1:3" x14ac:dyDescent="0.25">
      <c r="A63">
        <v>15</v>
      </c>
      <c r="B63">
        <v>0</v>
      </c>
      <c r="C63">
        <v>402</v>
      </c>
    </row>
    <row r="64" spans="1:3" x14ac:dyDescent="0.25">
      <c r="A64">
        <v>17</v>
      </c>
      <c r="B64">
        <v>0</v>
      </c>
      <c r="C64">
        <v>402</v>
      </c>
    </row>
    <row r="65" spans="1:3" x14ac:dyDescent="0.25">
      <c r="A65">
        <v>16</v>
      </c>
      <c r="B65">
        <v>0</v>
      </c>
      <c r="C65">
        <v>402</v>
      </c>
    </row>
    <row r="66" spans="1:3" x14ac:dyDescent="0.25">
      <c r="A66">
        <v>14</v>
      </c>
      <c r="B66">
        <v>0</v>
      </c>
      <c r="C66">
        <v>402</v>
      </c>
    </row>
    <row r="67" spans="1:3" x14ac:dyDescent="0.25">
      <c r="A67">
        <v>14</v>
      </c>
      <c r="B67">
        <v>0</v>
      </c>
      <c r="C67">
        <v>402</v>
      </c>
    </row>
    <row r="68" spans="1:3" x14ac:dyDescent="0.25">
      <c r="A68">
        <v>14</v>
      </c>
      <c r="B68">
        <v>0</v>
      </c>
      <c r="C68">
        <v>402</v>
      </c>
    </row>
    <row r="69" spans="1:3" x14ac:dyDescent="0.25">
      <c r="A69">
        <v>13</v>
      </c>
      <c r="B69">
        <v>0</v>
      </c>
      <c r="C69">
        <v>402</v>
      </c>
    </row>
    <row r="70" spans="1:3" x14ac:dyDescent="0.25">
      <c r="A70">
        <v>14</v>
      </c>
      <c r="B70">
        <v>0</v>
      </c>
      <c r="C70">
        <v>402</v>
      </c>
    </row>
    <row r="71" spans="1:3" x14ac:dyDescent="0.25">
      <c r="A71">
        <v>13</v>
      </c>
      <c r="B71">
        <v>0</v>
      </c>
      <c r="C71">
        <v>427</v>
      </c>
    </row>
    <row r="72" spans="1:3" x14ac:dyDescent="0.25">
      <c r="A72">
        <v>14</v>
      </c>
      <c r="B72">
        <v>0</v>
      </c>
      <c r="C72">
        <v>427</v>
      </c>
    </row>
    <row r="73" spans="1:3" x14ac:dyDescent="0.25">
      <c r="A73">
        <v>13</v>
      </c>
      <c r="B73">
        <v>0</v>
      </c>
      <c r="C73">
        <v>427</v>
      </c>
    </row>
    <row r="74" spans="1:3" x14ac:dyDescent="0.25">
      <c r="A74">
        <v>12</v>
      </c>
      <c r="B74">
        <v>0</v>
      </c>
      <c r="C74">
        <v>427</v>
      </c>
    </row>
    <row r="75" spans="1:3" x14ac:dyDescent="0.25">
      <c r="A75">
        <v>13</v>
      </c>
      <c r="B75">
        <v>0</v>
      </c>
      <c r="C75">
        <v>427</v>
      </c>
    </row>
    <row r="76" spans="1:3" x14ac:dyDescent="0.25">
      <c r="A76">
        <v>16</v>
      </c>
      <c r="B76">
        <v>0</v>
      </c>
      <c r="C76">
        <v>427</v>
      </c>
    </row>
    <row r="77" spans="1:3" x14ac:dyDescent="0.25">
      <c r="A77">
        <v>18</v>
      </c>
      <c r="B77">
        <v>0</v>
      </c>
      <c r="C77">
        <v>263</v>
      </c>
    </row>
    <row r="78" spans="1:3" x14ac:dyDescent="0.25">
      <c r="A78">
        <v>12</v>
      </c>
      <c r="B78">
        <v>0</v>
      </c>
      <c r="C78">
        <v>263</v>
      </c>
    </row>
    <row r="79" spans="1:3" x14ac:dyDescent="0.25">
      <c r="A79">
        <v>34</v>
      </c>
      <c r="B79">
        <v>0</v>
      </c>
      <c r="C79">
        <v>263</v>
      </c>
    </row>
    <row r="80" spans="1:3" x14ac:dyDescent="0.25">
      <c r="A80">
        <v>14</v>
      </c>
      <c r="B80">
        <v>0</v>
      </c>
      <c r="C80">
        <v>263</v>
      </c>
    </row>
    <row r="81" spans="1:3" x14ac:dyDescent="0.25">
      <c r="A81">
        <v>22</v>
      </c>
      <c r="B81">
        <v>0</v>
      </c>
      <c r="C81">
        <v>263</v>
      </c>
    </row>
    <row r="82" spans="1:3" x14ac:dyDescent="0.25">
      <c r="A82">
        <v>18</v>
      </c>
      <c r="B82">
        <v>0</v>
      </c>
      <c r="C82">
        <v>369</v>
      </c>
    </row>
    <row r="83" spans="1:3" x14ac:dyDescent="0.25">
      <c r="A83">
        <v>14</v>
      </c>
      <c r="B83">
        <v>0</v>
      </c>
      <c r="C83">
        <v>369</v>
      </c>
    </row>
    <row r="84" spans="1:3" x14ac:dyDescent="0.25">
      <c r="A84">
        <v>13</v>
      </c>
      <c r="B84">
        <v>0</v>
      </c>
      <c r="C84">
        <v>369</v>
      </c>
    </row>
    <row r="85" spans="1:3" x14ac:dyDescent="0.25">
      <c r="A85">
        <v>13</v>
      </c>
      <c r="B85">
        <v>0</v>
      </c>
      <c r="C85">
        <v>369</v>
      </c>
    </row>
    <row r="86" spans="1:3" x14ac:dyDescent="0.25">
      <c r="A86">
        <v>18</v>
      </c>
      <c r="B86">
        <v>0</v>
      </c>
      <c r="C86">
        <v>369</v>
      </c>
    </row>
    <row r="87" spans="1:3" x14ac:dyDescent="0.25">
      <c r="A87">
        <v>15</v>
      </c>
      <c r="B87">
        <v>0</v>
      </c>
      <c r="C87">
        <v>397</v>
      </c>
    </row>
    <row r="88" spans="1:3" x14ac:dyDescent="0.25">
      <c r="A88">
        <v>13</v>
      </c>
      <c r="B88">
        <v>0</v>
      </c>
      <c r="C88">
        <v>397</v>
      </c>
    </row>
    <row r="89" spans="1:3" x14ac:dyDescent="0.25">
      <c r="A89">
        <v>12</v>
      </c>
      <c r="B89">
        <v>0</v>
      </c>
      <c r="C89">
        <v>397</v>
      </c>
    </row>
    <row r="90" spans="1:3" x14ac:dyDescent="0.25">
      <c r="A90">
        <v>13</v>
      </c>
      <c r="B90">
        <v>0</v>
      </c>
      <c r="C90">
        <v>397</v>
      </c>
    </row>
    <row r="91" spans="1:3" x14ac:dyDescent="0.25">
      <c r="A91">
        <v>36</v>
      </c>
      <c r="B91">
        <v>0</v>
      </c>
      <c r="C91">
        <v>397</v>
      </c>
    </row>
    <row r="92" spans="1:3" x14ac:dyDescent="0.25">
      <c r="A92">
        <v>15</v>
      </c>
      <c r="B92">
        <v>0</v>
      </c>
      <c r="C92">
        <v>371</v>
      </c>
    </row>
    <row r="93" spans="1:3" x14ac:dyDescent="0.25">
      <c r="A93">
        <v>13</v>
      </c>
      <c r="B93">
        <v>0</v>
      </c>
      <c r="C93">
        <v>371</v>
      </c>
    </row>
    <row r="94" spans="1:3" x14ac:dyDescent="0.25">
      <c r="A94">
        <v>13</v>
      </c>
      <c r="B94">
        <v>0</v>
      </c>
      <c r="C94">
        <v>371</v>
      </c>
    </row>
    <row r="95" spans="1:3" x14ac:dyDescent="0.25">
      <c r="A95">
        <v>31</v>
      </c>
      <c r="B95">
        <v>0</v>
      </c>
      <c r="C95">
        <v>371</v>
      </c>
    </row>
    <row r="96" spans="1:3" x14ac:dyDescent="0.25">
      <c r="A96">
        <v>19</v>
      </c>
      <c r="B96">
        <v>0</v>
      </c>
      <c r="C96">
        <v>371</v>
      </c>
    </row>
    <row r="97" spans="1:3" x14ac:dyDescent="0.25">
      <c r="A97">
        <v>16</v>
      </c>
      <c r="B97">
        <v>0</v>
      </c>
      <c r="C97">
        <v>371</v>
      </c>
    </row>
    <row r="98" spans="1:3" x14ac:dyDescent="0.25">
      <c r="A98">
        <v>12</v>
      </c>
      <c r="B98">
        <v>0</v>
      </c>
      <c r="C98">
        <v>299</v>
      </c>
    </row>
    <row r="99" spans="1:3" x14ac:dyDescent="0.25">
      <c r="A99">
        <v>13</v>
      </c>
      <c r="B99">
        <v>0</v>
      </c>
      <c r="C99">
        <v>299</v>
      </c>
    </row>
    <row r="100" spans="1:3" x14ac:dyDescent="0.25">
      <c r="A100">
        <v>14</v>
      </c>
      <c r="B100">
        <v>0</v>
      </c>
      <c r="C100">
        <v>299</v>
      </c>
    </row>
    <row r="101" spans="1:3" x14ac:dyDescent="0.25">
      <c r="A101">
        <v>20</v>
      </c>
      <c r="B101">
        <v>0</v>
      </c>
      <c r="C101">
        <v>299</v>
      </c>
    </row>
    <row r="102" spans="1:3" x14ac:dyDescent="0.25">
      <c r="A102">
        <v>19</v>
      </c>
      <c r="B102">
        <v>0</v>
      </c>
      <c r="C102">
        <v>299</v>
      </c>
    </row>
    <row r="103" spans="1:3" x14ac:dyDescent="0.25">
      <c r="A103">
        <v>13</v>
      </c>
      <c r="B103">
        <v>0</v>
      </c>
      <c r="C103">
        <v>307</v>
      </c>
    </row>
    <row r="104" spans="1:3" x14ac:dyDescent="0.25">
      <c r="A104">
        <v>12</v>
      </c>
      <c r="B104">
        <v>0</v>
      </c>
      <c r="C104">
        <v>307</v>
      </c>
    </row>
    <row r="105" spans="1:3" x14ac:dyDescent="0.25">
      <c r="A105">
        <v>15</v>
      </c>
      <c r="B105">
        <v>0</v>
      </c>
      <c r="C105">
        <v>307</v>
      </c>
    </row>
    <row r="106" spans="1:3" x14ac:dyDescent="0.25">
      <c r="A106">
        <v>12</v>
      </c>
      <c r="B106">
        <v>0</v>
      </c>
      <c r="C106">
        <v>307</v>
      </c>
    </row>
    <row r="107" spans="1:3" x14ac:dyDescent="0.25">
      <c r="A107">
        <v>13</v>
      </c>
      <c r="B107">
        <v>0</v>
      </c>
      <c r="C107">
        <v>307</v>
      </c>
    </row>
    <row r="108" spans="1:3" x14ac:dyDescent="0.25">
      <c r="A108">
        <v>12</v>
      </c>
      <c r="B108">
        <v>0</v>
      </c>
      <c r="C108">
        <v>307</v>
      </c>
    </row>
    <row r="109" spans="1:3" x14ac:dyDescent="0.25">
      <c r="A109">
        <v>28</v>
      </c>
      <c r="B109">
        <v>0</v>
      </c>
      <c r="C109">
        <v>292</v>
      </c>
    </row>
    <row r="110" spans="1:3" x14ac:dyDescent="0.25">
      <c r="A110">
        <v>13</v>
      </c>
      <c r="B110">
        <v>0</v>
      </c>
      <c r="C110">
        <v>292</v>
      </c>
    </row>
    <row r="111" spans="1:3" x14ac:dyDescent="0.25">
      <c r="A111">
        <v>15</v>
      </c>
      <c r="B111">
        <v>0</v>
      </c>
      <c r="C111">
        <v>292</v>
      </c>
    </row>
    <row r="112" spans="1:3" x14ac:dyDescent="0.25">
      <c r="A112">
        <v>18</v>
      </c>
      <c r="B112">
        <v>0</v>
      </c>
      <c r="C112">
        <v>292</v>
      </c>
    </row>
    <row r="113" spans="1:3" x14ac:dyDescent="0.25">
      <c r="A113">
        <v>14</v>
      </c>
      <c r="B113">
        <v>0</v>
      </c>
      <c r="C113">
        <v>292</v>
      </c>
    </row>
    <row r="114" spans="1:3" x14ac:dyDescent="0.25">
      <c r="A114">
        <v>13</v>
      </c>
      <c r="B114">
        <v>0</v>
      </c>
      <c r="C114">
        <v>292</v>
      </c>
    </row>
    <row r="115" spans="1:3" x14ac:dyDescent="0.25">
      <c r="A115">
        <v>29</v>
      </c>
      <c r="B115">
        <v>0</v>
      </c>
      <c r="C115">
        <v>326</v>
      </c>
    </row>
    <row r="116" spans="1:3" x14ac:dyDescent="0.25">
      <c r="A116">
        <v>13</v>
      </c>
      <c r="B116">
        <v>0</v>
      </c>
      <c r="C116">
        <v>326</v>
      </c>
    </row>
    <row r="117" spans="1:3" x14ac:dyDescent="0.25">
      <c r="A117">
        <v>17</v>
      </c>
      <c r="B117">
        <v>0</v>
      </c>
      <c r="C117">
        <v>326</v>
      </c>
    </row>
    <row r="118" spans="1:3" x14ac:dyDescent="0.25">
      <c r="A118">
        <v>12</v>
      </c>
      <c r="B118">
        <v>0</v>
      </c>
      <c r="C118">
        <v>326</v>
      </c>
    </row>
    <row r="119" spans="1:3" x14ac:dyDescent="0.25">
      <c r="A119">
        <v>13</v>
      </c>
      <c r="B119">
        <v>0</v>
      </c>
      <c r="C119">
        <v>326</v>
      </c>
    </row>
    <row r="120" spans="1:3" x14ac:dyDescent="0.25">
      <c r="A120">
        <v>34</v>
      </c>
      <c r="B120">
        <v>0</v>
      </c>
      <c r="C120">
        <v>326</v>
      </c>
    </row>
    <row r="121" spans="1:3" x14ac:dyDescent="0.25">
      <c r="A121">
        <v>17</v>
      </c>
      <c r="B121">
        <v>0</v>
      </c>
      <c r="C121">
        <v>333</v>
      </c>
    </row>
    <row r="122" spans="1:3" x14ac:dyDescent="0.25">
      <c r="A122">
        <v>16</v>
      </c>
      <c r="B122">
        <v>0</v>
      </c>
      <c r="C122">
        <v>333</v>
      </c>
    </row>
    <row r="123" spans="1:3" x14ac:dyDescent="0.25">
      <c r="A123">
        <v>14</v>
      </c>
      <c r="B123">
        <v>0</v>
      </c>
      <c r="C123">
        <v>333</v>
      </c>
    </row>
    <row r="124" spans="1:3" x14ac:dyDescent="0.25">
      <c r="A124">
        <v>29</v>
      </c>
      <c r="B124">
        <v>0</v>
      </c>
      <c r="C124">
        <v>333</v>
      </c>
    </row>
    <row r="125" spans="1:3" x14ac:dyDescent="0.25">
      <c r="A125">
        <v>12</v>
      </c>
      <c r="B125">
        <v>0</v>
      </c>
      <c r="C125">
        <v>333</v>
      </c>
    </row>
    <row r="126" spans="1:3" x14ac:dyDescent="0.25">
      <c r="A126">
        <v>14</v>
      </c>
      <c r="B126">
        <v>0</v>
      </c>
      <c r="C126">
        <v>333</v>
      </c>
    </row>
    <row r="127" spans="1:3" x14ac:dyDescent="0.25">
      <c r="A127">
        <v>13</v>
      </c>
      <c r="B127">
        <v>0</v>
      </c>
      <c r="C127">
        <v>284</v>
      </c>
    </row>
    <row r="128" spans="1:3" x14ac:dyDescent="0.25">
      <c r="A128">
        <v>13</v>
      </c>
      <c r="B128">
        <v>0</v>
      </c>
      <c r="C128">
        <v>284</v>
      </c>
    </row>
    <row r="129" spans="1:3" x14ac:dyDescent="0.25">
      <c r="A129">
        <v>29</v>
      </c>
      <c r="B129">
        <v>0</v>
      </c>
      <c r="C129">
        <v>284</v>
      </c>
    </row>
    <row r="130" spans="1:3" x14ac:dyDescent="0.25">
      <c r="A130">
        <v>12</v>
      </c>
      <c r="B130">
        <v>0</v>
      </c>
      <c r="C130">
        <v>284</v>
      </c>
    </row>
    <row r="131" spans="1:3" x14ac:dyDescent="0.25">
      <c r="A131">
        <v>14</v>
      </c>
      <c r="B131">
        <v>0</v>
      </c>
      <c r="C131">
        <v>284</v>
      </c>
    </row>
    <row r="132" spans="1:3" x14ac:dyDescent="0.25">
      <c r="A132">
        <v>15</v>
      </c>
      <c r="B132">
        <v>0</v>
      </c>
      <c r="C132">
        <v>302</v>
      </c>
    </row>
    <row r="133" spans="1:3" x14ac:dyDescent="0.25">
      <c r="A133">
        <v>16</v>
      </c>
      <c r="B133">
        <v>0</v>
      </c>
      <c r="C133">
        <v>302</v>
      </c>
    </row>
    <row r="134" spans="1:3" x14ac:dyDescent="0.25">
      <c r="A134">
        <v>22</v>
      </c>
      <c r="B134">
        <v>0</v>
      </c>
      <c r="C134">
        <v>302</v>
      </c>
    </row>
    <row r="135" spans="1:3" x14ac:dyDescent="0.25">
      <c r="A135">
        <v>21</v>
      </c>
      <c r="B135">
        <v>0</v>
      </c>
      <c r="C135">
        <v>302</v>
      </c>
    </row>
    <row r="136" spans="1:3" x14ac:dyDescent="0.25">
      <c r="A136">
        <v>22</v>
      </c>
      <c r="B136">
        <v>0</v>
      </c>
      <c r="C136">
        <v>302</v>
      </c>
    </row>
    <row r="137" spans="1:3" x14ac:dyDescent="0.25">
      <c r="A137">
        <v>25</v>
      </c>
      <c r="B137">
        <v>0</v>
      </c>
      <c r="C137">
        <v>824</v>
      </c>
    </row>
    <row r="138" spans="1:3" x14ac:dyDescent="0.25">
      <c r="A138">
        <v>21</v>
      </c>
      <c r="B138">
        <v>0</v>
      </c>
      <c r="C138">
        <v>824</v>
      </c>
    </row>
    <row r="139" spans="1:3" x14ac:dyDescent="0.25">
      <c r="A139">
        <v>12</v>
      </c>
      <c r="B139">
        <v>0</v>
      </c>
      <c r="C139">
        <v>824</v>
      </c>
    </row>
    <row r="140" spans="1:3" x14ac:dyDescent="0.25">
      <c r="A140">
        <v>32</v>
      </c>
      <c r="B140">
        <v>0</v>
      </c>
      <c r="C140">
        <v>824</v>
      </c>
    </row>
    <row r="141" spans="1:3" x14ac:dyDescent="0.25">
      <c r="A141">
        <v>13</v>
      </c>
      <c r="B141">
        <v>0</v>
      </c>
      <c r="C141">
        <v>824</v>
      </c>
    </row>
    <row r="142" spans="1:3" x14ac:dyDescent="0.25">
      <c r="A142">
        <v>16</v>
      </c>
      <c r="B142">
        <v>0</v>
      </c>
      <c r="C142">
        <v>824</v>
      </c>
    </row>
    <row r="143" spans="1:3" x14ac:dyDescent="0.25">
      <c r="A143">
        <v>30</v>
      </c>
      <c r="B143">
        <v>0</v>
      </c>
      <c r="C143">
        <v>363</v>
      </c>
    </row>
    <row r="144" spans="1:3" x14ac:dyDescent="0.25">
      <c r="A144">
        <v>13</v>
      </c>
      <c r="B144">
        <v>0</v>
      </c>
      <c r="C144">
        <v>363</v>
      </c>
    </row>
    <row r="145" spans="1:3" x14ac:dyDescent="0.25">
      <c r="A145">
        <v>12</v>
      </c>
      <c r="B145">
        <v>0</v>
      </c>
      <c r="C145">
        <v>363</v>
      </c>
    </row>
    <row r="146" spans="1:3" x14ac:dyDescent="0.25">
      <c r="A146">
        <v>19</v>
      </c>
      <c r="B146">
        <v>0</v>
      </c>
      <c r="C146">
        <v>363</v>
      </c>
    </row>
    <row r="147" spans="1:3" x14ac:dyDescent="0.25">
      <c r="A147">
        <v>17</v>
      </c>
      <c r="B147">
        <v>0</v>
      </c>
      <c r="C147">
        <v>363</v>
      </c>
    </row>
    <row r="148" spans="1:3" x14ac:dyDescent="0.25">
      <c r="A148">
        <v>16</v>
      </c>
      <c r="B148">
        <v>0</v>
      </c>
      <c r="C148">
        <v>363</v>
      </c>
    </row>
    <row r="149" spans="1:3" x14ac:dyDescent="0.25">
      <c r="A149">
        <v>13</v>
      </c>
      <c r="B149">
        <v>0</v>
      </c>
      <c r="C149">
        <v>506</v>
      </c>
    </row>
    <row r="150" spans="1:3" x14ac:dyDescent="0.25">
      <c r="A150">
        <v>12</v>
      </c>
      <c r="B150">
        <v>0</v>
      </c>
      <c r="C150">
        <v>506</v>
      </c>
    </row>
    <row r="151" spans="1:3" x14ac:dyDescent="0.25">
      <c r="A151">
        <v>12</v>
      </c>
      <c r="B151">
        <v>0</v>
      </c>
      <c r="C151">
        <v>506</v>
      </c>
    </row>
    <row r="152" spans="1:3" x14ac:dyDescent="0.25">
      <c r="A152">
        <v>14</v>
      </c>
      <c r="B152">
        <v>0</v>
      </c>
      <c r="C152">
        <v>506</v>
      </c>
    </row>
    <row r="153" spans="1:3" x14ac:dyDescent="0.25">
      <c r="A153">
        <v>12</v>
      </c>
      <c r="B153">
        <v>0</v>
      </c>
      <c r="C153">
        <v>506</v>
      </c>
    </row>
    <row r="154" spans="1:3" x14ac:dyDescent="0.25">
      <c r="A154">
        <v>13</v>
      </c>
      <c r="B154">
        <v>0</v>
      </c>
      <c r="C154">
        <v>506</v>
      </c>
    </row>
    <row r="155" spans="1:3" x14ac:dyDescent="0.25">
      <c r="A155">
        <v>28</v>
      </c>
      <c r="B155">
        <v>0</v>
      </c>
      <c r="C155">
        <v>301</v>
      </c>
    </row>
    <row r="156" spans="1:3" x14ac:dyDescent="0.25">
      <c r="A156">
        <v>17</v>
      </c>
      <c r="B156">
        <v>0</v>
      </c>
      <c r="C156">
        <v>301</v>
      </c>
    </row>
    <row r="157" spans="1:3" x14ac:dyDescent="0.25">
      <c r="A157">
        <v>12</v>
      </c>
      <c r="B157">
        <v>0</v>
      </c>
      <c r="C157">
        <v>301</v>
      </c>
    </row>
    <row r="158" spans="1:3" x14ac:dyDescent="0.25">
      <c r="A158">
        <v>12</v>
      </c>
      <c r="B158">
        <v>0</v>
      </c>
      <c r="C158">
        <v>301</v>
      </c>
    </row>
    <row r="159" spans="1:3" x14ac:dyDescent="0.25">
      <c r="A159">
        <v>12</v>
      </c>
      <c r="B159">
        <v>0</v>
      </c>
      <c r="C159">
        <v>301</v>
      </c>
    </row>
    <row r="160" spans="1:3" x14ac:dyDescent="0.25">
      <c r="A160">
        <v>30</v>
      </c>
      <c r="B160">
        <v>0</v>
      </c>
      <c r="C160">
        <v>312</v>
      </c>
    </row>
    <row r="161" spans="1:3" x14ac:dyDescent="0.25">
      <c r="A161">
        <v>12</v>
      </c>
      <c r="B161">
        <v>0</v>
      </c>
      <c r="C161">
        <v>312</v>
      </c>
    </row>
    <row r="162" spans="1:3" x14ac:dyDescent="0.25">
      <c r="A162">
        <v>17</v>
      </c>
      <c r="B162">
        <v>0</v>
      </c>
      <c r="C162">
        <v>312</v>
      </c>
    </row>
    <row r="163" spans="1:3" x14ac:dyDescent="0.25">
      <c r="A163">
        <v>12</v>
      </c>
      <c r="B163">
        <v>0</v>
      </c>
      <c r="C163">
        <v>312</v>
      </c>
    </row>
    <row r="164" spans="1:3" x14ac:dyDescent="0.25">
      <c r="A164">
        <v>29</v>
      </c>
      <c r="B164">
        <v>0</v>
      </c>
      <c r="C164">
        <v>312</v>
      </c>
    </row>
    <row r="165" spans="1:3" x14ac:dyDescent="0.25">
      <c r="A165">
        <v>13</v>
      </c>
      <c r="B165">
        <v>0</v>
      </c>
      <c r="C165">
        <v>312</v>
      </c>
    </row>
    <row r="166" spans="1:3" x14ac:dyDescent="0.25">
      <c r="A166">
        <v>32</v>
      </c>
      <c r="B166">
        <v>0</v>
      </c>
      <c r="C166">
        <v>351</v>
      </c>
    </row>
    <row r="167" spans="1:3" x14ac:dyDescent="0.25">
      <c r="A167">
        <v>12</v>
      </c>
      <c r="B167">
        <v>0</v>
      </c>
      <c r="C167">
        <v>351</v>
      </c>
    </row>
    <row r="168" spans="1:3" x14ac:dyDescent="0.25">
      <c r="A168">
        <v>14</v>
      </c>
      <c r="B168">
        <v>0</v>
      </c>
      <c r="C168">
        <v>351</v>
      </c>
    </row>
    <row r="169" spans="1:3" x14ac:dyDescent="0.25">
      <c r="A169">
        <v>34</v>
      </c>
      <c r="B169">
        <v>0</v>
      </c>
      <c r="C169">
        <v>351</v>
      </c>
    </row>
    <row r="170" spans="1:3" x14ac:dyDescent="0.25">
      <c r="A170">
        <v>15</v>
      </c>
      <c r="B170">
        <v>0</v>
      </c>
      <c r="C170">
        <v>351</v>
      </c>
    </row>
    <row r="171" spans="1:3" x14ac:dyDescent="0.25">
      <c r="A171">
        <v>16</v>
      </c>
      <c r="B171">
        <v>0</v>
      </c>
      <c r="C171">
        <v>351</v>
      </c>
    </row>
    <row r="172" spans="1:3" x14ac:dyDescent="0.25">
      <c r="A172">
        <v>17</v>
      </c>
      <c r="B172">
        <v>0</v>
      </c>
      <c r="C172">
        <v>311</v>
      </c>
    </row>
    <row r="173" spans="1:3" x14ac:dyDescent="0.25">
      <c r="A173">
        <v>13</v>
      </c>
      <c r="B173">
        <v>0</v>
      </c>
      <c r="C173">
        <v>311</v>
      </c>
    </row>
    <row r="174" spans="1:3" x14ac:dyDescent="0.25">
      <c r="A174">
        <v>12</v>
      </c>
      <c r="B174">
        <v>0</v>
      </c>
      <c r="C174">
        <v>311</v>
      </c>
    </row>
    <row r="175" spans="1:3" x14ac:dyDescent="0.25">
      <c r="A175">
        <v>38</v>
      </c>
      <c r="B175">
        <v>0</v>
      </c>
      <c r="C175">
        <v>311</v>
      </c>
    </row>
    <row r="176" spans="1:3" x14ac:dyDescent="0.25">
      <c r="A176">
        <v>16</v>
      </c>
      <c r="B176">
        <v>0</v>
      </c>
      <c r="C176">
        <v>311</v>
      </c>
    </row>
    <row r="177" spans="1:3" x14ac:dyDescent="0.25">
      <c r="A177">
        <v>14</v>
      </c>
      <c r="B177">
        <v>0</v>
      </c>
      <c r="C177">
        <v>311</v>
      </c>
    </row>
    <row r="178" spans="1:3" x14ac:dyDescent="0.25">
      <c r="A178">
        <v>14</v>
      </c>
      <c r="B178">
        <v>0</v>
      </c>
      <c r="C178">
        <v>340</v>
      </c>
    </row>
    <row r="179" spans="1:3" x14ac:dyDescent="0.25">
      <c r="A179">
        <v>18</v>
      </c>
      <c r="B179">
        <v>0</v>
      </c>
      <c r="C179">
        <v>340</v>
      </c>
    </row>
    <row r="180" spans="1:3" x14ac:dyDescent="0.25">
      <c r="A180">
        <v>14</v>
      </c>
      <c r="B180">
        <v>0</v>
      </c>
      <c r="C180">
        <v>340</v>
      </c>
    </row>
    <row r="181" spans="1:3" x14ac:dyDescent="0.25">
      <c r="A181">
        <v>18</v>
      </c>
      <c r="B181">
        <v>0</v>
      </c>
      <c r="C181">
        <v>340</v>
      </c>
    </row>
    <row r="182" spans="1:3" x14ac:dyDescent="0.25">
      <c r="A182">
        <v>17</v>
      </c>
      <c r="B182">
        <v>0</v>
      </c>
      <c r="C182">
        <v>340</v>
      </c>
    </row>
    <row r="183" spans="1:3" x14ac:dyDescent="0.25">
      <c r="A183">
        <v>14</v>
      </c>
      <c r="B183">
        <v>0</v>
      </c>
      <c r="C183">
        <v>340</v>
      </c>
    </row>
    <row r="184" spans="1:3" x14ac:dyDescent="0.25">
      <c r="A184">
        <v>13</v>
      </c>
      <c r="B184">
        <v>0</v>
      </c>
      <c r="C184">
        <v>303</v>
      </c>
    </row>
    <row r="185" spans="1:3" x14ac:dyDescent="0.25">
      <c r="A185">
        <v>13</v>
      </c>
      <c r="B185">
        <v>0</v>
      </c>
      <c r="C185">
        <v>303</v>
      </c>
    </row>
    <row r="186" spans="1:3" x14ac:dyDescent="0.25">
      <c r="A186">
        <v>16</v>
      </c>
      <c r="B186">
        <v>0</v>
      </c>
      <c r="C186">
        <v>303</v>
      </c>
    </row>
    <row r="187" spans="1:3" x14ac:dyDescent="0.25">
      <c r="A187">
        <v>14</v>
      </c>
      <c r="B187">
        <v>0</v>
      </c>
      <c r="C187">
        <v>303</v>
      </c>
    </row>
    <row r="188" spans="1:3" x14ac:dyDescent="0.25">
      <c r="A188">
        <v>15</v>
      </c>
      <c r="B188">
        <v>0</v>
      </c>
      <c r="C188">
        <v>303</v>
      </c>
    </row>
    <row r="189" spans="1:3" x14ac:dyDescent="0.25">
      <c r="A189">
        <v>31</v>
      </c>
      <c r="B189">
        <v>0</v>
      </c>
      <c r="C189">
        <v>326</v>
      </c>
    </row>
    <row r="190" spans="1:3" x14ac:dyDescent="0.25">
      <c r="A190">
        <v>16</v>
      </c>
      <c r="B190">
        <v>0</v>
      </c>
      <c r="C190">
        <v>326</v>
      </c>
    </row>
    <row r="191" spans="1:3" x14ac:dyDescent="0.25">
      <c r="A191">
        <v>17</v>
      </c>
      <c r="B191">
        <v>0</v>
      </c>
      <c r="C191">
        <v>326</v>
      </c>
    </row>
    <row r="192" spans="1:3" x14ac:dyDescent="0.25">
      <c r="A192">
        <v>14</v>
      </c>
      <c r="B192">
        <v>0</v>
      </c>
      <c r="C192">
        <v>326</v>
      </c>
    </row>
    <row r="193" spans="1:3" x14ac:dyDescent="0.25">
      <c r="A193">
        <v>13</v>
      </c>
      <c r="B193">
        <v>0</v>
      </c>
      <c r="C193">
        <v>326</v>
      </c>
    </row>
    <row r="194" spans="1:3" x14ac:dyDescent="0.25">
      <c r="A194">
        <v>14</v>
      </c>
      <c r="B194">
        <v>0</v>
      </c>
      <c r="C194">
        <v>326</v>
      </c>
    </row>
    <row r="195" spans="1:3" x14ac:dyDescent="0.25">
      <c r="A195">
        <v>13</v>
      </c>
      <c r="B195">
        <v>0</v>
      </c>
      <c r="C195">
        <v>356</v>
      </c>
    </row>
    <row r="196" spans="1:3" x14ac:dyDescent="0.25">
      <c r="A196">
        <v>14</v>
      </c>
      <c r="B196">
        <v>0</v>
      </c>
      <c r="C196">
        <v>356</v>
      </c>
    </row>
    <row r="197" spans="1:3" x14ac:dyDescent="0.25">
      <c r="A197">
        <v>12</v>
      </c>
      <c r="B197">
        <v>0</v>
      </c>
      <c r="C197">
        <v>356</v>
      </c>
    </row>
    <row r="198" spans="1:3" x14ac:dyDescent="0.25">
      <c r="A198">
        <v>15</v>
      </c>
      <c r="B198">
        <v>0</v>
      </c>
      <c r="C198">
        <v>356</v>
      </c>
    </row>
    <row r="199" spans="1:3" x14ac:dyDescent="0.25">
      <c r="A199">
        <v>13</v>
      </c>
      <c r="B199">
        <v>0</v>
      </c>
      <c r="C199">
        <v>356</v>
      </c>
    </row>
    <row r="200" spans="1:3" x14ac:dyDescent="0.25">
      <c r="A200">
        <v>12</v>
      </c>
      <c r="B200">
        <v>0</v>
      </c>
      <c r="C200">
        <v>310</v>
      </c>
    </row>
    <row r="201" spans="1:3" x14ac:dyDescent="0.25">
      <c r="A201">
        <v>18</v>
      </c>
      <c r="B201">
        <v>0</v>
      </c>
      <c r="C201">
        <v>310</v>
      </c>
    </row>
    <row r="202" spans="1:3" x14ac:dyDescent="0.25">
      <c r="A202">
        <v>14</v>
      </c>
      <c r="B202">
        <v>0</v>
      </c>
      <c r="C202">
        <v>310</v>
      </c>
    </row>
    <row r="203" spans="1:3" x14ac:dyDescent="0.25">
      <c r="A203">
        <v>35</v>
      </c>
      <c r="B203">
        <v>0</v>
      </c>
      <c r="C203">
        <v>310</v>
      </c>
    </row>
    <row r="204" spans="1:3" x14ac:dyDescent="0.25">
      <c r="A204">
        <v>15</v>
      </c>
      <c r="B204">
        <v>0</v>
      </c>
      <c r="C204">
        <v>310</v>
      </c>
    </row>
    <row r="205" spans="1:3" x14ac:dyDescent="0.25">
      <c r="A205">
        <v>13</v>
      </c>
      <c r="B205">
        <v>0</v>
      </c>
      <c r="C205">
        <v>368</v>
      </c>
    </row>
    <row r="206" spans="1:3" x14ac:dyDescent="0.25">
      <c r="A206">
        <v>17</v>
      </c>
      <c r="B206">
        <v>0</v>
      </c>
      <c r="C206">
        <v>368</v>
      </c>
    </row>
    <row r="207" spans="1:3" x14ac:dyDescent="0.25">
      <c r="A207">
        <v>12</v>
      </c>
      <c r="B207">
        <v>0</v>
      </c>
      <c r="C207">
        <v>368</v>
      </c>
    </row>
    <row r="208" spans="1:3" x14ac:dyDescent="0.25">
      <c r="A208">
        <v>12</v>
      </c>
      <c r="B208">
        <v>0</v>
      </c>
      <c r="C208">
        <v>368</v>
      </c>
    </row>
    <row r="209" spans="1:3" x14ac:dyDescent="0.25">
      <c r="A209">
        <v>33</v>
      </c>
      <c r="B209">
        <v>0</v>
      </c>
      <c r="C209">
        <v>368</v>
      </c>
    </row>
    <row r="210" spans="1:3" x14ac:dyDescent="0.25">
      <c r="A210">
        <v>11</v>
      </c>
      <c r="B210">
        <v>0</v>
      </c>
      <c r="C210">
        <v>320</v>
      </c>
    </row>
    <row r="211" spans="1:3" x14ac:dyDescent="0.25">
      <c r="A211">
        <v>17</v>
      </c>
      <c r="B211">
        <v>0</v>
      </c>
      <c r="C211">
        <v>320</v>
      </c>
    </row>
    <row r="212" spans="1:3" x14ac:dyDescent="0.25">
      <c r="A212">
        <v>13</v>
      </c>
      <c r="B212">
        <v>0</v>
      </c>
      <c r="C212">
        <v>320</v>
      </c>
    </row>
    <row r="213" spans="1:3" x14ac:dyDescent="0.25">
      <c r="A213">
        <v>15</v>
      </c>
      <c r="B213">
        <v>0</v>
      </c>
      <c r="C213">
        <v>320</v>
      </c>
    </row>
    <row r="214" spans="1:3" x14ac:dyDescent="0.25">
      <c r="A214">
        <v>13</v>
      </c>
      <c r="B214">
        <v>0</v>
      </c>
      <c r="C214">
        <v>320</v>
      </c>
    </row>
    <row r="215" spans="1:3" x14ac:dyDescent="0.25">
      <c r="A215">
        <v>29</v>
      </c>
      <c r="B215">
        <v>0</v>
      </c>
      <c r="C215">
        <v>387</v>
      </c>
    </row>
    <row r="216" spans="1:3" x14ac:dyDescent="0.25">
      <c r="A216">
        <v>16</v>
      </c>
      <c r="B216">
        <v>0</v>
      </c>
      <c r="C216">
        <v>387</v>
      </c>
    </row>
    <row r="217" spans="1:3" x14ac:dyDescent="0.25">
      <c r="A217">
        <v>12</v>
      </c>
      <c r="B217">
        <v>0</v>
      </c>
      <c r="C217">
        <v>387</v>
      </c>
    </row>
    <row r="218" spans="1:3" x14ac:dyDescent="0.25">
      <c r="A218">
        <v>12</v>
      </c>
      <c r="B218">
        <v>0</v>
      </c>
      <c r="C218">
        <v>387</v>
      </c>
    </row>
    <row r="219" spans="1:3" x14ac:dyDescent="0.25">
      <c r="A219">
        <v>12</v>
      </c>
      <c r="B219">
        <v>0</v>
      </c>
      <c r="C219">
        <v>387</v>
      </c>
    </row>
    <row r="220" spans="1:3" x14ac:dyDescent="0.25">
      <c r="A220">
        <v>12</v>
      </c>
      <c r="B220">
        <v>0</v>
      </c>
      <c r="C220">
        <v>387</v>
      </c>
    </row>
    <row r="221" spans="1:3" x14ac:dyDescent="0.25">
      <c r="A221">
        <v>18</v>
      </c>
      <c r="B221">
        <v>0</v>
      </c>
      <c r="C221">
        <v>340</v>
      </c>
    </row>
    <row r="222" spans="1:3" x14ac:dyDescent="0.25">
      <c r="A222">
        <v>14</v>
      </c>
      <c r="B222">
        <v>0</v>
      </c>
      <c r="C222">
        <v>340</v>
      </c>
    </row>
    <row r="223" spans="1:3" x14ac:dyDescent="0.25">
      <c r="A223">
        <v>12</v>
      </c>
      <c r="B223">
        <v>0</v>
      </c>
      <c r="C223">
        <v>340</v>
      </c>
    </row>
    <row r="224" spans="1:3" x14ac:dyDescent="0.25">
      <c r="A224">
        <v>12</v>
      </c>
      <c r="B224">
        <v>0</v>
      </c>
      <c r="C224">
        <v>340</v>
      </c>
    </row>
    <row r="225" spans="1:3" x14ac:dyDescent="0.25">
      <c r="A225">
        <v>12</v>
      </c>
      <c r="B225">
        <v>0</v>
      </c>
      <c r="C225">
        <v>340</v>
      </c>
    </row>
    <row r="226" spans="1:3" x14ac:dyDescent="0.25">
      <c r="A226">
        <v>16</v>
      </c>
      <c r="B226">
        <v>0</v>
      </c>
      <c r="C226">
        <v>294</v>
      </c>
    </row>
    <row r="227" spans="1:3" x14ac:dyDescent="0.25">
      <c r="A227">
        <v>15</v>
      </c>
      <c r="B227">
        <v>0</v>
      </c>
      <c r="C227">
        <v>294</v>
      </c>
    </row>
    <row r="228" spans="1:3" x14ac:dyDescent="0.25">
      <c r="A228">
        <v>13</v>
      </c>
      <c r="B228">
        <v>0</v>
      </c>
      <c r="C228">
        <v>294</v>
      </c>
    </row>
    <row r="229" spans="1:3" x14ac:dyDescent="0.25">
      <c r="A229">
        <v>31</v>
      </c>
      <c r="B229">
        <v>0</v>
      </c>
      <c r="C229">
        <v>294</v>
      </c>
    </row>
    <row r="230" spans="1:3" x14ac:dyDescent="0.25">
      <c r="A230">
        <v>12</v>
      </c>
      <c r="B230">
        <v>0</v>
      </c>
      <c r="C230">
        <v>294</v>
      </c>
    </row>
    <row r="231" spans="1:3" x14ac:dyDescent="0.25">
      <c r="A231">
        <v>15</v>
      </c>
      <c r="B231">
        <v>0</v>
      </c>
      <c r="C231">
        <v>294</v>
      </c>
    </row>
    <row r="232" spans="1:3" x14ac:dyDescent="0.25">
      <c r="A232">
        <v>13</v>
      </c>
      <c r="B232">
        <v>0</v>
      </c>
      <c r="C232">
        <v>316</v>
      </c>
    </row>
    <row r="233" spans="1:3" x14ac:dyDescent="0.25">
      <c r="A233">
        <v>14</v>
      </c>
      <c r="B233">
        <v>0</v>
      </c>
      <c r="C233">
        <v>316</v>
      </c>
    </row>
    <row r="234" spans="1:3" x14ac:dyDescent="0.25">
      <c r="A234">
        <v>14</v>
      </c>
      <c r="B234">
        <v>0</v>
      </c>
      <c r="C234">
        <v>316</v>
      </c>
    </row>
    <row r="235" spans="1:3" x14ac:dyDescent="0.25">
      <c r="A235">
        <v>30</v>
      </c>
      <c r="B235">
        <v>0</v>
      </c>
      <c r="C235">
        <v>316</v>
      </c>
    </row>
    <row r="236" spans="1:3" x14ac:dyDescent="0.25">
      <c r="A236">
        <v>18</v>
      </c>
      <c r="B236">
        <v>0</v>
      </c>
      <c r="C236">
        <v>316</v>
      </c>
    </row>
    <row r="237" spans="1:3" x14ac:dyDescent="0.25">
      <c r="A237">
        <v>12</v>
      </c>
      <c r="B237">
        <v>0</v>
      </c>
      <c r="C237">
        <v>316</v>
      </c>
    </row>
    <row r="238" spans="1:3" x14ac:dyDescent="0.25">
      <c r="A238">
        <v>12</v>
      </c>
      <c r="B238">
        <v>0</v>
      </c>
      <c r="C238">
        <v>298</v>
      </c>
    </row>
    <row r="239" spans="1:3" x14ac:dyDescent="0.25">
      <c r="A239">
        <v>29</v>
      </c>
      <c r="B239">
        <v>0</v>
      </c>
      <c r="C239">
        <v>298</v>
      </c>
    </row>
    <row r="240" spans="1:3" x14ac:dyDescent="0.25">
      <c r="A240">
        <v>12</v>
      </c>
      <c r="B240">
        <v>0</v>
      </c>
      <c r="C240">
        <v>298</v>
      </c>
    </row>
    <row r="241" spans="1:3" x14ac:dyDescent="0.25">
      <c r="A241">
        <v>17</v>
      </c>
      <c r="B241">
        <v>0</v>
      </c>
      <c r="C241">
        <v>298</v>
      </c>
    </row>
    <row r="242" spans="1:3" x14ac:dyDescent="0.25">
      <c r="A242">
        <v>13</v>
      </c>
      <c r="B242">
        <v>0</v>
      </c>
      <c r="C242">
        <v>298</v>
      </c>
    </row>
    <row r="243" spans="1:3" x14ac:dyDescent="0.25">
      <c r="A243">
        <v>12</v>
      </c>
      <c r="B243">
        <v>0</v>
      </c>
      <c r="C243">
        <v>347</v>
      </c>
    </row>
    <row r="244" spans="1:3" x14ac:dyDescent="0.25">
      <c r="A244">
        <v>21</v>
      </c>
      <c r="B244">
        <v>0</v>
      </c>
      <c r="C244">
        <v>347</v>
      </c>
    </row>
    <row r="245" spans="1:3" x14ac:dyDescent="0.25">
      <c r="A245">
        <v>13</v>
      </c>
      <c r="B245">
        <v>0</v>
      </c>
      <c r="C245">
        <v>347</v>
      </c>
    </row>
    <row r="246" spans="1:3" x14ac:dyDescent="0.25">
      <c r="A246">
        <v>18</v>
      </c>
      <c r="B246">
        <v>0</v>
      </c>
      <c r="C246">
        <v>347</v>
      </c>
    </row>
    <row r="247" spans="1:3" x14ac:dyDescent="0.25">
      <c r="A247">
        <v>12</v>
      </c>
      <c r="B247">
        <v>0</v>
      </c>
      <c r="C247">
        <v>347</v>
      </c>
    </row>
    <row r="248" spans="1:3" x14ac:dyDescent="0.25">
      <c r="A248">
        <v>13</v>
      </c>
      <c r="B248">
        <v>0</v>
      </c>
      <c r="C248">
        <v>347</v>
      </c>
    </row>
    <row r="249" spans="1:3" x14ac:dyDescent="0.25">
      <c r="A249">
        <v>12</v>
      </c>
      <c r="B249">
        <v>0</v>
      </c>
      <c r="C249">
        <v>498</v>
      </c>
    </row>
    <row r="250" spans="1:3" x14ac:dyDescent="0.25">
      <c r="A250">
        <v>12</v>
      </c>
      <c r="B250">
        <v>0</v>
      </c>
      <c r="C250">
        <v>498</v>
      </c>
    </row>
    <row r="251" spans="1:3" x14ac:dyDescent="0.25">
      <c r="A251">
        <v>16</v>
      </c>
      <c r="B251">
        <v>0</v>
      </c>
      <c r="C251">
        <v>498</v>
      </c>
    </row>
    <row r="252" spans="1:3" x14ac:dyDescent="0.25">
      <c r="A252">
        <v>13</v>
      </c>
      <c r="B252">
        <v>0</v>
      </c>
      <c r="C252">
        <v>498</v>
      </c>
    </row>
    <row r="253" spans="1:3" x14ac:dyDescent="0.25">
      <c r="A253">
        <v>13</v>
      </c>
      <c r="B253">
        <v>0</v>
      </c>
      <c r="C253">
        <v>498</v>
      </c>
    </row>
    <row r="254" spans="1:3" x14ac:dyDescent="0.25">
      <c r="A254">
        <v>12</v>
      </c>
      <c r="B254">
        <v>0</v>
      </c>
      <c r="C254">
        <v>328</v>
      </c>
    </row>
    <row r="255" spans="1:3" x14ac:dyDescent="0.25">
      <c r="A255">
        <v>30</v>
      </c>
      <c r="B255">
        <v>0</v>
      </c>
      <c r="C255">
        <v>328</v>
      </c>
    </row>
    <row r="256" spans="1:3" x14ac:dyDescent="0.25">
      <c r="A256">
        <v>19</v>
      </c>
      <c r="B256">
        <v>0</v>
      </c>
      <c r="C256">
        <v>328</v>
      </c>
    </row>
    <row r="257" spans="1:3" x14ac:dyDescent="0.25">
      <c r="A257">
        <v>12</v>
      </c>
      <c r="B257">
        <v>0</v>
      </c>
      <c r="C257">
        <v>328</v>
      </c>
    </row>
    <row r="258" spans="1:3" x14ac:dyDescent="0.25">
      <c r="A258">
        <v>12</v>
      </c>
      <c r="B258">
        <v>0</v>
      </c>
      <c r="C258">
        <v>328</v>
      </c>
    </row>
    <row r="259" spans="1:3" x14ac:dyDescent="0.25">
      <c r="A259">
        <v>40</v>
      </c>
      <c r="B259">
        <v>0</v>
      </c>
      <c r="C259">
        <v>352</v>
      </c>
    </row>
    <row r="260" spans="1:3" x14ac:dyDescent="0.25">
      <c r="A260">
        <v>12</v>
      </c>
      <c r="B260">
        <v>0</v>
      </c>
      <c r="C260">
        <v>352</v>
      </c>
    </row>
    <row r="261" spans="1:3" x14ac:dyDescent="0.25">
      <c r="A261">
        <v>17</v>
      </c>
      <c r="B261">
        <v>0</v>
      </c>
      <c r="C261">
        <v>352</v>
      </c>
    </row>
    <row r="262" spans="1:3" x14ac:dyDescent="0.25">
      <c r="A262">
        <v>12</v>
      </c>
      <c r="B262">
        <v>0</v>
      </c>
      <c r="C262">
        <v>352</v>
      </c>
    </row>
    <row r="263" spans="1:3" x14ac:dyDescent="0.25">
      <c r="A263">
        <v>15</v>
      </c>
      <c r="B263">
        <v>0</v>
      </c>
      <c r="C263">
        <v>352</v>
      </c>
    </row>
    <row r="264" spans="1:3" x14ac:dyDescent="0.25">
      <c r="A264">
        <v>12</v>
      </c>
      <c r="B264">
        <v>0</v>
      </c>
      <c r="C264">
        <v>352</v>
      </c>
    </row>
    <row r="265" spans="1:3" x14ac:dyDescent="0.25">
      <c r="A265">
        <v>12</v>
      </c>
      <c r="B265">
        <v>0</v>
      </c>
      <c r="C265">
        <v>357</v>
      </c>
    </row>
    <row r="266" spans="1:3" x14ac:dyDescent="0.25">
      <c r="A266">
        <v>17</v>
      </c>
      <c r="B266">
        <v>0</v>
      </c>
      <c r="C266">
        <v>357</v>
      </c>
    </row>
    <row r="267" spans="1:3" x14ac:dyDescent="0.25">
      <c r="A267">
        <v>12</v>
      </c>
      <c r="B267">
        <v>0</v>
      </c>
      <c r="C267">
        <v>357</v>
      </c>
    </row>
    <row r="268" spans="1:3" x14ac:dyDescent="0.25">
      <c r="A268">
        <v>12</v>
      </c>
      <c r="B268">
        <v>0</v>
      </c>
      <c r="C268">
        <v>357</v>
      </c>
    </row>
    <row r="269" spans="1:3" x14ac:dyDescent="0.25">
      <c r="A269">
        <v>14</v>
      </c>
      <c r="B269">
        <v>0</v>
      </c>
      <c r="C269">
        <v>357</v>
      </c>
    </row>
    <row r="270" spans="1:3" x14ac:dyDescent="0.25">
      <c r="A270">
        <v>12</v>
      </c>
      <c r="B270">
        <v>0</v>
      </c>
      <c r="C270">
        <v>268</v>
      </c>
    </row>
    <row r="271" spans="1:3" x14ac:dyDescent="0.25">
      <c r="A271">
        <v>19</v>
      </c>
      <c r="B271">
        <v>0</v>
      </c>
      <c r="C271">
        <v>268</v>
      </c>
    </row>
    <row r="272" spans="1:3" x14ac:dyDescent="0.25">
      <c r="A272">
        <v>13</v>
      </c>
      <c r="B272">
        <v>0</v>
      </c>
      <c r="C272">
        <v>268</v>
      </c>
    </row>
    <row r="273" spans="1:3" x14ac:dyDescent="0.25">
      <c r="A273">
        <v>12</v>
      </c>
      <c r="B273">
        <v>0</v>
      </c>
      <c r="C273">
        <v>268</v>
      </c>
    </row>
    <row r="274" spans="1:3" x14ac:dyDescent="0.25">
      <c r="A274">
        <v>12</v>
      </c>
      <c r="B274">
        <v>0</v>
      </c>
      <c r="C274">
        <v>268</v>
      </c>
    </row>
    <row r="275" spans="1:3" x14ac:dyDescent="0.25">
      <c r="A275">
        <v>13</v>
      </c>
      <c r="B275">
        <v>0</v>
      </c>
      <c r="C275">
        <v>268</v>
      </c>
    </row>
    <row r="276" spans="1:3" x14ac:dyDescent="0.25">
      <c r="A276">
        <v>18</v>
      </c>
      <c r="B276">
        <v>0</v>
      </c>
      <c r="C276">
        <v>315</v>
      </c>
    </row>
    <row r="277" spans="1:3" x14ac:dyDescent="0.25">
      <c r="A277">
        <v>15</v>
      </c>
      <c r="B277">
        <v>0</v>
      </c>
      <c r="C277">
        <v>315</v>
      </c>
    </row>
    <row r="278" spans="1:3" x14ac:dyDescent="0.25">
      <c r="A278">
        <v>18</v>
      </c>
      <c r="B278">
        <v>0</v>
      </c>
      <c r="C278">
        <v>315</v>
      </c>
    </row>
    <row r="279" spans="1:3" x14ac:dyDescent="0.25">
      <c r="A279">
        <v>12</v>
      </c>
      <c r="B279">
        <v>0</v>
      </c>
      <c r="C279">
        <v>315</v>
      </c>
    </row>
    <row r="280" spans="1:3" x14ac:dyDescent="0.25">
      <c r="A280">
        <v>11</v>
      </c>
      <c r="B280">
        <v>0</v>
      </c>
      <c r="C280">
        <v>315</v>
      </c>
    </row>
    <row r="281" spans="1:3" x14ac:dyDescent="0.25">
      <c r="A281">
        <v>14</v>
      </c>
      <c r="B281">
        <v>0</v>
      </c>
      <c r="C281">
        <v>392</v>
      </c>
    </row>
    <row r="282" spans="1:3" x14ac:dyDescent="0.25">
      <c r="A282">
        <v>12</v>
      </c>
      <c r="B282">
        <v>0</v>
      </c>
      <c r="C282">
        <v>392</v>
      </c>
    </row>
    <row r="283" spans="1:3" x14ac:dyDescent="0.25">
      <c r="A283">
        <v>17</v>
      </c>
      <c r="B283">
        <v>0</v>
      </c>
      <c r="C283">
        <v>392</v>
      </c>
    </row>
    <row r="284" spans="1:3" x14ac:dyDescent="0.25">
      <c r="A284">
        <v>14</v>
      </c>
      <c r="B284">
        <v>0</v>
      </c>
      <c r="C284">
        <v>392</v>
      </c>
    </row>
    <row r="285" spans="1:3" x14ac:dyDescent="0.25">
      <c r="A285">
        <v>11</v>
      </c>
      <c r="B285">
        <v>0</v>
      </c>
      <c r="C285">
        <v>392</v>
      </c>
    </row>
    <row r="286" spans="1:3" x14ac:dyDescent="0.25">
      <c r="A286">
        <v>17</v>
      </c>
      <c r="B286">
        <v>0</v>
      </c>
      <c r="C286">
        <v>392</v>
      </c>
    </row>
    <row r="287" spans="1:3" x14ac:dyDescent="0.25">
      <c r="A287">
        <v>11</v>
      </c>
      <c r="B287">
        <v>0</v>
      </c>
      <c r="C287">
        <v>299</v>
      </c>
    </row>
    <row r="288" spans="1:3" x14ac:dyDescent="0.25">
      <c r="A288">
        <v>12</v>
      </c>
      <c r="B288">
        <v>0</v>
      </c>
      <c r="C288">
        <v>299</v>
      </c>
    </row>
    <row r="289" spans="1:3" x14ac:dyDescent="0.25">
      <c r="A289">
        <v>14</v>
      </c>
      <c r="B289">
        <v>0</v>
      </c>
      <c r="C289">
        <v>299</v>
      </c>
    </row>
    <row r="290" spans="1:3" x14ac:dyDescent="0.25">
      <c r="A290">
        <v>32</v>
      </c>
      <c r="B290">
        <v>0</v>
      </c>
      <c r="C290">
        <v>299</v>
      </c>
    </row>
    <row r="291" spans="1:3" x14ac:dyDescent="0.25">
      <c r="A291">
        <v>15</v>
      </c>
      <c r="B291">
        <v>0</v>
      </c>
      <c r="C291">
        <v>299</v>
      </c>
    </row>
    <row r="292" spans="1:3" x14ac:dyDescent="0.25">
      <c r="A292">
        <v>12</v>
      </c>
      <c r="B292">
        <v>0</v>
      </c>
      <c r="C292">
        <v>327</v>
      </c>
    </row>
    <row r="293" spans="1:3" x14ac:dyDescent="0.25">
      <c r="A293">
        <v>13</v>
      </c>
      <c r="B293">
        <v>0</v>
      </c>
      <c r="C293">
        <v>327</v>
      </c>
    </row>
    <row r="294" spans="1:3" x14ac:dyDescent="0.25">
      <c r="A294">
        <v>12</v>
      </c>
      <c r="B294">
        <v>0</v>
      </c>
      <c r="C294">
        <v>327</v>
      </c>
    </row>
    <row r="295" spans="1:3" x14ac:dyDescent="0.25">
      <c r="A295">
        <v>15</v>
      </c>
      <c r="B295">
        <v>0</v>
      </c>
      <c r="C295">
        <v>327</v>
      </c>
    </row>
    <row r="296" spans="1:3" x14ac:dyDescent="0.25">
      <c r="A296">
        <v>16</v>
      </c>
      <c r="B296">
        <v>0</v>
      </c>
      <c r="C296">
        <v>327</v>
      </c>
    </row>
    <row r="297" spans="1:3" x14ac:dyDescent="0.25">
      <c r="A297">
        <v>14</v>
      </c>
      <c r="B297">
        <v>0</v>
      </c>
      <c r="C297">
        <v>388</v>
      </c>
    </row>
    <row r="298" spans="1:3" x14ac:dyDescent="0.25">
      <c r="A298">
        <v>12</v>
      </c>
      <c r="B298">
        <v>0</v>
      </c>
      <c r="C298">
        <v>388</v>
      </c>
    </row>
    <row r="299" spans="1:3" x14ac:dyDescent="0.25">
      <c r="A299">
        <v>12</v>
      </c>
      <c r="B299">
        <v>0</v>
      </c>
      <c r="C299">
        <v>388</v>
      </c>
    </row>
    <row r="300" spans="1:3" x14ac:dyDescent="0.25">
      <c r="A300">
        <v>17</v>
      </c>
      <c r="B300">
        <v>0</v>
      </c>
      <c r="C300">
        <v>388</v>
      </c>
    </row>
    <row r="301" spans="1:3" x14ac:dyDescent="0.25">
      <c r="A301">
        <v>19</v>
      </c>
      <c r="B301">
        <v>0</v>
      </c>
      <c r="C301">
        <v>388</v>
      </c>
    </row>
    <row r="302" spans="1:3" x14ac:dyDescent="0.25">
      <c r="A302">
        <v>12</v>
      </c>
      <c r="B302">
        <v>0</v>
      </c>
      <c r="C302">
        <v>388</v>
      </c>
    </row>
    <row r="303" spans="1:3" x14ac:dyDescent="0.25">
      <c r="A303">
        <v>12</v>
      </c>
      <c r="B303">
        <v>0</v>
      </c>
      <c r="C303">
        <v>303</v>
      </c>
    </row>
    <row r="304" spans="1:3" x14ac:dyDescent="0.25">
      <c r="A304">
        <v>29</v>
      </c>
      <c r="B304">
        <v>0</v>
      </c>
      <c r="C304">
        <v>303</v>
      </c>
    </row>
    <row r="305" spans="1:3" x14ac:dyDescent="0.25">
      <c r="A305">
        <v>15</v>
      </c>
      <c r="B305">
        <v>0</v>
      </c>
      <c r="C305">
        <v>303</v>
      </c>
    </row>
    <row r="306" spans="1:3" x14ac:dyDescent="0.25">
      <c r="A306">
        <v>16</v>
      </c>
      <c r="B306">
        <v>0</v>
      </c>
      <c r="C306">
        <v>303</v>
      </c>
    </row>
    <row r="307" spans="1:3" x14ac:dyDescent="0.25">
      <c r="A307">
        <v>12</v>
      </c>
      <c r="B307">
        <v>0</v>
      </c>
      <c r="C307">
        <v>303</v>
      </c>
    </row>
    <row r="308" spans="1:3" x14ac:dyDescent="0.25">
      <c r="A308">
        <v>12</v>
      </c>
      <c r="B308">
        <v>0</v>
      </c>
      <c r="C308">
        <v>303</v>
      </c>
    </row>
    <row r="309" spans="1:3" x14ac:dyDescent="0.25">
      <c r="A309">
        <v>12</v>
      </c>
      <c r="B309">
        <v>0</v>
      </c>
      <c r="C309">
        <v>321</v>
      </c>
    </row>
    <row r="310" spans="1:3" x14ac:dyDescent="0.25">
      <c r="A310">
        <v>19</v>
      </c>
      <c r="B310">
        <v>0</v>
      </c>
      <c r="C310">
        <v>321</v>
      </c>
    </row>
    <row r="311" spans="1:3" x14ac:dyDescent="0.25">
      <c r="A311">
        <v>20</v>
      </c>
      <c r="B311">
        <v>0</v>
      </c>
      <c r="C311">
        <v>321</v>
      </c>
    </row>
    <row r="312" spans="1:3" x14ac:dyDescent="0.25">
      <c r="A312">
        <v>12</v>
      </c>
      <c r="B312">
        <v>0</v>
      </c>
      <c r="C312">
        <v>321</v>
      </c>
    </row>
    <row r="313" spans="1:3" x14ac:dyDescent="0.25">
      <c r="A313">
        <v>27</v>
      </c>
      <c r="B313">
        <v>0</v>
      </c>
      <c r="C313">
        <v>321</v>
      </c>
    </row>
    <row r="314" spans="1:3" x14ac:dyDescent="0.25">
      <c r="A314">
        <v>12</v>
      </c>
      <c r="B314">
        <v>0</v>
      </c>
      <c r="C314">
        <v>315</v>
      </c>
    </row>
    <row r="315" spans="1:3" x14ac:dyDescent="0.25">
      <c r="A315">
        <v>12</v>
      </c>
      <c r="B315">
        <v>0</v>
      </c>
      <c r="C315">
        <v>315</v>
      </c>
    </row>
    <row r="316" spans="1:3" x14ac:dyDescent="0.25">
      <c r="A316">
        <v>17</v>
      </c>
      <c r="B316">
        <v>0</v>
      </c>
      <c r="C316">
        <v>315</v>
      </c>
    </row>
    <row r="317" spans="1:3" x14ac:dyDescent="0.25">
      <c r="A317">
        <v>11</v>
      </c>
      <c r="B317">
        <v>0</v>
      </c>
      <c r="C317">
        <v>315</v>
      </c>
    </row>
    <row r="318" spans="1:3" x14ac:dyDescent="0.25">
      <c r="A318">
        <v>12</v>
      </c>
      <c r="B318">
        <v>0</v>
      </c>
      <c r="C318">
        <v>315</v>
      </c>
    </row>
    <row r="319" spans="1:3" x14ac:dyDescent="0.25">
      <c r="A319">
        <v>39</v>
      </c>
      <c r="B319">
        <v>0</v>
      </c>
      <c r="C319">
        <v>308</v>
      </c>
    </row>
    <row r="320" spans="1:3" x14ac:dyDescent="0.25">
      <c r="A320">
        <v>17</v>
      </c>
      <c r="B320">
        <v>0</v>
      </c>
      <c r="C320">
        <v>308</v>
      </c>
    </row>
    <row r="321" spans="1:3" x14ac:dyDescent="0.25">
      <c r="A321">
        <v>15</v>
      </c>
      <c r="B321">
        <v>0</v>
      </c>
      <c r="C321">
        <v>308</v>
      </c>
    </row>
    <row r="322" spans="1:3" x14ac:dyDescent="0.25">
      <c r="A322">
        <v>12</v>
      </c>
      <c r="B322">
        <v>0</v>
      </c>
      <c r="C322">
        <v>308</v>
      </c>
    </row>
    <row r="323" spans="1:3" x14ac:dyDescent="0.25">
      <c r="A323">
        <v>12</v>
      </c>
      <c r="B323">
        <v>0</v>
      </c>
      <c r="C323">
        <v>308</v>
      </c>
    </row>
    <row r="324" spans="1:3" x14ac:dyDescent="0.25">
      <c r="A324">
        <v>30</v>
      </c>
      <c r="B324">
        <v>0</v>
      </c>
      <c r="C324">
        <v>308</v>
      </c>
    </row>
    <row r="325" spans="1:3" x14ac:dyDescent="0.25">
      <c r="A325">
        <v>12</v>
      </c>
      <c r="B325">
        <v>0</v>
      </c>
      <c r="C325">
        <v>379</v>
      </c>
    </row>
    <row r="326" spans="1:3" x14ac:dyDescent="0.25">
      <c r="A326">
        <v>16</v>
      </c>
      <c r="B326">
        <v>0</v>
      </c>
      <c r="C326">
        <v>379</v>
      </c>
    </row>
    <row r="327" spans="1:3" x14ac:dyDescent="0.25">
      <c r="A327">
        <v>12</v>
      </c>
      <c r="B327">
        <v>0</v>
      </c>
      <c r="C327">
        <v>379</v>
      </c>
    </row>
    <row r="328" spans="1:3" x14ac:dyDescent="0.25">
      <c r="A328">
        <v>12</v>
      </c>
      <c r="B328">
        <v>0</v>
      </c>
      <c r="C328">
        <v>379</v>
      </c>
    </row>
    <row r="329" spans="1:3" x14ac:dyDescent="0.25">
      <c r="A329">
        <v>14</v>
      </c>
      <c r="B329">
        <v>0</v>
      </c>
      <c r="C329">
        <v>379</v>
      </c>
    </row>
    <row r="330" spans="1:3" x14ac:dyDescent="0.25">
      <c r="A330">
        <v>25</v>
      </c>
      <c r="B330">
        <v>0</v>
      </c>
      <c r="C330">
        <v>320</v>
      </c>
    </row>
    <row r="331" spans="1:3" x14ac:dyDescent="0.25">
      <c r="A331">
        <v>16</v>
      </c>
      <c r="B331">
        <v>0</v>
      </c>
      <c r="C331">
        <v>320</v>
      </c>
    </row>
    <row r="332" spans="1:3" x14ac:dyDescent="0.25">
      <c r="A332">
        <v>12</v>
      </c>
      <c r="B332">
        <v>0</v>
      </c>
      <c r="C332">
        <v>320</v>
      </c>
    </row>
    <row r="333" spans="1:3" x14ac:dyDescent="0.25">
      <c r="A333">
        <v>12</v>
      </c>
      <c r="B333">
        <v>0</v>
      </c>
      <c r="C333">
        <v>320</v>
      </c>
    </row>
    <row r="334" spans="1:3" x14ac:dyDescent="0.25">
      <c r="A334">
        <v>12</v>
      </c>
      <c r="B334">
        <v>0</v>
      </c>
      <c r="C334">
        <v>320</v>
      </c>
    </row>
    <row r="335" spans="1:3" x14ac:dyDescent="0.25">
      <c r="A335">
        <v>12</v>
      </c>
      <c r="B335">
        <v>0</v>
      </c>
      <c r="C335">
        <v>320</v>
      </c>
    </row>
    <row r="336" spans="1:3" x14ac:dyDescent="0.25">
      <c r="A336">
        <v>15</v>
      </c>
      <c r="B336">
        <v>0</v>
      </c>
      <c r="C336">
        <v>303</v>
      </c>
    </row>
    <row r="337" spans="1:3" x14ac:dyDescent="0.25">
      <c r="A337">
        <v>11</v>
      </c>
      <c r="B337">
        <v>0</v>
      </c>
      <c r="C337">
        <v>303</v>
      </c>
    </row>
    <row r="338" spans="1:3" x14ac:dyDescent="0.25">
      <c r="A338">
        <v>14</v>
      </c>
      <c r="B338">
        <v>0</v>
      </c>
      <c r="C338">
        <v>303</v>
      </c>
    </row>
    <row r="339" spans="1:3" x14ac:dyDescent="0.25">
      <c r="A339">
        <v>13</v>
      </c>
      <c r="B339">
        <v>0</v>
      </c>
      <c r="C339">
        <v>303</v>
      </c>
    </row>
    <row r="340" spans="1:3" x14ac:dyDescent="0.25">
      <c r="A340">
        <v>15</v>
      </c>
      <c r="B340">
        <v>0</v>
      </c>
      <c r="C340">
        <v>303</v>
      </c>
    </row>
    <row r="341" spans="1:3" x14ac:dyDescent="0.25">
      <c r="A341">
        <v>20</v>
      </c>
      <c r="B341">
        <v>0</v>
      </c>
      <c r="C341">
        <v>307</v>
      </c>
    </row>
    <row r="342" spans="1:3" x14ac:dyDescent="0.25">
      <c r="A342">
        <v>15</v>
      </c>
      <c r="B342">
        <v>0</v>
      </c>
      <c r="C342">
        <v>307</v>
      </c>
    </row>
    <row r="343" spans="1:3" x14ac:dyDescent="0.25">
      <c r="A343">
        <v>14</v>
      </c>
      <c r="B343">
        <v>0</v>
      </c>
      <c r="C343">
        <v>307</v>
      </c>
    </row>
    <row r="344" spans="1:3" x14ac:dyDescent="0.25">
      <c r="A344">
        <v>13</v>
      </c>
      <c r="B344">
        <v>0</v>
      </c>
      <c r="C344">
        <v>307</v>
      </c>
    </row>
    <row r="345" spans="1:3" x14ac:dyDescent="0.25">
      <c r="A345">
        <v>21</v>
      </c>
      <c r="B345">
        <v>0</v>
      </c>
      <c r="C345">
        <v>307</v>
      </c>
    </row>
    <row r="346" spans="1:3" x14ac:dyDescent="0.25">
      <c r="A346">
        <v>15</v>
      </c>
      <c r="B346">
        <v>0</v>
      </c>
      <c r="C346">
        <v>307</v>
      </c>
    </row>
    <row r="347" spans="1:3" x14ac:dyDescent="0.25">
      <c r="A347">
        <v>11</v>
      </c>
      <c r="B347">
        <v>0</v>
      </c>
      <c r="C347">
        <v>440</v>
      </c>
    </row>
    <row r="348" spans="1:3" x14ac:dyDescent="0.25">
      <c r="A348">
        <v>37</v>
      </c>
      <c r="B348">
        <v>0</v>
      </c>
      <c r="C348">
        <v>440</v>
      </c>
    </row>
    <row r="349" spans="1:3" x14ac:dyDescent="0.25">
      <c r="A349">
        <v>25</v>
      </c>
      <c r="B349">
        <v>0</v>
      </c>
      <c r="C349">
        <v>440</v>
      </c>
    </row>
    <row r="350" spans="1:3" x14ac:dyDescent="0.25">
      <c r="A350">
        <v>20</v>
      </c>
      <c r="B350">
        <v>0</v>
      </c>
      <c r="C350">
        <v>440</v>
      </c>
    </row>
    <row r="351" spans="1:3" x14ac:dyDescent="0.25">
      <c r="A351">
        <v>21</v>
      </c>
      <c r="B351">
        <v>0</v>
      </c>
      <c r="C351">
        <v>440</v>
      </c>
    </row>
    <row r="352" spans="1:3" x14ac:dyDescent="0.25">
      <c r="A352">
        <v>19</v>
      </c>
      <c r="B352">
        <v>0</v>
      </c>
      <c r="C352">
        <v>682</v>
      </c>
    </row>
    <row r="353" spans="1:3" x14ac:dyDescent="0.25">
      <c r="A353">
        <v>17</v>
      </c>
      <c r="B353">
        <v>0</v>
      </c>
      <c r="C353">
        <v>682</v>
      </c>
    </row>
    <row r="354" spans="1:3" x14ac:dyDescent="0.25">
      <c r="A354">
        <v>13</v>
      </c>
      <c r="B354">
        <v>0</v>
      </c>
      <c r="C354">
        <v>682</v>
      </c>
    </row>
    <row r="355" spans="1:3" x14ac:dyDescent="0.25">
      <c r="A355">
        <v>16</v>
      </c>
      <c r="B355">
        <v>0</v>
      </c>
      <c r="C355">
        <v>682</v>
      </c>
    </row>
    <row r="356" spans="1:3" x14ac:dyDescent="0.25">
      <c r="A356">
        <v>13</v>
      </c>
      <c r="B356">
        <v>0</v>
      </c>
      <c r="C356">
        <v>682</v>
      </c>
    </row>
    <row r="357" spans="1:3" x14ac:dyDescent="0.25">
      <c r="A357">
        <v>12</v>
      </c>
      <c r="B357">
        <v>0</v>
      </c>
      <c r="C357">
        <v>682</v>
      </c>
    </row>
    <row r="358" spans="1:3" x14ac:dyDescent="0.25">
      <c r="A358">
        <v>13</v>
      </c>
      <c r="B358">
        <v>0</v>
      </c>
      <c r="C358">
        <v>331</v>
      </c>
    </row>
    <row r="359" spans="1:3" x14ac:dyDescent="0.25">
      <c r="A359">
        <v>14</v>
      </c>
      <c r="B359">
        <v>0</v>
      </c>
      <c r="C359">
        <v>331</v>
      </c>
    </row>
    <row r="360" spans="1:3" x14ac:dyDescent="0.25">
      <c r="A360">
        <v>12</v>
      </c>
      <c r="B360">
        <v>0</v>
      </c>
      <c r="C360">
        <v>331</v>
      </c>
    </row>
    <row r="361" spans="1:3" x14ac:dyDescent="0.25">
      <c r="A361">
        <v>18</v>
      </c>
      <c r="B361">
        <v>0</v>
      </c>
      <c r="C361">
        <v>331</v>
      </c>
    </row>
    <row r="362" spans="1:3" x14ac:dyDescent="0.25">
      <c r="A362">
        <v>12</v>
      </c>
      <c r="B362">
        <v>0</v>
      </c>
      <c r="C362">
        <v>331</v>
      </c>
    </row>
    <row r="363" spans="1:3" x14ac:dyDescent="0.25">
      <c r="A363">
        <v>11</v>
      </c>
      <c r="B363">
        <v>0</v>
      </c>
      <c r="C363">
        <v>331</v>
      </c>
    </row>
    <row r="364" spans="1:3" x14ac:dyDescent="0.25">
      <c r="A364">
        <v>28</v>
      </c>
      <c r="B364">
        <v>0</v>
      </c>
      <c r="C364">
        <v>306</v>
      </c>
    </row>
    <row r="365" spans="1:3" x14ac:dyDescent="0.25">
      <c r="A365">
        <v>13</v>
      </c>
      <c r="B365">
        <v>0</v>
      </c>
      <c r="C365">
        <v>306</v>
      </c>
    </row>
    <row r="366" spans="1:3" x14ac:dyDescent="0.25">
      <c r="A366">
        <v>16</v>
      </c>
      <c r="B366">
        <v>0</v>
      </c>
      <c r="C366">
        <v>306</v>
      </c>
    </row>
    <row r="367" spans="1:3" x14ac:dyDescent="0.25">
      <c r="A367">
        <v>13</v>
      </c>
      <c r="B367">
        <v>0</v>
      </c>
      <c r="C367">
        <v>306</v>
      </c>
    </row>
    <row r="368" spans="1:3" x14ac:dyDescent="0.25">
      <c r="A368">
        <v>12</v>
      </c>
      <c r="B368">
        <v>0</v>
      </c>
      <c r="C368">
        <v>306</v>
      </c>
    </row>
    <row r="369" spans="1:3" x14ac:dyDescent="0.25">
      <c r="A369">
        <v>33</v>
      </c>
      <c r="B369">
        <v>0</v>
      </c>
      <c r="C369">
        <v>324</v>
      </c>
    </row>
    <row r="370" spans="1:3" x14ac:dyDescent="0.25">
      <c r="A370">
        <v>12</v>
      </c>
      <c r="B370">
        <v>0</v>
      </c>
      <c r="C370">
        <v>324</v>
      </c>
    </row>
    <row r="371" spans="1:3" x14ac:dyDescent="0.25">
      <c r="A371">
        <v>16</v>
      </c>
      <c r="B371">
        <v>0</v>
      </c>
      <c r="C371">
        <v>324</v>
      </c>
    </row>
    <row r="372" spans="1:3" x14ac:dyDescent="0.25">
      <c r="A372">
        <v>14</v>
      </c>
      <c r="B372">
        <v>0</v>
      </c>
      <c r="C372">
        <v>324</v>
      </c>
    </row>
    <row r="373" spans="1:3" x14ac:dyDescent="0.25">
      <c r="A373">
        <v>13</v>
      </c>
      <c r="B373">
        <v>0</v>
      </c>
      <c r="C373">
        <v>324</v>
      </c>
    </row>
    <row r="374" spans="1:3" x14ac:dyDescent="0.25">
      <c r="A374">
        <v>13</v>
      </c>
      <c r="B374">
        <v>0</v>
      </c>
      <c r="C374">
        <v>324</v>
      </c>
    </row>
    <row r="375" spans="1:3" x14ac:dyDescent="0.25">
      <c r="A375">
        <v>38</v>
      </c>
      <c r="B375">
        <v>0</v>
      </c>
      <c r="C375">
        <v>358</v>
      </c>
    </row>
    <row r="376" spans="1:3" x14ac:dyDescent="0.25">
      <c r="A376">
        <v>13</v>
      </c>
      <c r="B376">
        <v>0</v>
      </c>
      <c r="C376">
        <v>358</v>
      </c>
    </row>
    <row r="377" spans="1:3" x14ac:dyDescent="0.25">
      <c r="A377">
        <v>14</v>
      </c>
      <c r="B377">
        <v>0</v>
      </c>
      <c r="C377">
        <v>358</v>
      </c>
    </row>
    <row r="378" spans="1:3" x14ac:dyDescent="0.25">
      <c r="A378">
        <v>11</v>
      </c>
      <c r="B378">
        <v>0</v>
      </c>
      <c r="C378">
        <v>358</v>
      </c>
    </row>
    <row r="379" spans="1:3" x14ac:dyDescent="0.25">
      <c r="A379">
        <v>17</v>
      </c>
      <c r="B379">
        <v>0</v>
      </c>
      <c r="C379">
        <v>358</v>
      </c>
    </row>
    <row r="380" spans="1:3" x14ac:dyDescent="0.25">
      <c r="A380">
        <v>19</v>
      </c>
      <c r="B380">
        <v>0</v>
      </c>
      <c r="C380">
        <v>358</v>
      </c>
    </row>
    <row r="381" spans="1:3" x14ac:dyDescent="0.25">
      <c r="A381">
        <v>18</v>
      </c>
      <c r="B381">
        <v>0</v>
      </c>
      <c r="C381">
        <v>388</v>
      </c>
    </row>
    <row r="382" spans="1:3" x14ac:dyDescent="0.25">
      <c r="A382">
        <v>12</v>
      </c>
      <c r="B382">
        <v>0</v>
      </c>
      <c r="C382">
        <v>388</v>
      </c>
    </row>
    <row r="383" spans="1:3" x14ac:dyDescent="0.25">
      <c r="A383">
        <v>12</v>
      </c>
      <c r="B383">
        <v>0</v>
      </c>
      <c r="C383">
        <v>388</v>
      </c>
    </row>
    <row r="384" spans="1:3" x14ac:dyDescent="0.25">
      <c r="A384">
        <v>12</v>
      </c>
      <c r="B384">
        <v>0</v>
      </c>
      <c r="C384">
        <v>388</v>
      </c>
    </row>
    <row r="385" spans="1:3" x14ac:dyDescent="0.25">
      <c r="A385">
        <v>15</v>
      </c>
      <c r="B385">
        <v>0</v>
      </c>
      <c r="C385">
        <v>388</v>
      </c>
    </row>
    <row r="386" spans="1:3" x14ac:dyDescent="0.25">
      <c r="A386">
        <v>20</v>
      </c>
      <c r="B386">
        <v>0</v>
      </c>
      <c r="C386">
        <v>364</v>
      </c>
    </row>
    <row r="387" spans="1:3" x14ac:dyDescent="0.25">
      <c r="A387">
        <v>14</v>
      </c>
      <c r="B387">
        <v>0</v>
      </c>
      <c r="C387">
        <v>364</v>
      </c>
    </row>
    <row r="388" spans="1:3" x14ac:dyDescent="0.25">
      <c r="A388">
        <v>12</v>
      </c>
      <c r="B388">
        <v>0</v>
      </c>
      <c r="C388">
        <v>364</v>
      </c>
    </row>
    <row r="389" spans="1:3" x14ac:dyDescent="0.25">
      <c r="A389">
        <v>14</v>
      </c>
      <c r="B389">
        <v>0</v>
      </c>
      <c r="C389">
        <v>364</v>
      </c>
    </row>
    <row r="390" spans="1:3" x14ac:dyDescent="0.25">
      <c r="A390">
        <v>16</v>
      </c>
      <c r="B390">
        <v>0</v>
      </c>
      <c r="C390">
        <v>364</v>
      </c>
    </row>
    <row r="391" spans="1:3" x14ac:dyDescent="0.25">
      <c r="A391">
        <v>15</v>
      </c>
      <c r="B391">
        <v>0</v>
      </c>
      <c r="C391">
        <v>364</v>
      </c>
    </row>
    <row r="392" spans="1:3" x14ac:dyDescent="0.25">
      <c r="A392">
        <v>11</v>
      </c>
      <c r="B392">
        <v>0</v>
      </c>
      <c r="C392">
        <v>273</v>
      </c>
    </row>
    <row r="393" spans="1:3" x14ac:dyDescent="0.25">
      <c r="A393">
        <v>12</v>
      </c>
      <c r="B393">
        <v>0</v>
      </c>
      <c r="C393">
        <v>273</v>
      </c>
    </row>
    <row r="394" spans="1:3" x14ac:dyDescent="0.25">
      <c r="A394">
        <v>12</v>
      </c>
      <c r="B394">
        <v>0</v>
      </c>
      <c r="C394">
        <v>273</v>
      </c>
    </row>
    <row r="395" spans="1:3" x14ac:dyDescent="0.25">
      <c r="A395">
        <v>16</v>
      </c>
      <c r="B395">
        <v>0</v>
      </c>
      <c r="C395">
        <v>273</v>
      </c>
    </row>
    <row r="396" spans="1:3" x14ac:dyDescent="0.25">
      <c r="A396">
        <v>12</v>
      </c>
      <c r="B396">
        <v>0</v>
      </c>
      <c r="C396">
        <v>273</v>
      </c>
    </row>
    <row r="397" spans="1:3" x14ac:dyDescent="0.25">
      <c r="A397">
        <v>12</v>
      </c>
      <c r="B397">
        <v>0</v>
      </c>
      <c r="C397">
        <v>294</v>
      </c>
    </row>
    <row r="398" spans="1:3" x14ac:dyDescent="0.25">
      <c r="A398">
        <v>31</v>
      </c>
      <c r="B398">
        <v>0</v>
      </c>
      <c r="C398">
        <v>294</v>
      </c>
    </row>
    <row r="399" spans="1:3" x14ac:dyDescent="0.25">
      <c r="A399">
        <v>12</v>
      </c>
      <c r="B399">
        <v>0</v>
      </c>
      <c r="C399">
        <v>294</v>
      </c>
    </row>
    <row r="400" spans="1:3" x14ac:dyDescent="0.25">
      <c r="A400">
        <v>16</v>
      </c>
      <c r="B400">
        <v>0</v>
      </c>
      <c r="C400">
        <v>294</v>
      </c>
    </row>
    <row r="401" spans="1:3" x14ac:dyDescent="0.25">
      <c r="A401">
        <v>15</v>
      </c>
      <c r="B401">
        <v>0</v>
      </c>
      <c r="C401">
        <v>294</v>
      </c>
    </row>
    <row r="402" spans="1:3" x14ac:dyDescent="0.25">
      <c r="A402">
        <v>11</v>
      </c>
      <c r="B402">
        <v>0</v>
      </c>
      <c r="C402">
        <v>294</v>
      </c>
    </row>
    <row r="403" spans="1:3" x14ac:dyDescent="0.25">
      <c r="A403">
        <v>12</v>
      </c>
      <c r="B403">
        <v>0</v>
      </c>
      <c r="C403">
        <v>281</v>
      </c>
    </row>
    <row r="404" spans="1:3" x14ac:dyDescent="0.25">
      <c r="A404">
        <v>18</v>
      </c>
      <c r="B404">
        <v>0</v>
      </c>
      <c r="C404">
        <v>281</v>
      </c>
    </row>
    <row r="405" spans="1:3" x14ac:dyDescent="0.25">
      <c r="A405">
        <v>12</v>
      </c>
      <c r="B405">
        <v>0</v>
      </c>
      <c r="C405">
        <v>281</v>
      </c>
    </row>
    <row r="406" spans="1:3" x14ac:dyDescent="0.25">
      <c r="A406">
        <v>16</v>
      </c>
      <c r="B406">
        <v>0</v>
      </c>
      <c r="C406">
        <v>281</v>
      </c>
    </row>
    <row r="407" spans="1:3" x14ac:dyDescent="0.25">
      <c r="A407">
        <v>11</v>
      </c>
      <c r="B407">
        <v>0</v>
      </c>
      <c r="C407">
        <v>281</v>
      </c>
    </row>
    <row r="408" spans="1:3" x14ac:dyDescent="0.25">
      <c r="A408">
        <v>38</v>
      </c>
      <c r="B408">
        <v>0</v>
      </c>
      <c r="C408">
        <v>344</v>
      </c>
    </row>
    <row r="409" spans="1:3" x14ac:dyDescent="0.25">
      <c r="A409">
        <v>12</v>
      </c>
      <c r="B409">
        <v>0</v>
      </c>
      <c r="C409">
        <v>344</v>
      </c>
    </row>
    <row r="410" spans="1:3" x14ac:dyDescent="0.25">
      <c r="A410">
        <v>16</v>
      </c>
      <c r="B410">
        <v>0</v>
      </c>
      <c r="C410">
        <v>344</v>
      </c>
    </row>
    <row r="411" spans="1:3" x14ac:dyDescent="0.25">
      <c r="A411">
        <v>15</v>
      </c>
      <c r="B411">
        <v>0</v>
      </c>
      <c r="C411">
        <v>344</v>
      </c>
    </row>
    <row r="412" spans="1:3" x14ac:dyDescent="0.25">
      <c r="A412">
        <v>12</v>
      </c>
      <c r="B412">
        <v>0</v>
      </c>
      <c r="C412">
        <v>344</v>
      </c>
    </row>
    <row r="413" spans="1:3" x14ac:dyDescent="0.25">
      <c r="A413">
        <v>12</v>
      </c>
      <c r="B413">
        <v>0</v>
      </c>
      <c r="C413">
        <v>344</v>
      </c>
    </row>
    <row r="414" spans="1:3" x14ac:dyDescent="0.25">
      <c r="A414">
        <v>13</v>
      </c>
      <c r="B414">
        <v>0</v>
      </c>
      <c r="C414">
        <v>323</v>
      </c>
    </row>
    <row r="415" spans="1:3" x14ac:dyDescent="0.25">
      <c r="A415">
        <v>35</v>
      </c>
      <c r="B415">
        <v>0</v>
      </c>
      <c r="C415">
        <v>323</v>
      </c>
    </row>
    <row r="416" spans="1:3" x14ac:dyDescent="0.25">
      <c r="A416">
        <v>12</v>
      </c>
      <c r="B416">
        <v>0</v>
      </c>
      <c r="C416">
        <v>323</v>
      </c>
    </row>
    <row r="417" spans="1:3" x14ac:dyDescent="0.25">
      <c r="A417">
        <v>13</v>
      </c>
      <c r="B417">
        <v>0</v>
      </c>
      <c r="C417">
        <v>323</v>
      </c>
    </row>
    <row r="418" spans="1:3" x14ac:dyDescent="0.25">
      <c r="A418">
        <v>12</v>
      </c>
      <c r="B418">
        <v>0</v>
      </c>
      <c r="C418">
        <v>323</v>
      </c>
    </row>
    <row r="419" spans="1:3" x14ac:dyDescent="0.25">
      <c r="A419">
        <v>12</v>
      </c>
      <c r="B419">
        <v>0</v>
      </c>
      <c r="C419">
        <v>304</v>
      </c>
    </row>
    <row r="420" spans="1:3" x14ac:dyDescent="0.25">
      <c r="A420">
        <v>15</v>
      </c>
      <c r="B420">
        <v>0</v>
      </c>
      <c r="C420">
        <v>304</v>
      </c>
    </row>
    <row r="421" spans="1:3" x14ac:dyDescent="0.25">
      <c r="A421">
        <v>12</v>
      </c>
      <c r="B421">
        <v>0</v>
      </c>
      <c r="C421">
        <v>304</v>
      </c>
    </row>
    <row r="422" spans="1:3" x14ac:dyDescent="0.25">
      <c r="A422">
        <v>12</v>
      </c>
      <c r="B422">
        <v>0</v>
      </c>
      <c r="C422">
        <v>304</v>
      </c>
    </row>
    <row r="423" spans="1:3" x14ac:dyDescent="0.25">
      <c r="A423">
        <v>12</v>
      </c>
      <c r="B423">
        <v>0</v>
      </c>
      <c r="C423">
        <v>304</v>
      </c>
    </row>
    <row r="424" spans="1:3" x14ac:dyDescent="0.25">
      <c r="A424">
        <v>11</v>
      </c>
      <c r="B424">
        <v>0</v>
      </c>
      <c r="C424">
        <v>304</v>
      </c>
    </row>
    <row r="425" spans="1:3" x14ac:dyDescent="0.25">
      <c r="A425">
        <v>14</v>
      </c>
      <c r="B425">
        <v>0</v>
      </c>
      <c r="C425">
        <v>300</v>
      </c>
    </row>
    <row r="426" spans="1:3" x14ac:dyDescent="0.25">
      <c r="A426">
        <v>12</v>
      </c>
      <c r="B426">
        <v>0</v>
      </c>
      <c r="C426">
        <v>300</v>
      </c>
    </row>
    <row r="427" spans="1:3" x14ac:dyDescent="0.25">
      <c r="A427">
        <v>12</v>
      </c>
      <c r="B427">
        <v>0</v>
      </c>
      <c r="C427">
        <v>300</v>
      </c>
    </row>
    <row r="428" spans="1:3" x14ac:dyDescent="0.25">
      <c r="A428">
        <v>11</v>
      </c>
      <c r="B428">
        <v>0</v>
      </c>
      <c r="C428">
        <v>300</v>
      </c>
    </row>
    <row r="429" spans="1:3" x14ac:dyDescent="0.25">
      <c r="A429">
        <v>12</v>
      </c>
      <c r="B429">
        <v>0</v>
      </c>
      <c r="C429">
        <v>300</v>
      </c>
    </row>
    <row r="430" spans="1:3" x14ac:dyDescent="0.25">
      <c r="A430">
        <v>18</v>
      </c>
      <c r="B430">
        <v>0</v>
      </c>
      <c r="C430">
        <v>327</v>
      </c>
    </row>
    <row r="431" spans="1:3" x14ac:dyDescent="0.25">
      <c r="A431">
        <v>13</v>
      </c>
      <c r="B431">
        <v>0</v>
      </c>
      <c r="C431">
        <v>327</v>
      </c>
    </row>
    <row r="432" spans="1:3" x14ac:dyDescent="0.25">
      <c r="A432">
        <v>13</v>
      </c>
      <c r="B432">
        <v>0</v>
      </c>
      <c r="C432">
        <v>327</v>
      </c>
    </row>
    <row r="433" spans="1:3" x14ac:dyDescent="0.25">
      <c r="A433">
        <v>12</v>
      </c>
      <c r="B433">
        <v>0</v>
      </c>
      <c r="C433">
        <v>327</v>
      </c>
    </row>
    <row r="434" spans="1:3" x14ac:dyDescent="0.25">
      <c r="A434">
        <v>12</v>
      </c>
      <c r="B434">
        <v>0</v>
      </c>
      <c r="C434">
        <v>327</v>
      </c>
    </row>
    <row r="435" spans="1:3" x14ac:dyDescent="0.25">
      <c r="A435">
        <v>16</v>
      </c>
      <c r="B435">
        <v>0</v>
      </c>
      <c r="C435">
        <v>327</v>
      </c>
    </row>
    <row r="436" spans="1:3" x14ac:dyDescent="0.25">
      <c r="A436">
        <v>14</v>
      </c>
      <c r="B436">
        <v>0</v>
      </c>
      <c r="C436">
        <v>277</v>
      </c>
    </row>
    <row r="437" spans="1:3" x14ac:dyDescent="0.25">
      <c r="A437">
        <v>14</v>
      </c>
      <c r="B437">
        <v>0</v>
      </c>
      <c r="C437">
        <v>277</v>
      </c>
    </row>
    <row r="438" spans="1:3" x14ac:dyDescent="0.25">
      <c r="A438">
        <v>11</v>
      </c>
      <c r="B438">
        <v>0</v>
      </c>
      <c r="C438">
        <v>277</v>
      </c>
    </row>
    <row r="439" spans="1:3" x14ac:dyDescent="0.25">
      <c r="A439">
        <v>24</v>
      </c>
      <c r="B439">
        <v>0</v>
      </c>
      <c r="C439">
        <v>277</v>
      </c>
    </row>
    <row r="440" spans="1:3" x14ac:dyDescent="0.25">
      <c r="A440">
        <v>18</v>
      </c>
      <c r="B440">
        <v>0</v>
      </c>
      <c r="C440">
        <v>277</v>
      </c>
    </row>
    <row r="441" spans="1:3" x14ac:dyDescent="0.25">
      <c r="A441">
        <v>15</v>
      </c>
      <c r="B441">
        <v>0</v>
      </c>
      <c r="C441">
        <v>371</v>
      </c>
    </row>
    <row r="442" spans="1:3" x14ac:dyDescent="0.25">
      <c r="A442">
        <v>12</v>
      </c>
      <c r="B442">
        <v>0</v>
      </c>
      <c r="C442">
        <v>371</v>
      </c>
    </row>
    <row r="443" spans="1:3" x14ac:dyDescent="0.25">
      <c r="A443">
        <v>12</v>
      </c>
      <c r="B443">
        <v>0</v>
      </c>
      <c r="C443">
        <v>371</v>
      </c>
    </row>
    <row r="444" spans="1:3" x14ac:dyDescent="0.25">
      <c r="A444">
        <v>13</v>
      </c>
      <c r="B444">
        <v>0</v>
      </c>
      <c r="C444">
        <v>371</v>
      </c>
    </row>
    <row r="445" spans="1:3" x14ac:dyDescent="0.25">
      <c r="A445">
        <v>19</v>
      </c>
      <c r="B445">
        <v>0</v>
      </c>
      <c r="C445">
        <v>371</v>
      </c>
    </row>
    <row r="446" spans="1:3" x14ac:dyDescent="0.25">
      <c r="A446">
        <v>13</v>
      </c>
      <c r="B446">
        <v>0</v>
      </c>
      <c r="C446">
        <v>300</v>
      </c>
    </row>
    <row r="447" spans="1:3" x14ac:dyDescent="0.25">
      <c r="A447">
        <v>15</v>
      </c>
      <c r="B447">
        <v>0</v>
      </c>
      <c r="C447">
        <v>300</v>
      </c>
    </row>
    <row r="448" spans="1:3" x14ac:dyDescent="0.25">
      <c r="A448">
        <v>12</v>
      </c>
      <c r="B448">
        <v>0</v>
      </c>
      <c r="C448">
        <v>300</v>
      </c>
    </row>
    <row r="449" spans="1:3" x14ac:dyDescent="0.25">
      <c r="A449">
        <v>12</v>
      </c>
      <c r="B449">
        <v>0</v>
      </c>
      <c r="C449">
        <v>300</v>
      </c>
    </row>
    <row r="450" spans="1:3" x14ac:dyDescent="0.25">
      <c r="A450">
        <v>17</v>
      </c>
      <c r="B450">
        <v>0</v>
      </c>
      <c r="C450">
        <v>300</v>
      </c>
    </row>
    <row r="451" spans="1:3" x14ac:dyDescent="0.25">
      <c r="A451">
        <v>13</v>
      </c>
      <c r="B451">
        <v>0</v>
      </c>
      <c r="C451">
        <v>300</v>
      </c>
    </row>
    <row r="452" spans="1:3" x14ac:dyDescent="0.25">
      <c r="A452">
        <v>11</v>
      </c>
      <c r="B452">
        <v>0</v>
      </c>
      <c r="C452">
        <v>318</v>
      </c>
    </row>
    <row r="453" spans="1:3" x14ac:dyDescent="0.25">
      <c r="A453">
        <v>36</v>
      </c>
      <c r="B453">
        <v>0</v>
      </c>
      <c r="C453">
        <v>318</v>
      </c>
    </row>
    <row r="454" spans="1:3" x14ac:dyDescent="0.25">
      <c r="A454">
        <v>13</v>
      </c>
      <c r="B454">
        <v>0</v>
      </c>
      <c r="C454">
        <v>318</v>
      </c>
    </row>
    <row r="455" spans="1:3" x14ac:dyDescent="0.25">
      <c r="A455">
        <v>14</v>
      </c>
      <c r="B455">
        <v>0</v>
      </c>
      <c r="C455">
        <v>318</v>
      </c>
    </row>
    <row r="456" spans="1:3" x14ac:dyDescent="0.25">
      <c r="A456">
        <v>12</v>
      </c>
      <c r="B456">
        <v>0</v>
      </c>
      <c r="C456">
        <v>318</v>
      </c>
    </row>
    <row r="457" spans="1:3" x14ac:dyDescent="0.25">
      <c r="A457">
        <v>11</v>
      </c>
      <c r="B457">
        <v>0</v>
      </c>
      <c r="C457">
        <v>363</v>
      </c>
    </row>
    <row r="458" spans="1:3" x14ac:dyDescent="0.25">
      <c r="A458">
        <v>17</v>
      </c>
      <c r="B458">
        <v>0</v>
      </c>
      <c r="C458">
        <v>363</v>
      </c>
    </row>
    <row r="459" spans="1:3" x14ac:dyDescent="0.25">
      <c r="A459">
        <v>12</v>
      </c>
      <c r="B459">
        <v>0</v>
      </c>
      <c r="C459">
        <v>363</v>
      </c>
    </row>
    <row r="460" spans="1:3" x14ac:dyDescent="0.25">
      <c r="A460">
        <v>16</v>
      </c>
      <c r="B460">
        <v>0</v>
      </c>
      <c r="C460">
        <v>363</v>
      </c>
    </row>
    <row r="461" spans="1:3" x14ac:dyDescent="0.25">
      <c r="A461">
        <v>12</v>
      </c>
      <c r="B461">
        <v>0</v>
      </c>
      <c r="C461">
        <v>363</v>
      </c>
    </row>
    <row r="462" spans="1:3" x14ac:dyDescent="0.25">
      <c r="A462">
        <v>11</v>
      </c>
      <c r="B462">
        <v>0</v>
      </c>
      <c r="C462">
        <v>363</v>
      </c>
    </row>
    <row r="463" spans="1:3" x14ac:dyDescent="0.25">
      <c r="A463">
        <v>13</v>
      </c>
      <c r="B463">
        <v>0</v>
      </c>
      <c r="C463">
        <v>300</v>
      </c>
    </row>
    <row r="464" spans="1:3" x14ac:dyDescent="0.25">
      <c r="A464">
        <v>12</v>
      </c>
      <c r="B464">
        <v>0</v>
      </c>
      <c r="C464">
        <v>300</v>
      </c>
    </row>
    <row r="465" spans="1:3" x14ac:dyDescent="0.25">
      <c r="A465">
        <v>15</v>
      </c>
      <c r="B465">
        <v>0</v>
      </c>
      <c r="C465">
        <v>300</v>
      </c>
    </row>
    <row r="466" spans="1:3" x14ac:dyDescent="0.25">
      <c r="A466">
        <v>13</v>
      </c>
      <c r="B466">
        <v>0</v>
      </c>
      <c r="C466">
        <v>300</v>
      </c>
    </row>
    <row r="467" spans="1:3" x14ac:dyDescent="0.25">
      <c r="A467">
        <v>11</v>
      </c>
      <c r="B467">
        <v>0</v>
      </c>
      <c r="C467">
        <v>300</v>
      </c>
    </row>
    <row r="468" spans="1:3" x14ac:dyDescent="0.25">
      <c r="A468">
        <v>31</v>
      </c>
      <c r="B468">
        <v>0</v>
      </c>
      <c r="C468">
        <v>311</v>
      </c>
    </row>
    <row r="469" spans="1:3" x14ac:dyDescent="0.25">
      <c r="A469">
        <v>12</v>
      </c>
      <c r="B469">
        <v>0</v>
      </c>
      <c r="C469">
        <v>311</v>
      </c>
    </row>
    <row r="470" spans="1:3" x14ac:dyDescent="0.25">
      <c r="A470">
        <v>14</v>
      </c>
      <c r="B470">
        <v>0</v>
      </c>
      <c r="C470">
        <v>311</v>
      </c>
    </row>
    <row r="471" spans="1:3" x14ac:dyDescent="0.25">
      <c r="A471">
        <v>14</v>
      </c>
      <c r="B471">
        <v>0</v>
      </c>
      <c r="C471">
        <v>311</v>
      </c>
    </row>
    <row r="472" spans="1:3" x14ac:dyDescent="0.25">
      <c r="A472">
        <v>13</v>
      </c>
      <c r="B472">
        <v>0</v>
      </c>
      <c r="C472">
        <v>311</v>
      </c>
    </row>
    <row r="473" spans="1:3" x14ac:dyDescent="0.25">
      <c r="A473">
        <v>15</v>
      </c>
      <c r="B473">
        <v>0</v>
      </c>
      <c r="C473">
        <v>311</v>
      </c>
    </row>
    <row r="474" spans="1:3" x14ac:dyDescent="0.25">
      <c r="A474">
        <v>32</v>
      </c>
      <c r="B474">
        <v>0</v>
      </c>
      <c r="C474">
        <v>354</v>
      </c>
    </row>
    <row r="475" spans="1:3" x14ac:dyDescent="0.25">
      <c r="A475">
        <v>15</v>
      </c>
      <c r="B475">
        <v>0</v>
      </c>
      <c r="C475">
        <v>354</v>
      </c>
    </row>
    <row r="476" spans="1:3" x14ac:dyDescent="0.25">
      <c r="A476">
        <v>12</v>
      </c>
      <c r="B476">
        <v>0</v>
      </c>
      <c r="C476">
        <v>354</v>
      </c>
    </row>
    <row r="477" spans="1:3" x14ac:dyDescent="0.25">
      <c r="A477">
        <v>11</v>
      </c>
      <c r="B477">
        <v>0</v>
      </c>
      <c r="C477">
        <v>354</v>
      </c>
    </row>
    <row r="478" spans="1:3" x14ac:dyDescent="0.25">
      <c r="A478">
        <v>12</v>
      </c>
      <c r="B478">
        <v>0</v>
      </c>
      <c r="C478">
        <v>354</v>
      </c>
    </row>
    <row r="479" spans="1:3" x14ac:dyDescent="0.25">
      <c r="A479">
        <v>37</v>
      </c>
      <c r="B479">
        <v>0</v>
      </c>
      <c r="C479">
        <v>330</v>
      </c>
    </row>
    <row r="480" spans="1:3" x14ac:dyDescent="0.25">
      <c r="A480">
        <v>15</v>
      </c>
      <c r="B480">
        <v>0</v>
      </c>
      <c r="C480">
        <v>330</v>
      </c>
    </row>
    <row r="481" spans="1:3" x14ac:dyDescent="0.25">
      <c r="A481">
        <v>13</v>
      </c>
      <c r="B481">
        <v>0</v>
      </c>
      <c r="C481">
        <v>330</v>
      </c>
    </row>
    <row r="482" spans="1:3" x14ac:dyDescent="0.25">
      <c r="A482">
        <v>30</v>
      </c>
      <c r="B482">
        <v>0</v>
      </c>
      <c r="C482">
        <v>330</v>
      </c>
    </row>
    <row r="483" spans="1:3" x14ac:dyDescent="0.25">
      <c r="A483">
        <v>13</v>
      </c>
      <c r="B483">
        <v>0</v>
      </c>
      <c r="C483">
        <v>330</v>
      </c>
    </row>
    <row r="484" spans="1:3" x14ac:dyDescent="0.25">
      <c r="A484">
        <v>13</v>
      </c>
      <c r="B484">
        <v>0</v>
      </c>
      <c r="C484">
        <v>330</v>
      </c>
    </row>
    <row r="485" spans="1:3" x14ac:dyDescent="0.25">
      <c r="A485">
        <v>19</v>
      </c>
      <c r="B485">
        <v>0</v>
      </c>
      <c r="C485">
        <v>384</v>
      </c>
    </row>
    <row r="486" spans="1:3" x14ac:dyDescent="0.25">
      <c r="A486">
        <v>14</v>
      </c>
      <c r="B486">
        <v>0</v>
      </c>
      <c r="C486">
        <v>384</v>
      </c>
    </row>
    <row r="487" spans="1:3" x14ac:dyDescent="0.25">
      <c r="A487">
        <v>12</v>
      </c>
      <c r="B487">
        <v>0</v>
      </c>
      <c r="C487">
        <v>384</v>
      </c>
    </row>
    <row r="488" spans="1:3" x14ac:dyDescent="0.25">
      <c r="A488">
        <v>13</v>
      </c>
      <c r="B488">
        <v>0</v>
      </c>
      <c r="C488">
        <v>384</v>
      </c>
    </row>
    <row r="489" spans="1:3" x14ac:dyDescent="0.25">
      <c r="A489">
        <v>12</v>
      </c>
      <c r="B489">
        <v>0</v>
      </c>
      <c r="C489">
        <v>384</v>
      </c>
    </row>
    <row r="490" spans="1:3" x14ac:dyDescent="0.25">
      <c r="A490">
        <v>14</v>
      </c>
      <c r="B490">
        <v>0</v>
      </c>
      <c r="C490">
        <v>384</v>
      </c>
    </row>
    <row r="491" spans="1:3" x14ac:dyDescent="0.25">
      <c r="A491">
        <v>15</v>
      </c>
      <c r="B491">
        <v>0</v>
      </c>
      <c r="C491">
        <v>316</v>
      </c>
    </row>
    <row r="492" spans="1:3" x14ac:dyDescent="0.25">
      <c r="A492">
        <v>13</v>
      </c>
      <c r="B492">
        <v>0</v>
      </c>
      <c r="C492">
        <v>316</v>
      </c>
    </row>
    <row r="493" spans="1:3" x14ac:dyDescent="0.25">
      <c r="A493">
        <v>12</v>
      </c>
      <c r="B493">
        <v>0</v>
      </c>
      <c r="C493">
        <v>316</v>
      </c>
    </row>
    <row r="494" spans="1:3" x14ac:dyDescent="0.25">
      <c r="A494">
        <v>13</v>
      </c>
      <c r="B494">
        <v>0</v>
      </c>
      <c r="C494">
        <v>316</v>
      </c>
    </row>
    <row r="495" spans="1:3" x14ac:dyDescent="0.25">
      <c r="A495">
        <v>15</v>
      </c>
      <c r="B495">
        <v>0</v>
      </c>
      <c r="C495">
        <v>316</v>
      </c>
    </row>
    <row r="496" spans="1:3" x14ac:dyDescent="0.25">
      <c r="A496">
        <v>12</v>
      </c>
      <c r="B496">
        <v>0</v>
      </c>
      <c r="C496">
        <v>316</v>
      </c>
    </row>
    <row r="497" spans="1:3" x14ac:dyDescent="0.25">
      <c r="A497">
        <v>32</v>
      </c>
      <c r="B497">
        <v>0</v>
      </c>
      <c r="C497">
        <v>341</v>
      </c>
    </row>
    <row r="498" spans="1:3" x14ac:dyDescent="0.25">
      <c r="A498">
        <v>11</v>
      </c>
      <c r="B498">
        <v>0</v>
      </c>
      <c r="C498">
        <v>341</v>
      </c>
    </row>
    <row r="499" spans="1:3" x14ac:dyDescent="0.25">
      <c r="A499">
        <v>12</v>
      </c>
      <c r="B499">
        <v>0</v>
      </c>
      <c r="C499">
        <v>341</v>
      </c>
    </row>
    <row r="500" spans="1:3" x14ac:dyDescent="0.25">
      <c r="A500">
        <v>14</v>
      </c>
      <c r="B500">
        <v>0</v>
      </c>
      <c r="C500">
        <v>341</v>
      </c>
    </row>
    <row r="501" spans="1:3" x14ac:dyDescent="0.25">
      <c r="A501">
        <v>12</v>
      </c>
      <c r="B501">
        <v>0</v>
      </c>
      <c r="C501">
        <v>341</v>
      </c>
    </row>
    <row r="502" spans="1:3" x14ac:dyDescent="0.25">
      <c r="A502">
        <v>15</v>
      </c>
      <c r="B502">
        <v>0</v>
      </c>
      <c r="C502">
        <v>341</v>
      </c>
    </row>
    <row r="503" spans="1:3" x14ac:dyDescent="0.25">
      <c r="A503">
        <v>12</v>
      </c>
      <c r="B503">
        <v>0</v>
      </c>
      <c r="C503">
        <v>280</v>
      </c>
    </row>
    <row r="504" spans="1:3" x14ac:dyDescent="0.25">
      <c r="A504">
        <v>14</v>
      </c>
      <c r="B504">
        <v>0</v>
      </c>
      <c r="C504">
        <v>280</v>
      </c>
    </row>
    <row r="505" spans="1:3" x14ac:dyDescent="0.25">
      <c r="A505">
        <v>14</v>
      </c>
      <c r="B505">
        <v>0</v>
      </c>
      <c r="C505">
        <v>280</v>
      </c>
    </row>
    <row r="506" spans="1:3" x14ac:dyDescent="0.25">
      <c r="A506">
        <v>13</v>
      </c>
      <c r="B506">
        <v>0</v>
      </c>
      <c r="C506">
        <v>280</v>
      </c>
    </row>
    <row r="507" spans="1:3" x14ac:dyDescent="0.25">
      <c r="A507">
        <v>12</v>
      </c>
      <c r="B507">
        <v>0</v>
      </c>
      <c r="C507">
        <v>280</v>
      </c>
    </row>
    <row r="508" spans="1:3" x14ac:dyDescent="0.25">
      <c r="A508">
        <v>38</v>
      </c>
      <c r="B508">
        <v>0</v>
      </c>
      <c r="C508">
        <v>360</v>
      </c>
    </row>
    <row r="509" spans="1:3" x14ac:dyDescent="0.25">
      <c r="A509">
        <v>11</v>
      </c>
      <c r="B509">
        <v>0</v>
      </c>
      <c r="C509">
        <v>360</v>
      </c>
    </row>
    <row r="510" spans="1:3" x14ac:dyDescent="0.25">
      <c r="A510">
        <v>17</v>
      </c>
      <c r="B510">
        <v>0</v>
      </c>
      <c r="C510">
        <v>360</v>
      </c>
    </row>
    <row r="511" spans="1:3" x14ac:dyDescent="0.25">
      <c r="A511">
        <v>11</v>
      </c>
      <c r="B511">
        <v>0</v>
      </c>
      <c r="C511">
        <v>360</v>
      </c>
    </row>
    <row r="512" spans="1:3" x14ac:dyDescent="0.25">
      <c r="A512">
        <v>11</v>
      </c>
      <c r="B512">
        <v>0</v>
      </c>
      <c r="C512">
        <v>360</v>
      </c>
    </row>
    <row r="513" spans="1:3" x14ac:dyDescent="0.25">
      <c r="A513">
        <v>12</v>
      </c>
      <c r="B513">
        <v>0</v>
      </c>
      <c r="C513">
        <v>360</v>
      </c>
    </row>
    <row r="514" spans="1:3" x14ac:dyDescent="0.25">
      <c r="A514">
        <v>47</v>
      </c>
      <c r="B514">
        <v>0</v>
      </c>
      <c r="C514">
        <v>342</v>
      </c>
    </row>
    <row r="515" spans="1:3" x14ac:dyDescent="0.25">
      <c r="A515">
        <v>13</v>
      </c>
      <c r="B515">
        <v>0</v>
      </c>
      <c r="C515">
        <v>342</v>
      </c>
    </row>
    <row r="516" spans="1:3" x14ac:dyDescent="0.25">
      <c r="A516">
        <v>12</v>
      </c>
      <c r="B516">
        <v>0</v>
      </c>
      <c r="C516">
        <v>342</v>
      </c>
    </row>
    <row r="517" spans="1:3" x14ac:dyDescent="0.25">
      <c r="A517">
        <v>13</v>
      </c>
      <c r="B517">
        <v>0</v>
      </c>
      <c r="C517">
        <v>342</v>
      </c>
    </row>
    <row r="518" spans="1:3" x14ac:dyDescent="0.25">
      <c r="A518">
        <v>12</v>
      </c>
      <c r="B518">
        <v>0</v>
      </c>
      <c r="C518">
        <v>342</v>
      </c>
    </row>
    <row r="519" spans="1:3" x14ac:dyDescent="0.25">
      <c r="A519">
        <v>13</v>
      </c>
      <c r="B519">
        <v>0</v>
      </c>
      <c r="C519">
        <v>342</v>
      </c>
    </row>
    <row r="520" spans="1:3" x14ac:dyDescent="0.25">
      <c r="A520">
        <v>16</v>
      </c>
      <c r="B520">
        <v>0</v>
      </c>
      <c r="C520">
        <v>344</v>
      </c>
    </row>
    <row r="521" spans="1:3" x14ac:dyDescent="0.25">
      <c r="A521">
        <v>13</v>
      </c>
      <c r="B521">
        <v>0</v>
      </c>
      <c r="C521">
        <v>344</v>
      </c>
    </row>
    <row r="522" spans="1:3" x14ac:dyDescent="0.25">
      <c r="A522">
        <v>12</v>
      </c>
      <c r="B522">
        <v>0</v>
      </c>
      <c r="C522">
        <v>344</v>
      </c>
    </row>
    <row r="523" spans="1:3" x14ac:dyDescent="0.25">
      <c r="A523">
        <v>11</v>
      </c>
      <c r="B523">
        <v>0</v>
      </c>
      <c r="C523">
        <v>344</v>
      </c>
    </row>
    <row r="524" spans="1:3" x14ac:dyDescent="0.25">
      <c r="A524">
        <v>11</v>
      </c>
      <c r="B524">
        <v>0</v>
      </c>
      <c r="C524">
        <v>344</v>
      </c>
    </row>
    <row r="525" spans="1:3" x14ac:dyDescent="0.25">
      <c r="A525">
        <v>15</v>
      </c>
      <c r="B525">
        <v>0</v>
      </c>
      <c r="C525">
        <v>308</v>
      </c>
    </row>
    <row r="526" spans="1:3" x14ac:dyDescent="0.25">
      <c r="A526">
        <v>12</v>
      </c>
      <c r="B526">
        <v>0</v>
      </c>
      <c r="C526">
        <v>308</v>
      </c>
    </row>
    <row r="527" spans="1:3" x14ac:dyDescent="0.25">
      <c r="A527">
        <v>11</v>
      </c>
      <c r="B527">
        <v>0</v>
      </c>
      <c r="C527">
        <v>308</v>
      </c>
    </row>
    <row r="528" spans="1:3" x14ac:dyDescent="0.25">
      <c r="A528">
        <v>11</v>
      </c>
      <c r="B528">
        <v>0</v>
      </c>
      <c r="C528">
        <v>308</v>
      </c>
    </row>
    <row r="529" spans="1:3" x14ac:dyDescent="0.25">
      <c r="A529">
        <v>13</v>
      </c>
      <c r="B529">
        <v>0</v>
      </c>
      <c r="C529">
        <v>308</v>
      </c>
    </row>
    <row r="530" spans="1:3" x14ac:dyDescent="0.25">
      <c r="A530">
        <v>15</v>
      </c>
      <c r="B530">
        <v>0</v>
      </c>
      <c r="C530">
        <v>308</v>
      </c>
    </row>
    <row r="531" spans="1:3" x14ac:dyDescent="0.25">
      <c r="A531">
        <v>12</v>
      </c>
      <c r="B531">
        <v>0</v>
      </c>
      <c r="C531">
        <v>270</v>
      </c>
    </row>
    <row r="532" spans="1:3" x14ac:dyDescent="0.25">
      <c r="A532">
        <v>12</v>
      </c>
      <c r="B532">
        <v>0</v>
      </c>
      <c r="C532">
        <v>270</v>
      </c>
    </row>
    <row r="533" spans="1:3" x14ac:dyDescent="0.25">
      <c r="A533">
        <v>13</v>
      </c>
      <c r="B533">
        <v>0</v>
      </c>
      <c r="C533">
        <v>270</v>
      </c>
    </row>
    <row r="534" spans="1:3" x14ac:dyDescent="0.25">
      <c r="A534">
        <v>33</v>
      </c>
      <c r="B534">
        <v>0</v>
      </c>
      <c r="C534">
        <v>270</v>
      </c>
    </row>
    <row r="535" spans="1:3" x14ac:dyDescent="0.25">
      <c r="A535">
        <v>20</v>
      </c>
      <c r="B535">
        <v>0</v>
      </c>
      <c r="C535">
        <v>270</v>
      </c>
    </row>
    <row r="536" spans="1:3" x14ac:dyDescent="0.25">
      <c r="A536">
        <v>15</v>
      </c>
      <c r="B536">
        <v>0</v>
      </c>
      <c r="C536">
        <v>342</v>
      </c>
    </row>
    <row r="537" spans="1:3" x14ac:dyDescent="0.25">
      <c r="A537">
        <v>12</v>
      </c>
      <c r="B537">
        <v>0</v>
      </c>
      <c r="C537">
        <v>342</v>
      </c>
    </row>
    <row r="538" spans="1:3" x14ac:dyDescent="0.25">
      <c r="A538">
        <v>16</v>
      </c>
      <c r="B538">
        <v>0</v>
      </c>
      <c r="C538">
        <v>342</v>
      </c>
    </row>
    <row r="539" spans="1:3" x14ac:dyDescent="0.25">
      <c r="A539">
        <v>27</v>
      </c>
      <c r="B539">
        <v>0</v>
      </c>
      <c r="C539">
        <v>342</v>
      </c>
    </row>
    <row r="540" spans="1:3" x14ac:dyDescent="0.25">
      <c r="A540">
        <v>15</v>
      </c>
      <c r="B540">
        <v>0</v>
      </c>
      <c r="C540">
        <v>342</v>
      </c>
    </row>
    <row r="541" spans="1:3" x14ac:dyDescent="0.25">
      <c r="A541">
        <v>15</v>
      </c>
      <c r="B541">
        <v>0</v>
      </c>
      <c r="C541">
        <v>342</v>
      </c>
    </row>
    <row r="542" spans="1:3" x14ac:dyDescent="0.25">
      <c r="A542">
        <v>11</v>
      </c>
      <c r="B542">
        <v>0</v>
      </c>
      <c r="C542">
        <v>292</v>
      </c>
    </row>
    <row r="543" spans="1:3" x14ac:dyDescent="0.25">
      <c r="A543">
        <v>30</v>
      </c>
      <c r="B543">
        <v>0</v>
      </c>
      <c r="C543">
        <v>292</v>
      </c>
    </row>
    <row r="544" spans="1:3" x14ac:dyDescent="0.25">
      <c r="A544">
        <v>12</v>
      </c>
      <c r="B544">
        <v>0</v>
      </c>
      <c r="C544">
        <v>292</v>
      </c>
    </row>
    <row r="545" spans="1:3" x14ac:dyDescent="0.25">
      <c r="A545">
        <v>16</v>
      </c>
      <c r="B545">
        <v>0</v>
      </c>
      <c r="C545">
        <v>292</v>
      </c>
    </row>
    <row r="546" spans="1:3" x14ac:dyDescent="0.25">
      <c r="A546">
        <v>12</v>
      </c>
      <c r="B546">
        <v>0</v>
      </c>
      <c r="C546">
        <v>292</v>
      </c>
    </row>
    <row r="547" spans="1:3" x14ac:dyDescent="0.25">
      <c r="A547">
        <v>15</v>
      </c>
      <c r="B547">
        <v>0</v>
      </c>
      <c r="C547">
        <v>335</v>
      </c>
    </row>
    <row r="548" spans="1:3" x14ac:dyDescent="0.25">
      <c r="A548">
        <v>15</v>
      </c>
      <c r="B548">
        <v>0</v>
      </c>
      <c r="C548">
        <v>335</v>
      </c>
    </row>
    <row r="549" spans="1:3" x14ac:dyDescent="0.25">
      <c r="A549">
        <v>18</v>
      </c>
      <c r="B549">
        <v>0</v>
      </c>
      <c r="C549">
        <v>335</v>
      </c>
    </row>
    <row r="550" spans="1:3" x14ac:dyDescent="0.25">
      <c r="A550">
        <v>17</v>
      </c>
      <c r="B550">
        <v>0</v>
      </c>
      <c r="C550">
        <v>335</v>
      </c>
    </row>
    <row r="551" spans="1:3" x14ac:dyDescent="0.25">
      <c r="A551">
        <v>11</v>
      </c>
      <c r="B551">
        <v>0</v>
      </c>
      <c r="C551">
        <v>335</v>
      </c>
    </row>
    <row r="552" spans="1:3" x14ac:dyDescent="0.25">
      <c r="A552">
        <v>12</v>
      </c>
      <c r="B552">
        <v>0</v>
      </c>
      <c r="C552">
        <v>335</v>
      </c>
    </row>
    <row r="553" spans="1:3" x14ac:dyDescent="0.25">
      <c r="A553">
        <v>12</v>
      </c>
      <c r="B553">
        <v>0</v>
      </c>
      <c r="C553">
        <v>363</v>
      </c>
    </row>
    <row r="554" spans="1:3" x14ac:dyDescent="0.25">
      <c r="A554">
        <v>11</v>
      </c>
      <c r="B554">
        <v>0</v>
      </c>
      <c r="C554">
        <v>363</v>
      </c>
    </row>
    <row r="555" spans="1:3" x14ac:dyDescent="0.25">
      <c r="A555">
        <v>13</v>
      </c>
      <c r="B555">
        <v>0</v>
      </c>
      <c r="C555">
        <v>363</v>
      </c>
    </row>
    <row r="556" spans="1:3" x14ac:dyDescent="0.25">
      <c r="A556">
        <v>12</v>
      </c>
      <c r="B556">
        <v>0</v>
      </c>
      <c r="C556">
        <v>363</v>
      </c>
    </row>
    <row r="557" spans="1:3" x14ac:dyDescent="0.25">
      <c r="A557">
        <v>11</v>
      </c>
      <c r="B557">
        <v>0</v>
      </c>
      <c r="C557">
        <v>363</v>
      </c>
    </row>
    <row r="558" spans="1:3" x14ac:dyDescent="0.25">
      <c r="A558">
        <v>12</v>
      </c>
      <c r="B558">
        <v>0</v>
      </c>
      <c r="C558">
        <v>363</v>
      </c>
    </row>
    <row r="559" spans="1:3" x14ac:dyDescent="0.25">
      <c r="A559">
        <v>18</v>
      </c>
      <c r="B559">
        <v>0</v>
      </c>
      <c r="C559">
        <v>293</v>
      </c>
    </row>
    <row r="560" spans="1:3" x14ac:dyDescent="0.25">
      <c r="A560">
        <v>14</v>
      </c>
      <c r="B560">
        <v>0</v>
      </c>
      <c r="C560">
        <v>293</v>
      </c>
    </row>
    <row r="561" spans="1:3" x14ac:dyDescent="0.25">
      <c r="A561">
        <v>13</v>
      </c>
      <c r="B561">
        <v>0</v>
      </c>
      <c r="C561">
        <v>293</v>
      </c>
    </row>
    <row r="562" spans="1:3" x14ac:dyDescent="0.25">
      <c r="A562">
        <v>25</v>
      </c>
      <c r="B562">
        <v>0</v>
      </c>
      <c r="C562">
        <v>293</v>
      </c>
    </row>
    <row r="563" spans="1:3" x14ac:dyDescent="0.25">
      <c r="A563">
        <v>13</v>
      </c>
      <c r="B563">
        <v>0</v>
      </c>
      <c r="C563">
        <v>293</v>
      </c>
    </row>
    <row r="564" spans="1:3" x14ac:dyDescent="0.25">
      <c r="A564">
        <v>12</v>
      </c>
      <c r="B564">
        <v>0</v>
      </c>
      <c r="C564">
        <v>293</v>
      </c>
    </row>
    <row r="565" spans="1:3" x14ac:dyDescent="0.25">
      <c r="A565">
        <v>13</v>
      </c>
      <c r="B565">
        <v>0</v>
      </c>
      <c r="C565">
        <v>319</v>
      </c>
    </row>
    <row r="566" spans="1:3" x14ac:dyDescent="0.25">
      <c r="A566">
        <v>11</v>
      </c>
      <c r="B566">
        <v>0</v>
      </c>
      <c r="C566">
        <v>319</v>
      </c>
    </row>
    <row r="567" spans="1:3" x14ac:dyDescent="0.25">
      <c r="A567">
        <v>12</v>
      </c>
      <c r="B567">
        <v>0</v>
      </c>
      <c r="C567">
        <v>319</v>
      </c>
    </row>
    <row r="568" spans="1:3" x14ac:dyDescent="0.25">
      <c r="A568">
        <v>28</v>
      </c>
      <c r="B568">
        <v>0</v>
      </c>
      <c r="C568">
        <v>319</v>
      </c>
    </row>
    <row r="569" spans="1:3" x14ac:dyDescent="0.25">
      <c r="A569">
        <v>18</v>
      </c>
      <c r="B569">
        <v>0</v>
      </c>
      <c r="C569">
        <v>319</v>
      </c>
    </row>
    <row r="570" spans="1:3" x14ac:dyDescent="0.25">
      <c r="A570">
        <v>13</v>
      </c>
      <c r="B570">
        <v>0</v>
      </c>
      <c r="C570">
        <v>319</v>
      </c>
    </row>
    <row r="571" spans="1:3" x14ac:dyDescent="0.25">
      <c r="A571">
        <v>11</v>
      </c>
      <c r="B571">
        <v>0</v>
      </c>
      <c r="C571">
        <v>287</v>
      </c>
    </row>
    <row r="572" spans="1:3" x14ac:dyDescent="0.25">
      <c r="A572">
        <v>26</v>
      </c>
      <c r="B572">
        <v>0</v>
      </c>
      <c r="C572">
        <v>287</v>
      </c>
    </row>
    <row r="573" spans="1:3" x14ac:dyDescent="0.25">
      <c r="A573">
        <v>11</v>
      </c>
      <c r="B573">
        <v>0</v>
      </c>
      <c r="C573">
        <v>287</v>
      </c>
    </row>
    <row r="574" spans="1:3" x14ac:dyDescent="0.25">
      <c r="A574">
        <v>14</v>
      </c>
      <c r="B574">
        <v>0</v>
      </c>
      <c r="C574">
        <v>287</v>
      </c>
    </row>
    <row r="575" spans="1:3" x14ac:dyDescent="0.25">
      <c r="A575">
        <v>15</v>
      </c>
      <c r="B575">
        <v>0</v>
      </c>
      <c r="C575">
        <v>287</v>
      </c>
    </row>
    <row r="576" spans="1:3" x14ac:dyDescent="0.25">
      <c r="A576">
        <v>12</v>
      </c>
      <c r="B576">
        <v>0</v>
      </c>
      <c r="C576">
        <v>287</v>
      </c>
    </row>
    <row r="577" spans="1:3" x14ac:dyDescent="0.25">
      <c r="A577">
        <v>11</v>
      </c>
      <c r="B577">
        <v>0</v>
      </c>
      <c r="C577">
        <v>330</v>
      </c>
    </row>
    <row r="578" spans="1:3" x14ac:dyDescent="0.25">
      <c r="A578">
        <v>12</v>
      </c>
      <c r="B578">
        <v>0</v>
      </c>
      <c r="C578">
        <v>330</v>
      </c>
    </row>
    <row r="579" spans="1:3" x14ac:dyDescent="0.25">
      <c r="A579">
        <v>16</v>
      </c>
      <c r="B579">
        <v>0</v>
      </c>
      <c r="C579">
        <v>330</v>
      </c>
    </row>
    <row r="580" spans="1:3" x14ac:dyDescent="0.25">
      <c r="A580">
        <v>15</v>
      </c>
      <c r="B580">
        <v>0</v>
      </c>
      <c r="C580">
        <v>330</v>
      </c>
    </row>
    <row r="581" spans="1:3" x14ac:dyDescent="0.25">
      <c r="A581">
        <v>12</v>
      </c>
      <c r="B581">
        <v>0</v>
      </c>
      <c r="C581">
        <v>330</v>
      </c>
    </row>
    <row r="582" spans="1:3" x14ac:dyDescent="0.25">
      <c r="A582">
        <v>13</v>
      </c>
      <c r="B582">
        <v>0</v>
      </c>
      <c r="C582">
        <v>253</v>
      </c>
    </row>
    <row r="583" spans="1:3" x14ac:dyDescent="0.25">
      <c r="A583">
        <v>15</v>
      </c>
      <c r="B583">
        <v>0</v>
      </c>
      <c r="C583">
        <v>253</v>
      </c>
    </row>
    <row r="584" spans="1:3" x14ac:dyDescent="0.25">
      <c r="A584">
        <v>13</v>
      </c>
      <c r="B584">
        <v>0</v>
      </c>
      <c r="C584">
        <v>253</v>
      </c>
    </row>
    <row r="585" spans="1:3" x14ac:dyDescent="0.25">
      <c r="A585">
        <v>16</v>
      </c>
      <c r="B585">
        <v>0</v>
      </c>
      <c r="C585">
        <v>253</v>
      </c>
    </row>
    <row r="586" spans="1:3" x14ac:dyDescent="0.25">
      <c r="A586">
        <v>12</v>
      </c>
      <c r="B586">
        <v>0</v>
      </c>
      <c r="C586">
        <v>253</v>
      </c>
    </row>
    <row r="587" spans="1:3" x14ac:dyDescent="0.25">
      <c r="A587">
        <v>37</v>
      </c>
      <c r="B587">
        <v>0</v>
      </c>
      <c r="C587">
        <v>316</v>
      </c>
    </row>
    <row r="588" spans="1:3" x14ac:dyDescent="0.25">
      <c r="A588">
        <v>11</v>
      </c>
      <c r="B588">
        <v>0</v>
      </c>
      <c r="C588">
        <v>316</v>
      </c>
    </row>
    <row r="589" spans="1:3" x14ac:dyDescent="0.25">
      <c r="A589">
        <v>13</v>
      </c>
      <c r="B589">
        <v>0</v>
      </c>
      <c r="C589">
        <v>316</v>
      </c>
    </row>
    <row r="590" spans="1:3" x14ac:dyDescent="0.25">
      <c r="A590">
        <v>16</v>
      </c>
      <c r="B590">
        <v>0</v>
      </c>
      <c r="C590">
        <v>316</v>
      </c>
    </row>
    <row r="591" spans="1:3" x14ac:dyDescent="0.25">
      <c r="A591">
        <v>12</v>
      </c>
      <c r="B591">
        <v>0</v>
      </c>
      <c r="C591">
        <v>316</v>
      </c>
    </row>
    <row r="592" spans="1:3" x14ac:dyDescent="0.25">
      <c r="A592">
        <v>28</v>
      </c>
      <c r="B592">
        <v>0</v>
      </c>
      <c r="C592">
        <v>316</v>
      </c>
    </row>
    <row r="593" spans="1:3" x14ac:dyDescent="0.25">
      <c r="A593">
        <v>12</v>
      </c>
      <c r="B593">
        <v>0</v>
      </c>
      <c r="C593">
        <v>345</v>
      </c>
    </row>
    <row r="594" spans="1:3" x14ac:dyDescent="0.25">
      <c r="A594">
        <v>14</v>
      </c>
      <c r="B594">
        <v>0</v>
      </c>
      <c r="C594">
        <v>345</v>
      </c>
    </row>
    <row r="595" spans="1:3" x14ac:dyDescent="0.25">
      <c r="A595">
        <v>16</v>
      </c>
      <c r="B595">
        <v>0</v>
      </c>
      <c r="C595">
        <v>345</v>
      </c>
    </row>
    <row r="596" spans="1:3" x14ac:dyDescent="0.25">
      <c r="A596">
        <v>12</v>
      </c>
      <c r="B596">
        <v>0</v>
      </c>
      <c r="C596">
        <v>345</v>
      </c>
    </row>
    <row r="597" spans="1:3" x14ac:dyDescent="0.25">
      <c r="A597">
        <v>32</v>
      </c>
      <c r="B597">
        <v>0</v>
      </c>
      <c r="C597">
        <v>345</v>
      </c>
    </row>
    <row r="598" spans="1:3" x14ac:dyDescent="0.25">
      <c r="A598">
        <v>11</v>
      </c>
      <c r="B598">
        <v>0</v>
      </c>
      <c r="C598">
        <v>325</v>
      </c>
    </row>
    <row r="599" spans="1:3" x14ac:dyDescent="0.25">
      <c r="A599">
        <v>15</v>
      </c>
      <c r="B599">
        <v>0</v>
      </c>
      <c r="C599">
        <v>325</v>
      </c>
    </row>
    <row r="600" spans="1:3" x14ac:dyDescent="0.25">
      <c r="A600">
        <v>15</v>
      </c>
      <c r="B600">
        <v>0</v>
      </c>
      <c r="C600">
        <v>325</v>
      </c>
    </row>
    <row r="601" spans="1:3" x14ac:dyDescent="0.25">
      <c r="A601">
        <v>16</v>
      </c>
      <c r="B601">
        <v>0</v>
      </c>
      <c r="C601">
        <v>325</v>
      </c>
    </row>
    <row r="602" spans="1:3" x14ac:dyDescent="0.25">
      <c r="A602">
        <v>12</v>
      </c>
      <c r="B602">
        <v>0</v>
      </c>
      <c r="C602">
        <v>325</v>
      </c>
    </row>
    <row r="603" spans="1:3" x14ac:dyDescent="0.25">
      <c r="A603">
        <v>15</v>
      </c>
      <c r="B603">
        <v>0</v>
      </c>
      <c r="C603">
        <v>319</v>
      </c>
    </row>
    <row r="604" spans="1:3" x14ac:dyDescent="0.25">
      <c r="A604">
        <v>13</v>
      </c>
      <c r="B604">
        <v>0</v>
      </c>
      <c r="C604">
        <v>319</v>
      </c>
    </row>
    <row r="605" spans="1:3" x14ac:dyDescent="0.25">
      <c r="A605">
        <v>13</v>
      </c>
      <c r="B605">
        <v>0</v>
      </c>
      <c r="C605">
        <v>319</v>
      </c>
    </row>
    <row r="606" spans="1:3" x14ac:dyDescent="0.25">
      <c r="A606">
        <v>13</v>
      </c>
      <c r="B606">
        <v>0</v>
      </c>
      <c r="C606">
        <v>319</v>
      </c>
    </row>
    <row r="607" spans="1:3" x14ac:dyDescent="0.25">
      <c r="A607">
        <v>12</v>
      </c>
      <c r="B607">
        <v>0</v>
      </c>
      <c r="C607">
        <v>319</v>
      </c>
    </row>
    <row r="608" spans="1:3" x14ac:dyDescent="0.25">
      <c r="A608">
        <v>12</v>
      </c>
      <c r="B608">
        <v>0</v>
      </c>
      <c r="C608">
        <v>319</v>
      </c>
    </row>
    <row r="609" spans="1:3" x14ac:dyDescent="0.25">
      <c r="A609">
        <v>13</v>
      </c>
      <c r="B609">
        <v>0</v>
      </c>
      <c r="C609">
        <v>343</v>
      </c>
    </row>
    <row r="610" spans="1:3" x14ac:dyDescent="0.25">
      <c r="A610">
        <v>16</v>
      </c>
      <c r="B610">
        <v>0</v>
      </c>
      <c r="C610">
        <v>343</v>
      </c>
    </row>
    <row r="611" spans="1:3" x14ac:dyDescent="0.25">
      <c r="A611">
        <v>11</v>
      </c>
      <c r="B611">
        <v>0</v>
      </c>
      <c r="C611">
        <v>343</v>
      </c>
    </row>
    <row r="612" spans="1:3" x14ac:dyDescent="0.25">
      <c r="A612">
        <v>28</v>
      </c>
      <c r="B612">
        <v>0</v>
      </c>
      <c r="C612">
        <v>343</v>
      </c>
    </row>
    <row r="613" spans="1:3" x14ac:dyDescent="0.25">
      <c r="A613">
        <v>11</v>
      </c>
      <c r="B613">
        <v>0</v>
      </c>
      <c r="C613">
        <v>343</v>
      </c>
    </row>
    <row r="614" spans="1:3" x14ac:dyDescent="0.25">
      <c r="A614">
        <v>11</v>
      </c>
      <c r="B614">
        <v>0</v>
      </c>
      <c r="C614">
        <v>343</v>
      </c>
    </row>
    <row r="615" spans="1:3" x14ac:dyDescent="0.25">
      <c r="A615">
        <v>16</v>
      </c>
      <c r="B615">
        <v>0</v>
      </c>
      <c r="C615">
        <v>301</v>
      </c>
    </row>
    <row r="616" spans="1:3" x14ac:dyDescent="0.25">
      <c r="A616">
        <v>11</v>
      </c>
      <c r="B616">
        <v>0</v>
      </c>
      <c r="C616">
        <v>301</v>
      </c>
    </row>
    <row r="617" spans="1:3" x14ac:dyDescent="0.25">
      <c r="A617">
        <v>10</v>
      </c>
      <c r="B617">
        <v>0</v>
      </c>
      <c r="C617">
        <v>301</v>
      </c>
    </row>
    <row r="618" spans="1:3" x14ac:dyDescent="0.25">
      <c r="A618">
        <v>32</v>
      </c>
      <c r="B618">
        <v>0</v>
      </c>
      <c r="C618">
        <v>301</v>
      </c>
    </row>
    <row r="619" spans="1:3" x14ac:dyDescent="0.25">
      <c r="A619">
        <v>15</v>
      </c>
      <c r="B619">
        <v>0</v>
      </c>
      <c r="C619">
        <v>301</v>
      </c>
    </row>
    <row r="620" spans="1:3" x14ac:dyDescent="0.25">
      <c r="A620">
        <v>14</v>
      </c>
      <c r="B620">
        <v>0</v>
      </c>
      <c r="C620">
        <v>404</v>
      </c>
    </row>
    <row r="621" spans="1:3" x14ac:dyDescent="0.25">
      <c r="A621">
        <v>11</v>
      </c>
      <c r="B621">
        <v>0</v>
      </c>
      <c r="C621">
        <v>404</v>
      </c>
    </row>
    <row r="622" spans="1:3" x14ac:dyDescent="0.25">
      <c r="A622">
        <v>12</v>
      </c>
      <c r="B622">
        <v>0</v>
      </c>
      <c r="C622">
        <v>404</v>
      </c>
    </row>
    <row r="623" spans="1:3" x14ac:dyDescent="0.25">
      <c r="A623">
        <v>37</v>
      </c>
      <c r="B623">
        <v>0</v>
      </c>
      <c r="C623">
        <v>404</v>
      </c>
    </row>
    <row r="624" spans="1:3" x14ac:dyDescent="0.25">
      <c r="A624">
        <v>12</v>
      </c>
      <c r="B624">
        <v>0</v>
      </c>
      <c r="C624">
        <v>404</v>
      </c>
    </row>
    <row r="625" spans="1:3" x14ac:dyDescent="0.25">
      <c r="A625">
        <v>16</v>
      </c>
      <c r="B625">
        <v>0</v>
      </c>
      <c r="C625">
        <v>404</v>
      </c>
    </row>
    <row r="626" spans="1:3" x14ac:dyDescent="0.25">
      <c r="A626">
        <v>12</v>
      </c>
      <c r="B626">
        <v>0</v>
      </c>
      <c r="C626">
        <v>264</v>
      </c>
    </row>
    <row r="627" spans="1:3" x14ac:dyDescent="0.25">
      <c r="A627">
        <v>12</v>
      </c>
      <c r="B627">
        <v>0</v>
      </c>
      <c r="C627">
        <v>264</v>
      </c>
    </row>
    <row r="628" spans="1:3" x14ac:dyDescent="0.25">
      <c r="A628">
        <v>12</v>
      </c>
      <c r="B628">
        <v>0</v>
      </c>
      <c r="C628">
        <v>264</v>
      </c>
    </row>
    <row r="629" spans="1:3" x14ac:dyDescent="0.25">
      <c r="A629">
        <v>12</v>
      </c>
      <c r="B629">
        <v>0</v>
      </c>
      <c r="C629">
        <v>264</v>
      </c>
    </row>
    <row r="630" spans="1:3" x14ac:dyDescent="0.25">
      <c r="A630">
        <v>15</v>
      </c>
      <c r="B630">
        <v>0</v>
      </c>
      <c r="C630">
        <v>264</v>
      </c>
    </row>
    <row r="631" spans="1:3" x14ac:dyDescent="0.25">
      <c r="A631">
        <v>10</v>
      </c>
      <c r="B631">
        <v>0</v>
      </c>
      <c r="C631">
        <v>315</v>
      </c>
    </row>
    <row r="632" spans="1:3" x14ac:dyDescent="0.25">
      <c r="A632">
        <v>11</v>
      </c>
      <c r="B632">
        <v>0</v>
      </c>
      <c r="C632">
        <v>315</v>
      </c>
    </row>
    <row r="633" spans="1:3" x14ac:dyDescent="0.25">
      <c r="A633">
        <v>11</v>
      </c>
      <c r="B633">
        <v>0</v>
      </c>
      <c r="C633">
        <v>315</v>
      </c>
    </row>
    <row r="634" spans="1:3" x14ac:dyDescent="0.25">
      <c r="A634">
        <v>12</v>
      </c>
      <c r="B634">
        <v>0</v>
      </c>
      <c r="C634">
        <v>315</v>
      </c>
    </row>
    <row r="635" spans="1:3" x14ac:dyDescent="0.25">
      <c r="A635">
        <v>14</v>
      </c>
      <c r="B635">
        <v>0</v>
      </c>
      <c r="C635">
        <v>315</v>
      </c>
    </row>
    <row r="636" spans="1:3" x14ac:dyDescent="0.25">
      <c r="A636">
        <v>12</v>
      </c>
      <c r="B636">
        <v>0</v>
      </c>
      <c r="C636">
        <v>279</v>
      </c>
    </row>
    <row r="637" spans="1:3" x14ac:dyDescent="0.25">
      <c r="A637">
        <v>28</v>
      </c>
      <c r="B637">
        <v>0</v>
      </c>
      <c r="C637">
        <v>279</v>
      </c>
    </row>
    <row r="638" spans="1:3" x14ac:dyDescent="0.25">
      <c r="A638">
        <v>15</v>
      </c>
      <c r="B638">
        <v>0</v>
      </c>
      <c r="C638">
        <v>279</v>
      </c>
    </row>
    <row r="639" spans="1:3" x14ac:dyDescent="0.25">
      <c r="A639">
        <v>20</v>
      </c>
      <c r="B639">
        <v>0</v>
      </c>
      <c r="C639">
        <v>279</v>
      </c>
    </row>
    <row r="640" spans="1:3" x14ac:dyDescent="0.25">
      <c r="A640">
        <v>16</v>
      </c>
      <c r="B640">
        <v>0</v>
      </c>
      <c r="C640">
        <v>279</v>
      </c>
    </row>
    <row r="641" spans="1:3" x14ac:dyDescent="0.25">
      <c r="A641">
        <v>11</v>
      </c>
      <c r="B641">
        <v>0</v>
      </c>
      <c r="C641">
        <v>279</v>
      </c>
    </row>
    <row r="642" spans="1:3" x14ac:dyDescent="0.25">
      <c r="A642">
        <v>11</v>
      </c>
      <c r="B642">
        <v>0</v>
      </c>
      <c r="C642">
        <v>290</v>
      </c>
    </row>
    <row r="643" spans="1:3" x14ac:dyDescent="0.25">
      <c r="A643">
        <v>35</v>
      </c>
      <c r="B643">
        <v>0</v>
      </c>
      <c r="C643">
        <v>290</v>
      </c>
    </row>
    <row r="644" spans="1:3" x14ac:dyDescent="0.25">
      <c r="A644">
        <v>12</v>
      </c>
      <c r="B644">
        <v>0</v>
      </c>
      <c r="C644">
        <v>290</v>
      </c>
    </row>
    <row r="645" spans="1:3" x14ac:dyDescent="0.25">
      <c r="A645">
        <v>14</v>
      </c>
      <c r="B645">
        <v>0</v>
      </c>
      <c r="C645">
        <v>290</v>
      </c>
    </row>
    <row r="646" spans="1:3" x14ac:dyDescent="0.25">
      <c r="A646">
        <v>15</v>
      </c>
      <c r="B646">
        <v>0</v>
      </c>
      <c r="C646">
        <v>290</v>
      </c>
    </row>
    <row r="647" spans="1:3" x14ac:dyDescent="0.25">
      <c r="A647">
        <v>12</v>
      </c>
      <c r="B647">
        <v>0</v>
      </c>
      <c r="C647">
        <v>292</v>
      </c>
    </row>
    <row r="648" spans="1:3" x14ac:dyDescent="0.25">
      <c r="A648">
        <v>11</v>
      </c>
      <c r="B648">
        <v>0</v>
      </c>
      <c r="C648">
        <v>292</v>
      </c>
    </row>
    <row r="649" spans="1:3" x14ac:dyDescent="0.25">
      <c r="A649">
        <v>15</v>
      </c>
      <c r="B649">
        <v>0</v>
      </c>
      <c r="C649">
        <v>292</v>
      </c>
    </row>
    <row r="650" spans="1:3" x14ac:dyDescent="0.25">
      <c r="A650">
        <v>14</v>
      </c>
      <c r="B650">
        <v>0</v>
      </c>
      <c r="C650">
        <v>292</v>
      </c>
    </row>
    <row r="651" spans="1:3" x14ac:dyDescent="0.25">
      <c r="A651">
        <v>12</v>
      </c>
      <c r="B651">
        <v>0</v>
      </c>
      <c r="C651">
        <v>292</v>
      </c>
    </row>
    <row r="652" spans="1:3" x14ac:dyDescent="0.25">
      <c r="A652">
        <v>33</v>
      </c>
      <c r="B652">
        <v>0</v>
      </c>
      <c r="C652">
        <v>363</v>
      </c>
    </row>
    <row r="653" spans="1:3" x14ac:dyDescent="0.25">
      <c r="A653">
        <v>12</v>
      </c>
      <c r="B653">
        <v>0</v>
      </c>
      <c r="C653">
        <v>363</v>
      </c>
    </row>
    <row r="654" spans="1:3" x14ac:dyDescent="0.25">
      <c r="A654">
        <v>15</v>
      </c>
      <c r="B654">
        <v>0</v>
      </c>
      <c r="C654">
        <v>363</v>
      </c>
    </row>
    <row r="655" spans="1:3" x14ac:dyDescent="0.25">
      <c r="A655">
        <v>14</v>
      </c>
      <c r="B655">
        <v>0</v>
      </c>
      <c r="C655">
        <v>363</v>
      </c>
    </row>
    <row r="656" spans="1:3" x14ac:dyDescent="0.25">
      <c r="A656">
        <v>12</v>
      </c>
      <c r="B656">
        <v>0</v>
      </c>
      <c r="C656">
        <v>363</v>
      </c>
    </row>
    <row r="657" spans="1:3" x14ac:dyDescent="0.25">
      <c r="A657">
        <v>11</v>
      </c>
      <c r="B657">
        <v>0</v>
      </c>
      <c r="C657">
        <v>363</v>
      </c>
    </row>
    <row r="658" spans="1:3" x14ac:dyDescent="0.25">
      <c r="A658">
        <v>29</v>
      </c>
      <c r="B658">
        <v>0</v>
      </c>
      <c r="C658">
        <v>290</v>
      </c>
    </row>
    <row r="659" spans="1:3" x14ac:dyDescent="0.25">
      <c r="A659">
        <v>16</v>
      </c>
      <c r="B659">
        <v>0</v>
      </c>
      <c r="C659">
        <v>290</v>
      </c>
    </row>
    <row r="660" spans="1:3" x14ac:dyDescent="0.25">
      <c r="A660">
        <v>20</v>
      </c>
      <c r="B660">
        <v>0</v>
      </c>
      <c r="C660">
        <v>290</v>
      </c>
    </row>
    <row r="661" spans="1:3" x14ac:dyDescent="0.25">
      <c r="A661">
        <v>12</v>
      </c>
      <c r="B661">
        <v>0</v>
      </c>
      <c r="C661">
        <v>290</v>
      </c>
    </row>
    <row r="662" spans="1:3" x14ac:dyDescent="0.25">
      <c r="A662">
        <v>12</v>
      </c>
      <c r="B662">
        <v>0</v>
      </c>
      <c r="C662">
        <v>290</v>
      </c>
    </row>
    <row r="663" spans="1:3" x14ac:dyDescent="0.25">
      <c r="A663">
        <v>13</v>
      </c>
      <c r="B663">
        <v>0</v>
      </c>
      <c r="C663">
        <v>290</v>
      </c>
    </row>
    <row r="664" spans="1:3" x14ac:dyDescent="0.25">
      <c r="A664">
        <v>11</v>
      </c>
      <c r="B664">
        <v>0</v>
      </c>
      <c r="C664">
        <v>359</v>
      </c>
    </row>
    <row r="665" spans="1:3" x14ac:dyDescent="0.25">
      <c r="A665">
        <v>12</v>
      </c>
      <c r="B665">
        <v>0</v>
      </c>
      <c r="C665">
        <v>359</v>
      </c>
    </row>
    <row r="666" spans="1:3" x14ac:dyDescent="0.25">
      <c r="A666">
        <v>12</v>
      </c>
      <c r="B666">
        <v>0</v>
      </c>
      <c r="C666">
        <v>359</v>
      </c>
    </row>
    <row r="667" spans="1:3" x14ac:dyDescent="0.25">
      <c r="A667">
        <v>38</v>
      </c>
      <c r="B667">
        <v>0</v>
      </c>
      <c r="C667">
        <v>359</v>
      </c>
    </row>
    <row r="668" spans="1:3" x14ac:dyDescent="0.25">
      <c r="A668">
        <v>14</v>
      </c>
      <c r="B668">
        <v>0</v>
      </c>
      <c r="C668">
        <v>359</v>
      </c>
    </row>
    <row r="669" spans="1:3" x14ac:dyDescent="0.25">
      <c r="A669">
        <v>17</v>
      </c>
      <c r="B669">
        <v>0</v>
      </c>
      <c r="C669">
        <v>323</v>
      </c>
    </row>
    <row r="670" spans="1:3" x14ac:dyDescent="0.25">
      <c r="A670">
        <v>13</v>
      </c>
      <c r="B670">
        <v>0</v>
      </c>
      <c r="C670">
        <v>323</v>
      </c>
    </row>
    <row r="671" spans="1:3" x14ac:dyDescent="0.25">
      <c r="A671">
        <v>14</v>
      </c>
      <c r="B671">
        <v>0</v>
      </c>
      <c r="C671">
        <v>323</v>
      </c>
    </row>
    <row r="672" spans="1:3" x14ac:dyDescent="0.25">
      <c r="A672">
        <v>14</v>
      </c>
      <c r="B672">
        <v>0</v>
      </c>
      <c r="C672">
        <v>323</v>
      </c>
    </row>
    <row r="673" spans="1:3" x14ac:dyDescent="0.25">
      <c r="A673">
        <v>13</v>
      </c>
      <c r="B673">
        <v>0</v>
      </c>
      <c r="C673">
        <v>323</v>
      </c>
    </row>
    <row r="674" spans="1:3" x14ac:dyDescent="0.25">
      <c r="A674">
        <v>18</v>
      </c>
      <c r="B674">
        <v>0</v>
      </c>
      <c r="C674">
        <v>323</v>
      </c>
    </row>
    <row r="675" spans="1:3" x14ac:dyDescent="0.25">
      <c r="A675">
        <v>12</v>
      </c>
      <c r="B675">
        <v>0</v>
      </c>
      <c r="C675">
        <v>279</v>
      </c>
    </row>
    <row r="676" spans="1:3" x14ac:dyDescent="0.25">
      <c r="A676">
        <v>15</v>
      </c>
      <c r="B676">
        <v>0</v>
      </c>
      <c r="C676">
        <v>279</v>
      </c>
    </row>
    <row r="677" spans="1:3" x14ac:dyDescent="0.25">
      <c r="A677">
        <v>12</v>
      </c>
      <c r="B677">
        <v>0</v>
      </c>
      <c r="C677">
        <v>279</v>
      </c>
    </row>
    <row r="678" spans="1:3" x14ac:dyDescent="0.25">
      <c r="A678">
        <v>33</v>
      </c>
      <c r="B678">
        <v>0</v>
      </c>
      <c r="C678">
        <v>279</v>
      </c>
    </row>
    <row r="679" spans="1:3" x14ac:dyDescent="0.25">
      <c r="A679">
        <v>16</v>
      </c>
      <c r="B679">
        <v>0</v>
      </c>
      <c r="C679">
        <v>279</v>
      </c>
    </row>
    <row r="680" spans="1:3" x14ac:dyDescent="0.25">
      <c r="A680">
        <v>13</v>
      </c>
      <c r="B680">
        <v>0</v>
      </c>
      <c r="C680">
        <v>279</v>
      </c>
    </row>
    <row r="681" spans="1:3" x14ac:dyDescent="0.25">
      <c r="A681">
        <v>29</v>
      </c>
      <c r="B681">
        <v>0</v>
      </c>
      <c r="C681">
        <v>296</v>
      </c>
    </row>
    <row r="682" spans="1:3" x14ac:dyDescent="0.25">
      <c r="A682">
        <v>12</v>
      </c>
      <c r="B682">
        <v>0</v>
      </c>
      <c r="C682">
        <v>296</v>
      </c>
    </row>
    <row r="683" spans="1:3" x14ac:dyDescent="0.25">
      <c r="A683">
        <v>12</v>
      </c>
      <c r="B683">
        <v>0</v>
      </c>
      <c r="C683">
        <v>296</v>
      </c>
    </row>
    <row r="684" spans="1:3" x14ac:dyDescent="0.25">
      <c r="A684">
        <v>17</v>
      </c>
      <c r="B684">
        <v>0</v>
      </c>
      <c r="C684">
        <v>296</v>
      </c>
    </row>
    <row r="685" spans="1:3" x14ac:dyDescent="0.25">
      <c r="A685">
        <v>12</v>
      </c>
      <c r="B685">
        <v>0</v>
      </c>
      <c r="C685">
        <v>296</v>
      </c>
    </row>
    <row r="686" spans="1:3" x14ac:dyDescent="0.25">
      <c r="A686">
        <v>12</v>
      </c>
      <c r="B686">
        <v>0</v>
      </c>
      <c r="C686">
        <v>296</v>
      </c>
    </row>
    <row r="687" spans="1:3" x14ac:dyDescent="0.25">
      <c r="A687">
        <v>11</v>
      </c>
      <c r="B687">
        <v>0</v>
      </c>
      <c r="C687">
        <v>306</v>
      </c>
    </row>
    <row r="688" spans="1:3" x14ac:dyDescent="0.25">
      <c r="A688">
        <v>12</v>
      </c>
      <c r="B688">
        <v>0</v>
      </c>
      <c r="C688">
        <v>306</v>
      </c>
    </row>
    <row r="689" spans="1:3" x14ac:dyDescent="0.25">
      <c r="A689">
        <v>16</v>
      </c>
      <c r="B689">
        <v>0</v>
      </c>
      <c r="C689">
        <v>306</v>
      </c>
    </row>
    <row r="690" spans="1:3" x14ac:dyDescent="0.25">
      <c r="A690">
        <v>12</v>
      </c>
      <c r="B690">
        <v>0</v>
      </c>
      <c r="C690">
        <v>306</v>
      </c>
    </row>
    <row r="691" spans="1:3" x14ac:dyDescent="0.25">
      <c r="A691">
        <v>14</v>
      </c>
      <c r="B691">
        <v>0</v>
      </c>
      <c r="C691">
        <v>306</v>
      </c>
    </row>
    <row r="692" spans="1:3" x14ac:dyDescent="0.25">
      <c r="A692">
        <v>29</v>
      </c>
      <c r="B692">
        <v>0</v>
      </c>
      <c r="C692">
        <v>304</v>
      </c>
    </row>
    <row r="693" spans="1:3" x14ac:dyDescent="0.25">
      <c r="A693">
        <v>12</v>
      </c>
      <c r="B693">
        <v>0</v>
      </c>
      <c r="C693">
        <v>304</v>
      </c>
    </row>
    <row r="694" spans="1:3" x14ac:dyDescent="0.25">
      <c r="A694">
        <v>15</v>
      </c>
      <c r="B694">
        <v>0</v>
      </c>
      <c r="C694">
        <v>304</v>
      </c>
    </row>
    <row r="695" spans="1:3" x14ac:dyDescent="0.25">
      <c r="A695">
        <v>14</v>
      </c>
      <c r="B695">
        <v>0</v>
      </c>
      <c r="C695">
        <v>304</v>
      </c>
    </row>
    <row r="696" spans="1:3" x14ac:dyDescent="0.25">
      <c r="A696">
        <v>14</v>
      </c>
      <c r="B696">
        <v>0</v>
      </c>
      <c r="C696">
        <v>304</v>
      </c>
    </row>
    <row r="697" spans="1:3" x14ac:dyDescent="0.25">
      <c r="A697">
        <v>11</v>
      </c>
      <c r="B697">
        <v>0</v>
      </c>
      <c r="C697">
        <v>304</v>
      </c>
    </row>
    <row r="698" spans="1:3" x14ac:dyDescent="0.25">
      <c r="A698">
        <v>11</v>
      </c>
      <c r="B698">
        <v>0</v>
      </c>
      <c r="C698">
        <v>314</v>
      </c>
    </row>
    <row r="699" spans="1:3" x14ac:dyDescent="0.25">
      <c r="A699">
        <v>17</v>
      </c>
      <c r="B699">
        <v>0</v>
      </c>
      <c r="C699">
        <v>314</v>
      </c>
    </row>
    <row r="700" spans="1:3" x14ac:dyDescent="0.25">
      <c r="A700">
        <v>11</v>
      </c>
      <c r="B700">
        <v>0</v>
      </c>
      <c r="C700">
        <v>314</v>
      </c>
    </row>
    <row r="701" spans="1:3" x14ac:dyDescent="0.25">
      <c r="A701">
        <v>12</v>
      </c>
      <c r="B701">
        <v>0</v>
      </c>
      <c r="C701">
        <v>314</v>
      </c>
    </row>
    <row r="702" spans="1:3" x14ac:dyDescent="0.25">
      <c r="A702">
        <v>12</v>
      </c>
      <c r="B702">
        <v>0</v>
      </c>
      <c r="C702">
        <v>314</v>
      </c>
    </row>
    <row r="703" spans="1:3" x14ac:dyDescent="0.25">
      <c r="A703">
        <v>12</v>
      </c>
      <c r="B703">
        <v>0</v>
      </c>
      <c r="C703">
        <v>314</v>
      </c>
    </row>
    <row r="704" spans="1:3" x14ac:dyDescent="0.25">
      <c r="A704">
        <v>17</v>
      </c>
      <c r="B704">
        <v>0</v>
      </c>
      <c r="C704">
        <v>312</v>
      </c>
    </row>
    <row r="705" spans="1:3" x14ac:dyDescent="0.25">
      <c r="A705">
        <v>14</v>
      </c>
      <c r="B705">
        <v>0</v>
      </c>
      <c r="C705">
        <v>312</v>
      </c>
    </row>
    <row r="706" spans="1:3" x14ac:dyDescent="0.25">
      <c r="A706">
        <v>12</v>
      </c>
      <c r="B706">
        <v>0</v>
      </c>
      <c r="C706">
        <v>312</v>
      </c>
    </row>
    <row r="707" spans="1:3" x14ac:dyDescent="0.25">
      <c r="A707">
        <v>31</v>
      </c>
      <c r="B707">
        <v>0</v>
      </c>
      <c r="C707">
        <v>312</v>
      </c>
    </row>
    <row r="708" spans="1:3" x14ac:dyDescent="0.25">
      <c r="A708">
        <v>12</v>
      </c>
      <c r="B708">
        <v>0</v>
      </c>
      <c r="C708">
        <v>312</v>
      </c>
    </row>
    <row r="709" spans="1:3" x14ac:dyDescent="0.25">
      <c r="A709">
        <v>17</v>
      </c>
      <c r="B709">
        <v>0</v>
      </c>
      <c r="C709">
        <v>312</v>
      </c>
    </row>
    <row r="710" spans="1:3" x14ac:dyDescent="0.25">
      <c r="A710">
        <v>13</v>
      </c>
      <c r="B710">
        <v>0</v>
      </c>
      <c r="C710">
        <v>309</v>
      </c>
    </row>
    <row r="711" spans="1:3" x14ac:dyDescent="0.25">
      <c r="A711">
        <v>12</v>
      </c>
      <c r="B711">
        <v>0</v>
      </c>
      <c r="C711">
        <v>309</v>
      </c>
    </row>
    <row r="712" spans="1:3" x14ac:dyDescent="0.25">
      <c r="A712">
        <v>26</v>
      </c>
      <c r="B712">
        <v>0</v>
      </c>
      <c r="C712">
        <v>309</v>
      </c>
    </row>
    <row r="713" spans="1:3" x14ac:dyDescent="0.25">
      <c r="A713">
        <v>12</v>
      </c>
      <c r="B713">
        <v>0</v>
      </c>
      <c r="C713">
        <v>309</v>
      </c>
    </row>
    <row r="714" spans="1:3" x14ac:dyDescent="0.25">
      <c r="A714">
        <v>14</v>
      </c>
      <c r="B714">
        <v>0</v>
      </c>
      <c r="C714">
        <v>309</v>
      </c>
    </row>
    <row r="715" spans="1:3" x14ac:dyDescent="0.25">
      <c r="A715">
        <v>12</v>
      </c>
      <c r="B715">
        <v>0</v>
      </c>
      <c r="C715">
        <v>309</v>
      </c>
    </row>
    <row r="716" spans="1:3" x14ac:dyDescent="0.25">
      <c r="A716">
        <v>12</v>
      </c>
      <c r="B716">
        <v>0</v>
      </c>
      <c r="C716">
        <v>310</v>
      </c>
    </row>
    <row r="717" spans="1:3" x14ac:dyDescent="0.25">
      <c r="A717">
        <v>12</v>
      </c>
      <c r="B717">
        <v>0</v>
      </c>
      <c r="C717">
        <v>310</v>
      </c>
    </row>
    <row r="718" spans="1:3" x14ac:dyDescent="0.25">
      <c r="A718">
        <v>15</v>
      </c>
      <c r="B718">
        <v>0</v>
      </c>
      <c r="C718">
        <v>310</v>
      </c>
    </row>
    <row r="719" spans="1:3" x14ac:dyDescent="0.25">
      <c r="A719">
        <v>18</v>
      </c>
      <c r="B719">
        <v>0</v>
      </c>
      <c r="C719">
        <v>310</v>
      </c>
    </row>
    <row r="720" spans="1:3" x14ac:dyDescent="0.25">
      <c r="A720">
        <v>12</v>
      </c>
      <c r="B720">
        <v>0</v>
      </c>
      <c r="C720">
        <v>310</v>
      </c>
    </row>
    <row r="721" spans="1:3" x14ac:dyDescent="0.25">
      <c r="A721">
        <v>12</v>
      </c>
      <c r="B721">
        <v>0</v>
      </c>
      <c r="C721">
        <v>291</v>
      </c>
    </row>
    <row r="722" spans="1:3" x14ac:dyDescent="0.25">
      <c r="A722">
        <v>30</v>
      </c>
      <c r="B722">
        <v>0</v>
      </c>
      <c r="C722">
        <v>291</v>
      </c>
    </row>
    <row r="723" spans="1:3" x14ac:dyDescent="0.25">
      <c r="A723">
        <v>12</v>
      </c>
      <c r="B723">
        <v>0</v>
      </c>
      <c r="C723">
        <v>291</v>
      </c>
    </row>
    <row r="724" spans="1:3" x14ac:dyDescent="0.25">
      <c r="A724">
        <v>14</v>
      </c>
      <c r="B724">
        <v>0</v>
      </c>
      <c r="C724">
        <v>291</v>
      </c>
    </row>
    <row r="725" spans="1:3" x14ac:dyDescent="0.25">
      <c r="A725">
        <v>14</v>
      </c>
      <c r="B725">
        <v>0</v>
      </c>
      <c r="C725">
        <v>291</v>
      </c>
    </row>
    <row r="726" spans="1:3" x14ac:dyDescent="0.25">
      <c r="A726">
        <v>15</v>
      </c>
      <c r="B726">
        <v>0</v>
      </c>
      <c r="C726">
        <v>342</v>
      </c>
    </row>
    <row r="727" spans="1:3" x14ac:dyDescent="0.25">
      <c r="A727">
        <v>13</v>
      </c>
      <c r="B727">
        <v>0</v>
      </c>
      <c r="C727">
        <v>342</v>
      </c>
    </row>
    <row r="728" spans="1:3" x14ac:dyDescent="0.25">
      <c r="A728">
        <v>14</v>
      </c>
      <c r="B728">
        <v>0</v>
      </c>
      <c r="C728">
        <v>342</v>
      </c>
    </row>
    <row r="729" spans="1:3" x14ac:dyDescent="0.25">
      <c r="A729">
        <v>18</v>
      </c>
      <c r="B729">
        <v>0</v>
      </c>
      <c r="C729">
        <v>342</v>
      </c>
    </row>
    <row r="730" spans="1:3" x14ac:dyDescent="0.25">
      <c r="A730">
        <v>12</v>
      </c>
      <c r="B730">
        <v>0</v>
      </c>
      <c r="C730">
        <v>342</v>
      </c>
    </row>
    <row r="731" spans="1:3" x14ac:dyDescent="0.25">
      <c r="A731">
        <v>13</v>
      </c>
      <c r="B731">
        <v>0</v>
      </c>
      <c r="C731">
        <v>342</v>
      </c>
    </row>
    <row r="732" spans="1:3" x14ac:dyDescent="0.25">
      <c r="A732">
        <v>12</v>
      </c>
      <c r="B732">
        <v>0</v>
      </c>
      <c r="C732">
        <v>314</v>
      </c>
    </row>
    <row r="733" spans="1:3" x14ac:dyDescent="0.25">
      <c r="A733">
        <v>12</v>
      </c>
      <c r="B733">
        <v>0</v>
      </c>
      <c r="C733">
        <v>314</v>
      </c>
    </row>
    <row r="734" spans="1:3" x14ac:dyDescent="0.25">
      <c r="A734">
        <v>16</v>
      </c>
      <c r="B734">
        <v>0</v>
      </c>
      <c r="C734">
        <v>314</v>
      </c>
    </row>
    <row r="735" spans="1:3" x14ac:dyDescent="0.25">
      <c r="A735">
        <v>12</v>
      </c>
      <c r="B735">
        <v>0</v>
      </c>
      <c r="C735">
        <v>314</v>
      </c>
    </row>
    <row r="736" spans="1:3" x14ac:dyDescent="0.25">
      <c r="A736">
        <v>32</v>
      </c>
      <c r="B736">
        <v>0</v>
      </c>
      <c r="C736">
        <v>314</v>
      </c>
    </row>
    <row r="737" spans="1:3" x14ac:dyDescent="0.25">
      <c r="A737">
        <v>14</v>
      </c>
      <c r="B737">
        <v>0</v>
      </c>
      <c r="C737">
        <v>312</v>
      </c>
    </row>
    <row r="738" spans="1:3" x14ac:dyDescent="0.25">
      <c r="A738">
        <v>13</v>
      </c>
      <c r="B738">
        <v>0</v>
      </c>
      <c r="C738">
        <v>312</v>
      </c>
    </row>
    <row r="739" spans="1:3" x14ac:dyDescent="0.25">
      <c r="A739">
        <v>16</v>
      </c>
      <c r="B739">
        <v>0</v>
      </c>
      <c r="C739">
        <v>312</v>
      </c>
    </row>
    <row r="740" spans="1:3" x14ac:dyDescent="0.25">
      <c r="A740">
        <v>12</v>
      </c>
      <c r="B740">
        <v>0</v>
      </c>
      <c r="C740">
        <v>312</v>
      </c>
    </row>
    <row r="741" spans="1:3" x14ac:dyDescent="0.25">
      <c r="A741">
        <v>11</v>
      </c>
      <c r="B741">
        <v>0</v>
      </c>
      <c r="C741">
        <v>312</v>
      </c>
    </row>
    <row r="742" spans="1:3" x14ac:dyDescent="0.25">
      <c r="A742">
        <v>30</v>
      </c>
      <c r="B742">
        <v>0</v>
      </c>
      <c r="C742">
        <v>311</v>
      </c>
    </row>
    <row r="743" spans="1:3" x14ac:dyDescent="0.25">
      <c r="A743">
        <v>12</v>
      </c>
      <c r="B743">
        <v>0</v>
      </c>
      <c r="C743">
        <v>311</v>
      </c>
    </row>
    <row r="744" spans="1:3" x14ac:dyDescent="0.25">
      <c r="A744">
        <v>14</v>
      </c>
      <c r="B744">
        <v>0</v>
      </c>
      <c r="C744">
        <v>311</v>
      </c>
    </row>
    <row r="745" spans="1:3" x14ac:dyDescent="0.25">
      <c r="A745">
        <v>13</v>
      </c>
      <c r="B745">
        <v>0</v>
      </c>
      <c r="C745">
        <v>311</v>
      </c>
    </row>
    <row r="746" spans="1:3" x14ac:dyDescent="0.25">
      <c r="A746">
        <v>12</v>
      </c>
      <c r="B746">
        <v>0</v>
      </c>
      <c r="C746">
        <v>311</v>
      </c>
    </row>
    <row r="747" spans="1:3" x14ac:dyDescent="0.25">
      <c r="A747">
        <v>19</v>
      </c>
      <c r="B747">
        <v>0</v>
      </c>
      <c r="C747">
        <v>391</v>
      </c>
    </row>
    <row r="748" spans="1:3" x14ac:dyDescent="0.25">
      <c r="A748">
        <v>16</v>
      </c>
      <c r="B748">
        <v>0</v>
      </c>
      <c r="C748">
        <v>391</v>
      </c>
    </row>
    <row r="749" spans="1:3" x14ac:dyDescent="0.25">
      <c r="A749">
        <v>17</v>
      </c>
      <c r="B749">
        <v>0</v>
      </c>
      <c r="C749">
        <v>391</v>
      </c>
    </row>
    <row r="750" spans="1:3" x14ac:dyDescent="0.25">
      <c r="A750">
        <v>12</v>
      </c>
      <c r="B750">
        <v>0</v>
      </c>
      <c r="C750">
        <v>391</v>
      </c>
    </row>
    <row r="751" spans="1:3" x14ac:dyDescent="0.25">
      <c r="A751">
        <v>13</v>
      </c>
      <c r="B751">
        <v>0</v>
      </c>
      <c r="C751">
        <v>391</v>
      </c>
    </row>
    <row r="752" spans="1:3" x14ac:dyDescent="0.25">
      <c r="A752">
        <v>12</v>
      </c>
      <c r="B752">
        <v>0</v>
      </c>
      <c r="C752">
        <v>391</v>
      </c>
    </row>
    <row r="753" spans="1:3" x14ac:dyDescent="0.25">
      <c r="A753">
        <v>11</v>
      </c>
      <c r="B753">
        <v>0</v>
      </c>
      <c r="C753">
        <v>355</v>
      </c>
    </row>
    <row r="754" spans="1:3" x14ac:dyDescent="0.25">
      <c r="A754">
        <v>13</v>
      </c>
      <c r="B754">
        <v>0</v>
      </c>
      <c r="C754">
        <v>355</v>
      </c>
    </row>
    <row r="755" spans="1:3" x14ac:dyDescent="0.25">
      <c r="A755">
        <v>15</v>
      </c>
      <c r="B755">
        <v>0</v>
      </c>
      <c r="C755">
        <v>355</v>
      </c>
    </row>
    <row r="756" spans="1:3" x14ac:dyDescent="0.25">
      <c r="A756">
        <v>11</v>
      </c>
      <c r="B756">
        <v>0</v>
      </c>
      <c r="C756">
        <v>355</v>
      </c>
    </row>
    <row r="757" spans="1:3" x14ac:dyDescent="0.25">
      <c r="A757">
        <v>15</v>
      </c>
      <c r="B757">
        <v>0</v>
      </c>
      <c r="C757">
        <v>355</v>
      </c>
    </row>
    <row r="758" spans="1:3" x14ac:dyDescent="0.25">
      <c r="A758">
        <v>14</v>
      </c>
      <c r="B758">
        <v>0</v>
      </c>
      <c r="C758">
        <v>372</v>
      </c>
    </row>
    <row r="759" spans="1:3" x14ac:dyDescent="0.25">
      <c r="A759">
        <v>15</v>
      </c>
      <c r="B759">
        <v>0</v>
      </c>
      <c r="C759">
        <v>372</v>
      </c>
    </row>
    <row r="760" spans="1:3" x14ac:dyDescent="0.25">
      <c r="A760">
        <v>12</v>
      </c>
      <c r="B760">
        <v>0</v>
      </c>
      <c r="C760">
        <v>372</v>
      </c>
    </row>
    <row r="761" spans="1:3" x14ac:dyDescent="0.25">
      <c r="A761">
        <v>13</v>
      </c>
      <c r="B761">
        <v>0</v>
      </c>
      <c r="C761">
        <v>372</v>
      </c>
    </row>
    <row r="762" spans="1:3" x14ac:dyDescent="0.25">
      <c r="A762">
        <v>31</v>
      </c>
      <c r="B762">
        <v>0</v>
      </c>
      <c r="C762">
        <v>372</v>
      </c>
    </row>
    <row r="763" spans="1:3" x14ac:dyDescent="0.25">
      <c r="A763">
        <v>12</v>
      </c>
      <c r="B763">
        <v>0</v>
      </c>
      <c r="C763">
        <v>372</v>
      </c>
    </row>
    <row r="764" spans="1:3" x14ac:dyDescent="0.25">
      <c r="A764">
        <v>16</v>
      </c>
      <c r="B764">
        <v>0</v>
      </c>
      <c r="C764">
        <v>405</v>
      </c>
    </row>
    <row r="765" spans="1:3" x14ac:dyDescent="0.25">
      <c r="A765">
        <v>12</v>
      </c>
      <c r="B765">
        <v>0</v>
      </c>
      <c r="C765">
        <v>405</v>
      </c>
    </row>
    <row r="766" spans="1:3" x14ac:dyDescent="0.25">
      <c r="A766">
        <v>12</v>
      </c>
      <c r="B766">
        <v>0</v>
      </c>
      <c r="C766">
        <v>405</v>
      </c>
    </row>
    <row r="767" spans="1:3" x14ac:dyDescent="0.25">
      <c r="A767">
        <v>15</v>
      </c>
      <c r="B767">
        <v>0</v>
      </c>
      <c r="C767">
        <v>405</v>
      </c>
    </row>
    <row r="768" spans="1:3" x14ac:dyDescent="0.25">
      <c r="A768">
        <v>12</v>
      </c>
      <c r="B768">
        <v>0</v>
      </c>
      <c r="C768">
        <v>405</v>
      </c>
    </row>
    <row r="769" spans="1:3" x14ac:dyDescent="0.25">
      <c r="A769">
        <v>14</v>
      </c>
      <c r="B769">
        <v>0</v>
      </c>
      <c r="C769">
        <v>308</v>
      </c>
    </row>
    <row r="770" spans="1:3" x14ac:dyDescent="0.25">
      <c r="A770">
        <v>12</v>
      </c>
      <c r="B770">
        <v>0</v>
      </c>
      <c r="C770">
        <v>308</v>
      </c>
    </row>
    <row r="771" spans="1:3" x14ac:dyDescent="0.25">
      <c r="A771">
        <v>13</v>
      </c>
      <c r="B771">
        <v>0</v>
      </c>
      <c r="C771">
        <v>308</v>
      </c>
    </row>
    <row r="772" spans="1:3" x14ac:dyDescent="0.25">
      <c r="A772">
        <v>14</v>
      </c>
      <c r="B772">
        <v>0</v>
      </c>
      <c r="C772">
        <v>308</v>
      </c>
    </row>
    <row r="773" spans="1:3" x14ac:dyDescent="0.25">
      <c r="A773">
        <v>13</v>
      </c>
      <c r="B773">
        <v>0</v>
      </c>
      <c r="C773">
        <v>308</v>
      </c>
    </row>
    <row r="774" spans="1:3" x14ac:dyDescent="0.25">
      <c r="A774">
        <v>15</v>
      </c>
      <c r="B774">
        <v>0</v>
      </c>
      <c r="C774">
        <v>285</v>
      </c>
    </row>
    <row r="775" spans="1:3" x14ac:dyDescent="0.25">
      <c r="A775">
        <v>12</v>
      </c>
      <c r="B775">
        <v>0</v>
      </c>
      <c r="C775">
        <v>285</v>
      </c>
    </row>
    <row r="776" spans="1:3" x14ac:dyDescent="0.25">
      <c r="A776">
        <v>31</v>
      </c>
      <c r="B776">
        <v>0</v>
      </c>
      <c r="C776">
        <v>285</v>
      </c>
    </row>
    <row r="777" spans="1:3" x14ac:dyDescent="0.25">
      <c r="A777">
        <v>11</v>
      </c>
      <c r="B777">
        <v>0</v>
      </c>
      <c r="C777">
        <v>285</v>
      </c>
    </row>
    <row r="778" spans="1:3" x14ac:dyDescent="0.25">
      <c r="A778">
        <v>13</v>
      </c>
      <c r="B778">
        <v>0</v>
      </c>
      <c r="C778">
        <v>285</v>
      </c>
    </row>
    <row r="779" spans="1:3" x14ac:dyDescent="0.25">
      <c r="A779">
        <v>14</v>
      </c>
      <c r="B779">
        <v>0</v>
      </c>
      <c r="C779">
        <v>285</v>
      </c>
    </row>
    <row r="780" spans="1:3" x14ac:dyDescent="0.25">
      <c r="A780">
        <v>12</v>
      </c>
      <c r="B780">
        <v>0</v>
      </c>
      <c r="C780">
        <v>295</v>
      </c>
    </row>
    <row r="781" spans="1:3" x14ac:dyDescent="0.25">
      <c r="A781">
        <v>14</v>
      </c>
      <c r="B781">
        <v>0</v>
      </c>
      <c r="C781">
        <v>295</v>
      </c>
    </row>
    <row r="782" spans="1:3" x14ac:dyDescent="0.25">
      <c r="A782">
        <v>11</v>
      </c>
      <c r="B782">
        <v>0</v>
      </c>
      <c r="C782">
        <v>295</v>
      </c>
    </row>
    <row r="783" spans="1:3" x14ac:dyDescent="0.25">
      <c r="A783">
        <v>12</v>
      </c>
      <c r="B783">
        <v>0</v>
      </c>
      <c r="C783">
        <v>295</v>
      </c>
    </row>
    <row r="784" spans="1:3" x14ac:dyDescent="0.25">
      <c r="A784">
        <v>14</v>
      </c>
      <c r="B784">
        <v>0</v>
      </c>
      <c r="C784">
        <v>295</v>
      </c>
    </row>
    <row r="785" spans="1:3" x14ac:dyDescent="0.25">
      <c r="A785">
        <v>12</v>
      </c>
      <c r="B785">
        <v>0</v>
      </c>
      <c r="C785">
        <v>277</v>
      </c>
    </row>
    <row r="786" spans="1:3" x14ac:dyDescent="0.25">
      <c r="A786">
        <v>12</v>
      </c>
      <c r="B786">
        <v>0</v>
      </c>
      <c r="C786">
        <v>277</v>
      </c>
    </row>
    <row r="787" spans="1:3" x14ac:dyDescent="0.25">
      <c r="A787">
        <v>12</v>
      </c>
      <c r="B787">
        <v>0</v>
      </c>
      <c r="C787">
        <v>277</v>
      </c>
    </row>
    <row r="788" spans="1:3" x14ac:dyDescent="0.25">
      <c r="A788">
        <v>38</v>
      </c>
      <c r="B788">
        <v>0</v>
      </c>
      <c r="C788">
        <v>277</v>
      </c>
    </row>
    <row r="789" spans="1:3" x14ac:dyDescent="0.25">
      <c r="A789">
        <v>17</v>
      </c>
      <c r="B789">
        <v>0</v>
      </c>
      <c r="C789">
        <v>277</v>
      </c>
    </row>
    <row r="790" spans="1:3" x14ac:dyDescent="0.25">
      <c r="A790">
        <v>13</v>
      </c>
      <c r="B790">
        <v>0</v>
      </c>
      <c r="C790">
        <v>339</v>
      </c>
    </row>
    <row r="791" spans="1:3" x14ac:dyDescent="0.25">
      <c r="A791">
        <v>31</v>
      </c>
      <c r="B791">
        <v>0</v>
      </c>
      <c r="C791">
        <v>339</v>
      </c>
    </row>
    <row r="792" spans="1:3" x14ac:dyDescent="0.25">
      <c r="A792">
        <v>12</v>
      </c>
      <c r="B792">
        <v>0</v>
      </c>
      <c r="C792">
        <v>339</v>
      </c>
    </row>
    <row r="793" spans="1:3" x14ac:dyDescent="0.25">
      <c r="A793">
        <v>12</v>
      </c>
      <c r="B793">
        <v>0</v>
      </c>
      <c r="C793">
        <v>339</v>
      </c>
    </row>
    <row r="794" spans="1:3" x14ac:dyDescent="0.25">
      <c r="A794">
        <v>16</v>
      </c>
      <c r="B794">
        <v>0</v>
      </c>
      <c r="C794">
        <v>339</v>
      </c>
    </row>
    <row r="795" spans="1:3" x14ac:dyDescent="0.25">
      <c r="A795">
        <v>12</v>
      </c>
      <c r="B795">
        <v>0</v>
      </c>
      <c r="C795">
        <v>339</v>
      </c>
    </row>
    <row r="796" spans="1:3" x14ac:dyDescent="0.25">
      <c r="A796">
        <v>12</v>
      </c>
      <c r="B796">
        <v>0</v>
      </c>
      <c r="C796">
        <v>325</v>
      </c>
    </row>
    <row r="797" spans="1:3" x14ac:dyDescent="0.25">
      <c r="A797">
        <v>11</v>
      </c>
      <c r="B797">
        <v>0</v>
      </c>
      <c r="C797">
        <v>325</v>
      </c>
    </row>
    <row r="798" spans="1:3" x14ac:dyDescent="0.25">
      <c r="A798">
        <v>14</v>
      </c>
      <c r="B798">
        <v>0</v>
      </c>
      <c r="C798">
        <v>325</v>
      </c>
    </row>
    <row r="799" spans="1:3" x14ac:dyDescent="0.25">
      <c r="A799">
        <v>18</v>
      </c>
      <c r="B799">
        <v>0</v>
      </c>
      <c r="C799">
        <v>325</v>
      </c>
    </row>
    <row r="800" spans="1:3" x14ac:dyDescent="0.25">
      <c r="A800">
        <v>12</v>
      </c>
      <c r="B800">
        <v>0</v>
      </c>
      <c r="C800">
        <v>325</v>
      </c>
    </row>
    <row r="801" spans="1:3" x14ac:dyDescent="0.25">
      <c r="A801">
        <v>11</v>
      </c>
      <c r="B801">
        <v>0</v>
      </c>
      <c r="C801">
        <v>302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H17"/>
  <sheetViews>
    <sheetView workbookViewId="0">
      <selection activeCell="H16" sqref="H16"/>
    </sheetView>
  </sheetViews>
  <sheetFormatPr baseColWidth="10" defaultRowHeight="15" x14ac:dyDescent="0.25"/>
  <cols>
    <col min="2" max="2" width="24" bestFit="1" customWidth="1"/>
    <col min="6" max="6" width="23.140625" bestFit="1" customWidth="1"/>
    <col min="7" max="7" width="21.7109375" bestFit="1" customWidth="1"/>
  </cols>
  <sheetData>
    <row r="1" spans="2:8" ht="15.75" thickBot="1" x14ac:dyDescent="0.3"/>
    <row r="2" spans="2:8" x14ac:dyDescent="0.25">
      <c r="B2" s="1" t="s">
        <v>4</v>
      </c>
      <c r="C2" s="2">
        <v>2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400</v>
      </c>
      <c r="E3" s="11">
        <v>1</v>
      </c>
      <c r="F3" s="7">
        <v>21.826714801444044</v>
      </c>
      <c r="G3" s="7">
        <v>0</v>
      </c>
      <c r="H3" s="8">
        <v>0.52603610108303245</v>
      </c>
    </row>
    <row r="4" spans="2:8" ht="15.75" thickBot="1" x14ac:dyDescent="0.3">
      <c r="B4" s="5" t="s">
        <v>6</v>
      </c>
      <c r="C4" s="6">
        <v>20</v>
      </c>
      <c r="E4" s="11">
        <v>2</v>
      </c>
      <c r="F4" s="7">
        <v>17.039711191335741</v>
      </c>
      <c r="G4" s="7">
        <v>0</v>
      </c>
      <c r="H4" s="8">
        <v>0.52604693140794223</v>
      </c>
    </row>
    <row r="5" spans="2:8" x14ac:dyDescent="0.25">
      <c r="E5" s="11">
        <v>3</v>
      </c>
      <c r="F5" s="7">
        <v>17.541516245487365</v>
      </c>
      <c r="G5" s="7">
        <v>0</v>
      </c>
      <c r="H5" s="8">
        <v>0.53657761732851983</v>
      </c>
    </row>
    <row r="6" spans="2:8" x14ac:dyDescent="0.25">
      <c r="E6" s="11">
        <v>4</v>
      </c>
      <c r="F6" s="7">
        <v>16.855595667870038</v>
      </c>
      <c r="G6" s="7">
        <v>0</v>
      </c>
      <c r="H6" s="8">
        <v>0.51390974729241878</v>
      </c>
    </row>
    <row r="7" spans="2:8" x14ac:dyDescent="0.25">
      <c r="E7" s="11">
        <v>5</v>
      </c>
      <c r="F7" s="7">
        <v>17.068592057761734</v>
      </c>
      <c r="G7" s="7">
        <v>0</v>
      </c>
      <c r="H7" s="8">
        <v>0.51255595667870035</v>
      </c>
    </row>
    <row r="8" spans="2:8" x14ac:dyDescent="0.25">
      <c r="E8" s="11">
        <v>6</v>
      </c>
      <c r="F8" s="7">
        <v>16.851985559566788</v>
      </c>
      <c r="G8" s="7">
        <v>0</v>
      </c>
      <c r="H8" s="8">
        <v>0.49715162454873646</v>
      </c>
    </row>
    <row r="9" spans="2:8" x14ac:dyDescent="0.25">
      <c r="E9" s="11">
        <v>7</v>
      </c>
      <c r="F9" s="7">
        <v>16.714801444043321</v>
      </c>
      <c r="G9" s="7">
        <v>0</v>
      </c>
      <c r="H9" s="8">
        <v>0.49325270758122741</v>
      </c>
    </row>
    <row r="10" spans="2:8" x14ac:dyDescent="0.25">
      <c r="E10" s="11">
        <v>8</v>
      </c>
      <c r="F10" s="7">
        <v>17.021660649819495</v>
      </c>
      <c r="G10" s="7">
        <v>0</v>
      </c>
      <c r="H10" s="8">
        <v>0.52754873646209388</v>
      </c>
    </row>
    <row r="11" spans="2:8" x14ac:dyDescent="0.25">
      <c r="E11" s="11">
        <v>9</v>
      </c>
      <c r="F11" s="7">
        <v>16.678700361010829</v>
      </c>
      <c r="G11" s="7">
        <v>0</v>
      </c>
      <c r="H11" s="8">
        <v>0.47537545126353792</v>
      </c>
    </row>
    <row r="12" spans="2:8" ht="15.75" thickBot="1" x14ac:dyDescent="0.3">
      <c r="E12" s="12">
        <v>10</v>
      </c>
      <c r="F12" s="9">
        <v>16.205776173285198</v>
      </c>
      <c r="G12" s="9">
        <v>0</v>
      </c>
      <c r="H12" s="10">
        <v>0.48776895306859208</v>
      </c>
    </row>
    <row r="14" spans="2:8" x14ac:dyDescent="0.25">
      <c r="E14" s="23" t="s">
        <v>11</v>
      </c>
      <c r="F14" s="24">
        <f>AVERAGE(F3:F12)</f>
        <v>17.380505415162453</v>
      </c>
      <c r="G14" s="24">
        <f t="shared" ref="G14:H14" si="0">AVERAGE(G3:G12)</f>
        <v>0</v>
      </c>
      <c r="H14" s="24">
        <f t="shared" si="0"/>
        <v>0.50962238267148019</v>
      </c>
    </row>
    <row r="15" spans="2:8" x14ac:dyDescent="0.25">
      <c r="E15" s="22" t="s">
        <v>33</v>
      </c>
      <c r="F15" s="22">
        <f>_xlfn.VAR.S(T2_400_20s[Column1])</f>
        <v>238.6070267391998</v>
      </c>
      <c r="G15" s="22">
        <f>_xlfn.VAR.S(T2_400_20s[Column2])</f>
        <v>0</v>
      </c>
      <c r="H15" s="22">
        <f>_xlfn.VAR.S(T2_400_20s[Column3])*0.00001</f>
        <v>5.4867887303436703E-2</v>
      </c>
    </row>
    <row r="16" spans="2:8" x14ac:dyDescent="0.25">
      <c r="E16" s="22" t="s">
        <v>36</v>
      </c>
      <c r="F16" s="22">
        <f>SQRT(F15)</f>
        <v>15.44690994144783</v>
      </c>
      <c r="G16" s="22">
        <f>SQRT(G15)</f>
        <v>0</v>
      </c>
      <c r="H16" s="22">
        <f>SQRT(H15)</f>
        <v>0.23423895342883666</v>
      </c>
    </row>
    <row r="17" spans="5:8" x14ac:dyDescent="0.25">
      <c r="E17" s="22" t="s">
        <v>35</v>
      </c>
      <c r="F17" s="22">
        <f>MEDIAN(T2_400_20s[Column1])</f>
        <v>17</v>
      </c>
      <c r="G17" s="22">
        <f>MEDIAN(T2_400_20s[Column2])</f>
        <v>0</v>
      </c>
      <c r="H17" s="22">
        <f>MEDIAN(H2:H12)</f>
        <v>0.51323285198555957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2775"/>
  <sheetViews>
    <sheetView topLeftCell="A2738" workbookViewId="0">
      <selection activeCell="E2" sqref="E2"/>
    </sheetView>
  </sheetViews>
  <sheetFormatPr baseColWidth="10" defaultRowHeight="15" x14ac:dyDescent="0.25"/>
  <cols>
    <col min="1" max="3" width="10.7109375" bestFit="1" customWidth="1"/>
  </cols>
  <sheetData>
    <row r="1" spans="1:5" x14ac:dyDescent="0.25">
      <c r="A1" t="s">
        <v>15</v>
      </c>
      <c r="B1" t="s">
        <v>16</v>
      </c>
      <c r="C1" t="s">
        <v>17</v>
      </c>
    </row>
    <row r="2" spans="1:5" x14ac:dyDescent="0.25">
      <c r="A2">
        <v>573</v>
      </c>
      <c r="B2">
        <v>0</v>
      </c>
      <c r="C2">
        <v>0</v>
      </c>
      <c r="E2">
        <f>COUNT(T2_400_20s[Column1])</f>
        <v>2774</v>
      </c>
    </row>
    <row r="3" spans="1:5" x14ac:dyDescent="0.25">
      <c r="A3">
        <v>572</v>
      </c>
      <c r="B3">
        <v>0</v>
      </c>
      <c r="C3">
        <v>0</v>
      </c>
    </row>
    <row r="4" spans="1:5" x14ac:dyDescent="0.25">
      <c r="A4">
        <v>21</v>
      </c>
      <c r="B4">
        <v>0</v>
      </c>
      <c r="C4">
        <v>0</v>
      </c>
    </row>
    <row r="5" spans="1:5" x14ac:dyDescent="0.25">
      <c r="A5">
        <v>24</v>
      </c>
      <c r="B5">
        <v>0</v>
      </c>
      <c r="C5">
        <v>0</v>
      </c>
    </row>
    <row r="6" spans="1:5" x14ac:dyDescent="0.25">
      <c r="A6">
        <v>27</v>
      </c>
      <c r="B6">
        <v>0</v>
      </c>
      <c r="C6">
        <v>0</v>
      </c>
    </row>
    <row r="7" spans="1:5" x14ac:dyDescent="0.25">
      <c r="A7">
        <v>19</v>
      </c>
      <c r="B7">
        <v>0</v>
      </c>
      <c r="C7">
        <v>0</v>
      </c>
    </row>
    <row r="8" spans="1:5" x14ac:dyDescent="0.25">
      <c r="A8">
        <v>19</v>
      </c>
      <c r="B8">
        <v>0</v>
      </c>
      <c r="C8">
        <v>0</v>
      </c>
    </row>
    <row r="9" spans="1:5" x14ac:dyDescent="0.25">
      <c r="A9">
        <v>15</v>
      </c>
      <c r="B9">
        <v>0</v>
      </c>
      <c r="C9">
        <v>0</v>
      </c>
    </row>
    <row r="10" spans="1:5" x14ac:dyDescent="0.25">
      <c r="A10">
        <v>18</v>
      </c>
      <c r="B10">
        <v>0</v>
      </c>
      <c r="C10">
        <v>704</v>
      </c>
    </row>
    <row r="11" spans="1:5" x14ac:dyDescent="0.25">
      <c r="A11">
        <v>16</v>
      </c>
      <c r="B11">
        <v>0</v>
      </c>
      <c r="C11">
        <v>704</v>
      </c>
    </row>
    <row r="12" spans="1:5" x14ac:dyDescent="0.25">
      <c r="A12">
        <v>26</v>
      </c>
      <c r="B12">
        <v>0</v>
      </c>
      <c r="C12">
        <v>704</v>
      </c>
    </row>
    <row r="13" spans="1:5" x14ac:dyDescent="0.25">
      <c r="A13">
        <v>16</v>
      </c>
      <c r="B13">
        <v>0</v>
      </c>
      <c r="C13">
        <v>704</v>
      </c>
    </row>
    <row r="14" spans="1:5" x14ac:dyDescent="0.25">
      <c r="A14">
        <v>18</v>
      </c>
      <c r="B14">
        <v>0</v>
      </c>
      <c r="C14">
        <v>704</v>
      </c>
    </row>
    <row r="15" spans="1:5" x14ac:dyDescent="0.25">
      <c r="A15">
        <v>19</v>
      </c>
      <c r="B15">
        <v>0</v>
      </c>
      <c r="C15">
        <v>704</v>
      </c>
    </row>
    <row r="16" spans="1:5" x14ac:dyDescent="0.25">
      <c r="A16">
        <v>22</v>
      </c>
      <c r="B16">
        <v>0</v>
      </c>
      <c r="C16">
        <v>704</v>
      </c>
    </row>
    <row r="17" spans="1:3" x14ac:dyDescent="0.25">
      <c r="A17">
        <v>17</v>
      </c>
      <c r="B17">
        <v>0</v>
      </c>
      <c r="C17">
        <v>704</v>
      </c>
    </row>
    <row r="18" spans="1:3" x14ac:dyDescent="0.25">
      <c r="A18">
        <v>18</v>
      </c>
      <c r="B18">
        <v>0</v>
      </c>
      <c r="C18">
        <v>542</v>
      </c>
    </row>
    <row r="19" spans="1:3" x14ac:dyDescent="0.25">
      <c r="A19">
        <v>19</v>
      </c>
      <c r="B19">
        <v>0</v>
      </c>
      <c r="C19">
        <v>542</v>
      </c>
    </row>
    <row r="20" spans="1:3" x14ac:dyDescent="0.25">
      <c r="A20">
        <v>18</v>
      </c>
      <c r="B20">
        <v>0</v>
      </c>
      <c r="C20">
        <v>542</v>
      </c>
    </row>
    <row r="21" spans="1:3" x14ac:dyDescent="0.25">
      <c r="A21">
        <v>19</v>
      </c>
      <c r="B21">
        <v>0</v>
      </c>
      <c r="C21">
        <v>542</v>
      </c>
    </row>
    <row r="22" spans="1:3" x14ac:dyDescent="0.25">
      <c r="A22">
        <v>18</v>
      </c>
      <c r="B22">
        <v>0</v>
      </c>
      <c r="C22">
        <v>542</v>
      </c>
    </row>
    <row r="23" spans="1:3" x14ac:dyDescent="0.25">
      <c r="A23">
        <v>16</v>
      </c>
      <c r="B23">
        <v>0</v>
      </c>
      <c r="C23">
        <v>542</v>
      </c>
    </row>
    <row r="24" spans="1:3" x14ac:dyDescent="0.25">
      <c r="A24">
        <v>18</v>
      </c>
      <c r="B24">
        <v>0</v>
      </c>
      <c r="C24">
        <v>542</v>
      </c>
    </row>
    <row r="25" spans="1:3" x14ac:dyDescent="0.25">
      <c r="A25">
        <v>19</v>
      </c>
      <c r="B25">
        <v>0</v>
      </c>
      <c r="C25">
        <v>542</v>
      </c>
    </row>
    <row r="26" spans="1:3" x14ac:dyDescent="0.25">
      <c r="A26">
        <v>18</v>
      </c>
      <c r="B26">
        <v>0</v>
      </c>
      <c r="C26">
        <v>542</v>
      </c>
    </row>
    <row r="27" spans="1:3" x14ac:dyDescent="0.25">
      <c r="A27">
        <v>17</v>
      </c>
      <c r="B27">
        <v>0</v>
      </c>
      <c r="C27">
        <v>542</v>
      </c>
    </row>
    <row r="28" spans="1:3" x14ac:dyDescent="0.25">
      <c r="A28">
        <v>17</v>
      </c>
      <c r="B28">
        <v>0</v>
      </c>
      <c r="C28">
        <v>542</v>
      </c>
    </row>
    <row r="29" spans="1:3" x14ac:dyDescent="0.25">
      <c r="A29">
        <v>23</v>
      </c>
      <c r="B29">
        <v>0</v>
      </c>
      <c r="C29">
        <v>542</v>
      </c>
    </row>
    <row r="30" spans="1:3" x14ac:dyDescent="0.25">
      <c r="A30">
        <v>19</v>
      </c>
      <c r="B30">
        <v>0</v>
      </c>
      <c r="C30">
        <v>542</v>
      </c>
    </row>
    <row r="31" spans="1:3" x14ac:dyDescent="0.25">
      <c r="A31">
        <v>19</v>
      </c>
      <c r="B31">
        <v>0</v>
      </c>
      <c r="C31">
        <v>542</v>
      </c>
    </row>
    <row r="32" spans="1:3" x14ac:dyDescent="0.25">
      <c r="A32">
        <v>22</v>
      </c>
      <c r="B32">
        <v>0</v>
      </c>
      <c r="C32">
        <v>542</v>
      </c>
    </row>
    <row r="33" spans="1:3" x14ac:dyDescent="0.25">
      <c r="A33">
        <v>20</v>
      </c>
      <c r="B33">
        <v>0</v>
      </c>
      <c r="C33">
        <v>542</v>
      </c>
    </row>
    <row r="34" spans="1:3" x14ac:dyDescent="0.25">
      <c r="A34">
        <v>17</v>
      </c>
      <c r="B34">
        <v>0</v>
      </c>
      <c r="C34">
        <v>542</v>
      </c>
    </row>
    <row r="35" spans="1:3" x14ac:dyDescent="0.25">
      <c r="A35">
        <v>18</v>
      </c>
      <c r="B35">
        <v>0</v>
      </c>
      <c r="C35">
        <v>542</v>
      </c>
    </row>
    <row r="36" spans="1:3" x14ac:dyDescent="0.25">
      <c r="A36">
        <v>17</v>
      </c>
      <c r="B36">
        <v>0</v>
      </c>
      <c r="C36">
        <v>542</v>
      </c>
    </row>
    <row r="37" spans="1:3" x14ac:dyDescent="0.25">
      <c r="A37">
        <v>19</v>
      </c>
      <c r="B37">
        <v>0</v>
      </c>
      <c r="C37">
        <v>542</v>
      </c>
    </row>
    <row r="38" spans="1:3" x14ac:dyDescent="0.25">
      <c r="A38">
        <v>19</v>
      </c>
      <c r="B38">
        <v>0</v>
      </c>
      <c r="C38">
        <v>542</v>
      </c>
    </row>
    <row r="39" spans="1:3" x14ac:dyDescent="0.25">
      <c r="A39">
        <v>20</v>
      </c>
      <c r="B39">
        <v>0</v>
      </c>
      <c r="C39">
        <v>542</v>
      </c>
    </row>
    <row r="40" spans="1:3" x14ac:dyDescent="0.25">
      <c r="A40">
        <v>19</v>
      </c>
      <c r="B40">
        <v>0</v>
      </c>
      <c r="C40">
        <v>542</v>
      </c>
    </row>
    <row r="41" spans="1:3" x14ac:dyDescent="0.25">
      <c r="A41">
        <v>18</v>
      </c>
      <c r="B41">
        <v>0</v>
      </c>
      <c r="C41">
        <v>542</v>
      </c>
    </row>
    <row r="42" spans="1:3" x14ac:dyDescent="0.25">
      <c r="A42">
        <v>19</v>
      </c>
      <c r="B42">
        <v>0</v>
      </c>
      <c r="C42">
        <v>544</v>
      </c>
    </row>
    <row r="43" spans="1:3" x14ac:dyDescent="0.25">
      <c r="A43">
        <v>17</v>
      </c>
      <c r="B43">
        <v>0</v>
      </c>
      <c r="C43">
        <v>544</v>
      </c>
    </row>
    <row r="44" spans="1:3" x14ac:dyDescent="0.25">
      <c r="A44">
        <v>15</v>
      </c>
      <c r="B44">
        <v>0</v>
      </c>
      <c r="C44">
        <v>544</v>
      </c>
    </row>
    <row r="45" spans="1:3" x14ac:dyDescent="0.25">
      <c r="A45">
        <v>20</v>
      </c>
      <c r="B45">
        <v>0</v>
      </c>
      <c r="C45">
        <v>544</v>
      </c>
    </row>
    <row r="46" spans="1:3" x14ac:dyDescent="0.25">
      <c r="A46">
        <v>21</v>
      </c>
      <c r="B46">
        <v>0</v>
      </c>
      <c r="C46">
        <v>544</v>
      </c>
    </row>
    <row r="47" spans="1:3" x14ac:dyDescent="0.25">
      <c r="A47">
        <v>15</v>
      </c>
      <c r="B47">
        <v>0</v>
      </c>
      <c r="C47">
        <v>544</v>
      </c>
    </row>
    <row r="48" spans="1:3" x14ac:dyDescent="0.25">
      <c r="A48">
        <v>18</v>
      </c>
      <c r="B48">
        <v>0</v>
      </c>
      <c r="C48">
        <v>544</v>
      </c>
    </row>
    <row r="49" spans="1:3" x14ac:dyDescent="0.25">
      <c r="A49">
        <v>15</v>
      </c>
      <c r="B49">
        <v>0</v>
      </c>
      <c r="C49">
        <v>544</v>
      </c>
    </row>
    <row r="50" spans="1:3" x14ac:dyDescent="0.25">
      <c r="A50">
        <v>19</v>
      </c>
      <c r="B50">
        <v>0</v>
      </c>
      <c r="C50">
        <v>551</v>
      </c>
    </row>
    <row r="51" spans="1:3" x14ac:dyDescent="0.25">
      <c r="A51">
        <v>15</v>
      </c>
      <c r="B51">
        <v>0</v>
      </c>
      <c r="C51">
        <v>551</v>
      </c>
    </row>
    <row r="52" spans="1:3" x14ac:dyDescent="0.25">
      <c r="A52">
        <v>18</v>
      </c>
      <c r="B52">
        <v>0</v>
      </c>
      <c r="C52">
        <v>551</v>
      </c>
    </row>
    <row r="53" spans="1:3" x14ac:dyDescent="0.25">
      <c r="A53">
        <v>19</v>
      </c>
      <c r="B53">
        <v>0</v>
      </c>
      <c r="C53">
        <v>551</v>
      </c>
    </row>
    <row r="54" spans="1:3" x14ac:dyDescent="0.25">
      <c r="A54">
        <v>19</v>
      </c>
      <c r="B54">
        <v>0</v>
      </c>
      <c r="C54">
        <v>551</v>
      </c>
    </row>
    <row r="55" spans="1:3" x14ac:dyDescent="0.25">
      <c r="A55">
        <v>18</v>
      </c>
      <c r="B55">
        <v>0</v>
      </c>
      <c r="C55">
        <v>551</v>
      </c>
    </row>
    <row r="56" spans="1:3" x14ac:dyDescent="0.25">
      <c r="A56">
        <v>17</v>
      </c>
      <c r="B56">
        <v>0</v>
      </c>
      <c r="C56">
        <v>551</v>
      </c>
    </row>
    <row r="57" spans="1:3" x14ac:dyDescent="0.25">
      <c r="A57">
        <v>19</v>
      </c>
      <c r="B57">
        <v>0</v>
      </c>
      <c r="C57">
        <v>551</v>
      </c>
    </row>
    <row r="58" spans="1:3" x14ac:dyDescent="0.25">
      <c r="A58">
        <v>17</v>
      </c>
      <c r="B58">
        <v>0</v>
      </c>
      <c r="C58">
        <v>539</v>
      </c>
    </row>
    <row r="59" spans="1:3" x14ac:dyDescent="0.25">
      <c r="A59">
        <v>21</v>
      </c>
      <c r="B59">
        <v>0</v>
      </c>
      <c r="C59">
        <v>539</v>
      </c>
    </row>
    <row r="60" spans="1:3" x14ac:dyDescent="0.25">
      <c r="A60">
        <v>17</v>
      </c>
      <c r="B60">
        <v>0</v>
      </c>
      <c r="C60">
        <v>539</v>
      </c>
    </row>
    <row r="61" spans="1:3" x14ac:dyDescent="0.25">
      <c r="A61">
        <v>18</v>
      </c>
      <c r="B61">
        <v>0</v>
      </c>
      <c r="C61">
        <v>539</v>
      </c>
    </row>
    <row r="62" spans="1:3" x14ac:dyDescent="0.25">
      <c r="A62">
        <v>15</v>
      </c>
      <c r="B62">
        <v>0</v>
      </c>
      <c r="C62">
        <v>539</v>
      </c>
    </row>
    <row r="63" spans="1:3" x14ac:dyDescent="0.25">
      <c r="A63">
        <v>17</v>
      </c>
      <c r="B63">
        <v>0</v>
      </c>
      <c r="C63">
        <v>539</v>
      </c>
    </row>
    <row r="64" spans="1:3" x14ac:dyDescent="0.25">
      <c r="A64">
        <v>17</v>
      </c>
      <c r="B64">
        <v>0</v>
      </c>
      <c r="C64">
        <v>539</v>
      </c>
    </row>
    <row r="65" spans="1:3" x14ac:dyDescent="0.25">
      <c r="A65">
        <v>18</v>
      </c>
      <c r="B65">
        <v>0</v>
      </c>
      <c r="C65">
        <v>539</v>
      </c>
    </row>
    <row r="66" spans="1:3" x14ac:dyDescent="0.25">
      <c r="A66">
        <v>16</v>
      </c>
      <c r="B66">
        <v>0</v>
      </c>
      <c r="C66">
        <v>590</v>
      </c>
    </row>
    <row r="67" spans="1:3" x14ac:dyDescent="0.25">
      <c r="A67">
        <v>19</v>
      </c>
      <c r="B67">
        <v>0</v>
      </c>
      <c r="C67">
        <v>590</v>
      </c>
    </row>
    <row r="68" spans="1:3" x14ac:dyDescent="0.25">
      <c r="A68">
        <v>19</v>
      </c>
      <c r="B68">
        <v>0</v>
      </c>
      <c r="C68">
        <v>590</v>
      </c>
    </row>
    <row r="69" spans="1:3" x14ac:dyDescent="0.25">
      <c r="A69">
        <v>21</v>
      </c>
      <c r="B69">
        <v>0</v>
      </c>
      <c r="C69">
        <v>590</v>
      </c>
    </row>
    <row r="70" spans="1:3" x14ac:dyDescent="0.25">
      <c r="A70">
        <v>17</v>
      </c>
      <c r="B70">
        <v>0</v>
      </c>
      <c r="C70">
        <v>590</v>
      </c>
    </row>
    <row r="71" spans="1:3" x14ac:dyDescent="0.25">
      <c r="A71">
        <v>18</v>
      </c>
      <c r="B71">
        <v>0</v>
      </c>
      <c r="C71">
        <v>590</v>
      </c>
    </row>
    <row r="72" spans="1:3" x14ac:dyDescent="0.25">
      <c r="A72">
        <v>16</v>
      </c>
      <c r="B72">
        <v>0</v>
      </c>
      <c r="C72">
        <v>590</v>
      </c>
    </row>
    <row r="73" spans="1:3" x14ac:dyDescent="0.25">
      <c r="A73">
        <v>16</v>
      </c>
      <c r="B73">
        <v>0</v>
      </c>
      <c r="C73">
        <v>590</v>
      </c>
    </row>
    <row r="74" spans="1:3" x14ac:dyDescent="0.25">
      <c r="A74">
        <v>18</v>
      </c>
      <c r="B74">
        <v>0</v>
      </c>
      <c r="C74">
        <v>599</v>
      </c>
    </row>
    <row r="75" spans="1:3" x14ac:dyDescent="0.25">
      <c r="A75">
        <v>20</v>
      </c>
      <c r="B75">
        <v>0</v>
      </c>
      <c r="C75">
        <v>599</v>
      </c>
    </row>
    <row r="76" spans="1:3" x14ac:dyDescent="0.25">
      <c r="A76">
        <v>16</v>
      </c>
      <c r="B76">
        <v>0</v>
      </c>
      <c r="C76">
        <v>599</v>
      </c>
    </row>
    <row r="77" spans="1:3" x14ac:dyDescent="0.25">
      <c r="A77">
        <v>21</v>
      </c>
      <c r="B77">
        <v>0</v>
      </c>
      <c r="C77">
        <v>599</v>
      </c>
    </row>
    <row r="78" spans="1:3" x14ac:dyDescent="0.25">
      <c r="A78">
        <v>17</v>
      </c>
      <c r="B78">
        <v>0</v>
      </c>
      <c r="C78">
        <v>599</v>
      </c>
    </row>
    <row r="79" spans="1:3" x14ac:dyDescent="0.25">
      <c r="A79">
        <v>17</v>
      </c>
      <c r="B79">
        <v>0</v>
      </c>
      <c r="C79">
        <v>599</v>
      </c>
    </row>
    <row r="80" spans="1:3" x14ac:dyDescent="0.25">
      <c r="A80">
        <v>17</v>
      </c>
      <c r="B80">
        <v>0</v>
      </c>
      <c r="C80">
        <v>599</v>
      </c>
    </row>
    <row r="81" spans="1:3" x14ac:dyDescent="0.25">
      <c r="A81">
        <v>16</v>
      </c>
      <c r="B81">
        <v>0</v>
      </c>
      <c r="C81">
        <v>599</v>
      </c>
    </row>
    <row r="82" spans="1:3" x14ac:dyDescent="0.25">
      <c r="A82">
        <v>19</v>
      </c>
      <c r="B82">
        <v>0</v>
      </c>
      <c r="C82">
        <v>516</v>
      </c>
    </row>
    <row r="83" spans="1:3" x14ac:dyDescent="0.25">
      <c r="A83">
        <v>18</v>
      </c>
      <c r="B83">
        <v>0</v>
      </c>
      <c r="C83">
        <v>516</v>
      </c>
    </row>
    <row r="84" spans="1:3" x14ac:dyDescent="0.25">
      <c r="A84">
        <v>21</v>
      </c>
      <c r="B84">
        <v>0</v>
      </c>
      <c r="C84">
        <v>516</v>
      </c>
    </row>
    <row r="85" spans="1:3" x14ac:dyDescent="0.25">
      <c r="A85">
        <v>17</v>
      </c>
      <c r="B85">
        <v>0</v>
      </c>
      <c r="C85">
        <v>516</v>
      </c>
    </row>
    <row r="86" spans="1:3" x14ac:dyDescent="0.25">
      <c r="A86">
        <v>19</v>
      </c>
      <c r="B86">
        <v>0</v>
      </c>
      <c r="C86">
        <v>516</v>
      </c>
    </row>
    <row r="87" spans="1:3" x14ac:dyDescent="0.25">
      <c r="A87">
        <v>20</v>
      </c>
      <c r="B87">
        <v>0</v>
      </c>
      <c r="C87">
        <v>516</v>
      </c>
    </row>
    <row r="88" spans="1:3" x14ac:dyDescent="0.25">
      <c r="A88">
        <v>18</v>
      </c>
      <c r="B88">
        <v>0</v>
      </c>
      <c r="C88">
        <v>516</v>
      </c>
    </row>
    <row r="89" spans="1:3" x14ac:dyDescent="0.25">
      <c r="A89">
        <v>19</v>
      </c>
      <c r="B89">
        <v>0</v>
      </c>
      <c r="C89">
        <v>516</v>
      </c>
    </row>
    <row r="90" spans="1:3" x14ac:dyDescent="0.25">
      <c r="A90">
        <v>16</v>
      </c>
      <c r="B90">
        <v>0</v>
      </c>
      <c r="C90">
        <v>513</v>
      </c>
    </row>
    <row r="91" spans="1:3" x14ac:dyDescent="0.25">
      <c r="A91">
        <v>17</v>
      </c>
      <c r="B91">
        <v>0</v>
      </c>
      <c r="C91">
        <v>513</v>
      </c>
    </row>
    <row r="92" spans="1:3" x14ac:dyDescent="0.25">
      <c r="A92">
        <v>19</v>
      </c>
      <c r="B92">
        <v>0</v>
      </c>
      <c r="C92">
        <v>513</v>
      </c>
    </row>
    <row r="93" spans="1:3" x14ac:dyDescent="0.25">
      <c r="A93">
        <v>19</v>
      </c>
      <c r="B93">
        <v>0</v>
      </c>
      <c r="C93">
        <v>513</v>
      </c>
    </row>
    <row r="94" spans="1:3" x14ac:dyDescent="0.25">
      <c r="A94">
        <v>16</v>
      </c>
      <c r="B94">
        <v>0</v>
      </c>
      <c r="C94">
        <v>513</v>
      </c>
    </row>
    <row r="95" spans="1:3" x14ac:dyDescent="0.25">
      <c r="A95">
        <v>17</v>
      </c>
      <c r="B95">
        <v>0</v>
      </c>
      <c r="C95">
        <v>513</v>
      </c>
    </row>
    <row r="96" spans="1:3" x14ac:dyDescent="0.25">
      <c r="A96">
        <v>15</v>
      </c>
      <c r="B96">
        <v>0</v>
      </c>
      <c r="C96">
        <v>513</v>
      </c>
    </row>
    <row r="97" spans="1:3" x14ac:dyDescent="0.25">
      <c r="A97">
        <v>16</v>
      </c>
      <c r="B97">
        <v>0</v>
      </c>
      <c r="C97">
        <v>513</v>
      </c>
    </row>
    <row r="98" spans="1:3" x14ac:dyDescent="0.25">
      <c r="A98">
        <v>18</v>
      </c>
      <c r="B98">
        <v>0</v>
      </c>
      <c r="C98">
        <v>535</v>
      </c>
    </row>
    <row r="99" spans="1:3" x14ac:dyDescent="0.25">
      <c r="A99">
        <v>17</v>
      </c>
      <c r="B99">
        <v>0</v>
      </c>
      <c r="C99">
        <v>535</v>
      </c>
    </row>
    <row r="100" spans="1:3" x14ac:dyDescent="0.25">
      <c r="A100">
        <v>22</v>
      </c>
      <c r="B100">
        <v>0</v>
      </c>
      <c r="C100">
        <v>535</v>
      </c>
    </row>
    <row r="101" spans="1:3" x14ac:dyDescent="0.25">
      <c r="A101">
        <v>19</v>
      </c>
      <c r="B101">
        <v>0</v>
      </c>
      <c r="C101">
        <v>535</v>
      </c>
    </row>
    <row r="102" spans="1:3" x14ac:dyDescent="0.25">
      <c r="A102">
        <v>19</v>
      </c>
      <c r="B102">
        <v>0</v>
      </c>
      <c r="C102">
        <v>535</v>
      </c>
    </row>
    <row r="103" spans="1:3" x14ac:dyDescent="0.25">
      <c r="A103">
        <v>17</v>
      </c>
      <c r="B103">
        <v>0</v>
      </c>
      <c r="C103">
        <v>535</v>
      </c>
    </row>
    <row r="104" spans="1:3" x14ac:dyDescent="0.25">
      <c r="A104">
        <v>18</v>
      </c>
      <c r="B104">
        <v>0</v>
      </c>
      <c r="C104">
        <v>535</v>
      </c>
    </row>
    <row r="105" spans="1:3" x14ac:dyDescent="0.25">
      <c r="A105">
        <v>18</v>
      </c>
      <c r="B105">
        <v>0</v>
      </c>
      <c r="C105">
        <v>535</v>
      </c>
    </row>
    <row r="106" spans="1:3" x14ac:dyDescent="0.25">
      <c r="A106">
        <v>18</v>
      </c>
      <c r="B106">
        <v>0</v>
      </c>
      <c r="C106">
        <v>510</v>
      </c>
    </row>
    <row r="107" spans="1:3" x14ac:dyDescent="0.25">
      <c r="A107">
        <v>21</v>
      </c>
      <c r="B107">
        <v>0</v>
      </c>
      <c r="C107">
        <v>510</v>
      </c>
    </row>
    <row r="108" spans="1:3" x14ac:dyDescent="0.25">
      <c r="A108">
        <v>19</v>
      </c>
      <c r="B108">
        <v>0</v>
      </c>
      <c r="C108">
        <v>510</v>
      </c>
    </row>
    <row r="109" spans="1:3" x14ac:dyDescent="0.25">
      <c r="A109">
        <v>24</v>
      </c>
      <c r="B109">
        <v>0</v>
      </c>
      <c r="C109">
        <v>510</v>
      </c>
    </row>
    <row r="110" spans="1:3" x14ac:dyDescent="0.25">
      <c r="A110">
        <v>15</v>
      </c>
      <c r="B110">
        <v>0</v>
      </c>
      <c r="C110">
        <v>510</v>
      </c>
    </row>
    <row r="111" spans="1:3" x14ac:dyDescent="0.25">
      <c r="A111">
        <v>16</v>
      </c>
      <c r="B111">
        <v>0</v>
      </c>
      <c r="C111">
        <v>510</v>
      </c>
    </row>
    <row r="112" spans="1:3" x14ac:dyDescent="0.25">
      <c r="A112">
        <v>14</v>
      </c>
      <c r="B112">
        <v>0</v>
      </c>
      <c r="C112">
        <v>510</v>
      </c>
    </row>
    <row r="113" spans="1:3" x14ac:dyDescent="0.25">
      <c r="A113">
        <v>16</v>
      </c>
      <c r="B113">
        <v>0</v>
      </c>
      <c r="C113">
        <v>510</v>
      </c>
    </row>
    <row r="114" spans="1:3" x14ac:dyDescent="0.25">
      <c r="A114">
        <v>15</v>
      </c>
      <c r="B114">
        <v>0</v>
      </c>
      <c r="C114">
        <v>545</v>
      </c>
    </row>
    <row r="115" spans="1:3" x14ac:dyDescent="0.25">
      <c r="A115">
        <v>22</v>
      </c>
      <c r="B115">
        <v>0</v>
      </c>
      <c r="C115">
        <v>545</v>
      </c>
    </row>
    <row r="116" spans="1:3" x14ac:dyDescent="0.25">
      <c r="A116">
        <v>20</v>
      </c>
      <c r="B116">
        <v>0</v>
      </c>
      <c r="C116">
        <v>545</v>
      </c>
    </row>
    <row r="117" spans="1:3" x14ac:dyDescent="0.25">
      <c r="A117">
        <v>20</v>
      </c>
      <c r="B117">
        <v>0</v>
      </c>
      <c r="C117">
        <v>545</v>
      </c>
    </row>
    <row r="118" spans="1:3" x14ac:dyDescent="0.25">
      <c r="A118">
        <v>17</v>
      </c>
      <c r="B118">
        <v>0</v>
      </c>
      <c r="C118">
        <v>545</v>
      </c>
    </row>
    <row r="119" spans="1:3" x14ac:dyDescent="0.25">
      <c r="A119">
        <v>17</v>
      </c>
      <c r="B119">
        <v>0</v>
      </c>
      <c r="C119">
        <v>545</v>
      </c>
    </row>
    <row r="120" spans="1:3" x14ac:dyDescent="0.25">
      <c r="A120">
        <v>24</v>
      </c>
      <c r="B120">
        <v>0</v>
      </c>
      <c r="C120">
        <v>545</v>
      </c>
    </row>
    <row r="121" spans="1:3" x14ac:dyDescent="0.25">
      <c r="A121">
        <v>18</v>
      </c>
      <c r="B121">
        <v>0</v>
      </c>
      <c r="C121">
        <v>545</v>
      </c>
    </row>
    <row r="122" spans="1:3" x14ac:dyDescent="0.25">
      <c r="A122">
        <v>18</v>
      </c>
      <c r="B122">
        <v>0</v>
      </c>
      <c r="C122">
        <v>582</v>
      </c>
    </row>
    <row r="123" spans="1:3" x14ac:dyDescent="0.25">
      <c r="A123">
        <v>16</v>
      </c>
      <c r="B123">
        <v>0</v>
      </c>
      <c r="C123">
        <v>582</v>
      </c>
    </row>
    <row r="124" spans="1:3" x14ac:dyDescent="0.25">
      <c r="A124">
        <v>22</v>
      </c>
      <c r="B124">
        <v>0</v>
      </c>
      <c r="C124">
        <v>582</v>
      </c>
    </row>
    <row r="125" spans="1:3" x14ac:dyDescent="0.25">
      <c r="A125">
        <v>19</v>
      </c>
      <c r="B125">
        <v>0</v>
      </c>
      <c r="C125">
        <v>582</v>
      </c>
    </row>
    <row r="126" spans="1:3" x14ac:dyDescent="0.25">
      <c r="A126">
        <v>17</v>
      </c>
      <c r="B126">
        <v>0</v>
      </c>
      <c r="C126">
        <v>582</v>
      </c>
    </row>
    <row r="127" spans="1:3" x14ac:dyDescent="0.25">
      <c r="A127">
        <v>18</v>
      </c>
      <c r="B127">
        <v>0</v>
      </c>
      <c r="C127">
        <v>582</v>
      </c>
    </row>
    <row r="128" spans="1:3" x14ac:dyDescent="0.25">
      <c r="A128">
        <v>20</v>
      </c>
      <c r="B128">
        <v>0</v>
      </c>
      <c r="C128">
        <v>582</v>
      </c>
    </row>
    <row r="129" spans="1:3" x14ac:dyDescent="0.25">
      <c r="A129">
        <v>15</v>
      </c>
      <c r="B129">
        <v>0</v>
      </c>
      <c r="C129">
        <v>582</v>
      </c>
    </row>
    <row r="130" spans="1:3" x14ac:dyDescent="0.25">
      <c r="A130">
        <v>17</v>
      </c>
      <c r="B130">
        <v>0</v>
      </c>
      <c r="C130">
        <v>574</v>
      </c>
    </row>
    <row r="131" spans="1:3" x14ac:dyDescent="0.25">
      <c r="A131">
        <v>22</v>
      </c>
      <c r="B131">
        <v>0</v>
      </c>
      <c r="C131">
        <v>574</v>
      </c>
    </row>
    <row r="132" spans="1:3" x14ac:dyDescent="0.25">
      <c r="A132">
        <v>19</v>
      </c>
      <c r="B132">
        <v>0</v>
      </c>
      <c r="C132">
        <v>574</v>
      </c>
    </row>
    <row r="133" spans="1:3" x14ac:dyDescent="0.25">
      <c r="A133">
        <v>17</v>
      </c>
      <c r="B133">
        <v>0</v>
      </c>
      <c r="C133">
        <v>574</v>
      </c>
    </row>
    <row r="134" spans="1:3" x14ac:dyDescent="0.25">
      <c r="A134">
        <v>16</v>
      </c>
      <c r="B134">
        <v>0</v>
      </c>
      <c r="C134">
        <v>574</v>
      </c>
    </row>
    <row r="135" spans="1:3" x14ac:dyDescent="0.25">
      <c r="A135">
        <v>19</v>
      </c>
      <c r="B135">
        <v>0</v>
      </c>
      <c r="C135">
        <v>574</v>
      </c>
    </row>
    <row r="136" spans="1:3" x14ac:dyDescent="0.25">
      <c r="A136">
        <v>16</v>
      </c>
      <c r="B136">
        <v>0</v>
      </c>
      <c r="C136">
        <v>574</v>
      </c>
    </row>
    <row r="137" spans="1:3" x14ac:dyDescent="0.25">
      <c r="A137">
        <v>18</v>
      </c>
      <c r="B137">
        <v>0</v>
      </c>
      <c r="C137">
        <v>574</v>
      </c>
    </row>
    <row r="138" spans="1:3" x14ac:dyDescent="0.25">
      <c r="A138">
        <v>17</v>
      </c>
      <c r="B138">
        <v>0</v>
      </c>
      <c r="C138">
        <v>556</v>
      </c>
    </row>
    <row r="139" spans="1:3" x14ac:dyDescent="0.25">
      <c r="A139">
        <v>22</v>
      </c>
      <c r="B139">
        <v>0</v>
      </c>
      <c r="C139">
        <v>556</v>
      </c>
    </row>
    <row r="140" spans="1:3" x14ac:dyDescent="0.25">
      <c r="A140">
        <v>20</v>
      </c>
      <c r="B140">
        <v>0</v>
      </c>
      <c r="C140">
        <v>556</v>
      </c>
    </row>
    <row r="141" spans="1:3" x14ac:dyDescent="0.25">
      <c r="A141">
        <v>17</v>
      </c>
      <c r="B141">
        <v>0</v>
      </c>
      <c r="C141">
        <v>556</v>
      </c>
    </row>
    <row r="142" spans="1:3" x14ac:dyDescent="0.25">
      <c r="A142">
        <v>19</v>
      </c>
      <c r="B142">
        <v>0</v>
      </c>
      <c r="C142">
        <v>556</v>
      </c>
    </row>
    <row r="143" spans="1:3" x14ac:dyDescent="0.25">
      <c r="A143">
        <v>18</v>
      </c>
      <c r="B143">
        <v>0</v>
      </c>
      <c r="C143">
        <v>556</v>
      </c>
    </row>
    <row r="144" spans="1:3" x14ac:dyDescent="0.25">
      <c r="A144">
        <v>17</v>
      </c>
      <c r="B144">
        <v>0</v>
      </c>
      <c r="C144">
        <v>556</v>
      </c>
    </row>
    <row r="145" spans="1:3" x14ac:dyDescent="0.25">
      <c r="A145">
        <v>17</v>
      </c>
      <c r="B145">
        <v>0</v>
      </c>
      <c r="C145">
        <v>556</v>
      </c>
    </row>
    <row r="146" spans="1:3" x14ac:dyDescent="0.25">
      <c r="A146">
        <v>16</v>
      </c>
      <c r="B146">
        <v>0</v>
      </c>
      <c r="C146">
        <v>556</v>
      </c>
    </row>
    <row r="147" spans="1:3" x14ac:dyDescent="0.25">
      <c r="A147">
        <v>20</v>
      </c>
      <c r="B147">
        <v>0</v>
      </c>
      <c r="C147">
        <v>536</v>
      </c>
    </row>
    <row r="148" spans="1:3" x14ac:dyDescent="0.25">
      <c r="A148">
        <v>20</v>
      </c>
      <c r="B148">
        <v>0</v>
      </c>
      <c r="C148">
        <v>536</v>
      </c>
    </row>
    <row r="149" spans="1:3" x14ac:dyDescent="0.25">
      <c r="A149">
        <v>15</v>
      </c>
      <c r="B149">
        <v>0</v>
      </c>
      <c r="C149">
        <v>536</v>
      </c>
    </row>
    <row r="150" spans="1:3" x14ac:dyDescent="0.25">
      <c r="A150">
        <v>17</v>
      </c>
      <c r="B150">
        <v>0</v>
      </c>
      <c r="C150">
        <v>536</v>
      </c>
    </row>
    <row r="151" spans="1:3" x14ac:dyDescent="0.25">
      <c r="A151">
        <v>18</v>
      </c>
      <c r="B151">
        <v>0</v>
      </c>
      <c r="C151">
        <v>536</v>
      </c>
    </row>
    <row r="152" spans="1:3" x14ac:dyDescent="0.25">
      <c r="A152">
        <v>19</v>
      </c>
      <c r="B152">
        <v>0</v>
      </c>
      <c r="C152">
        <v>536</v>
      </c>
    </row>
    <row r="153" spans="1:3" x14ac:dyDescent="0.25">
      <c r="A153">
        <v>17</v>
      </c>
      <c r="B153">
        <v>0</v>
      </c>
      <c r="C153">
        <v>536</v>
      </c>
    </row>
    <row r="154" spans="1:3" x14ac:dyDescent="0.25">
      <c r="A154">
        <v>15</v>
      </c>
      <c r="B154">
        <v>0</v>
      </c>
      <c r="C154">
        <v>536</v>
      </c>
    </row>
    <row r="155" spans="1:3" x14ac:dyDescent="0.25">
      <c r="A155">
        <v>19</v>
      </c>
      <c r="B155">
        <v>0</v>
      </c>
      <c r="C155">
        <v>536</v>
      </c>
    </row>
    <row r="156" spans="1:3" x14ac:dyDescent="0.25">
      <c r="A156">
        <v>13</v>
      </c>
      <c r="B156">
        <v>0</v>
      </c>
      <c r="C156">
        <v>558</v>
      </c>
    </row>
    <row r="157" spans="1:3" x14ac:dyDescent="0.25">
      <c r="A157">
        <v>14</v>
      </c>
      <c r="B157">
        <v>0</v>
      </c>
      <c r="C157">
        <v>558</v>
      </c>
    </row>
    <row r="158" spans="1:3" x14ac:dyDescent="0.25">
      <c r="A158">
        <v>18</v>
      </c>
      <c r="B158">
        <v>0</v>
      </c>
      <c r="C158">
        <v>558</v>
      </c>
    </row>
    <row r="159" spans="1:3" x14ac:dyDescent="0.25">
      <c r="A159">
        <v>22</v>
      </c>
      <c r="B159">
        <v>0</v>
      </c>
      <c r="C159">
        <v>558</v>
      </c>
    </row>
    <row r="160" spans="1:3" x14ac:dyDescent="0.25">
      <c r="A160">
        <v>21</v>
      </c>
      <c r="B160">
        <v>0</v>
      </c>
      <c r="C160">
        <v>558</v>
      </c>
    </row>
    <row r="161" spans="1:3" x14ac:dyDescent="0.25">
      <c r="A161">
        <v>18</v>
      </c>
      <c r="B161">
        <v>0</v>
      </c>
      <c r="C161">
        <v>558</v>
      </c>
    </row>
    <row r="162" spans="1:3" x14ac:dyDescent="0.25">
      <c r="A162">
        <v>21</v>
      </c>
      <c r="B162">
        <v>0</v>
      </c>
      <c r="C162">
        <v>558</v>
      </c>
    </row>
    <row r="163" spans="1:3" x14ac:dyDescent="0.25">
      <c r="A163">
        <v>22</v>
      </c>
      <c r="B163">
        <v>0</v>
      </c>
      <c r="C163">
        <v>739</v>
      </c>
    </row>
    <row r="164" spans="1:3" x14ac:dyDescent="0.25">
      <c r="A164">
        <v>18</v>
      </c>
      <c r="B164">
        <v>0</v>
      </c>
      <c r="C164">
        <v>739</v>
      </c>
    </row>
    <row r="165" spans="1:3" x14ac:dyDescent="0.25">
      <c r="A165">
        <v>15</v>
      </c>
      <c r="B165">
        <v>0</v>
      </c>
      <c r="C165">
        <v>739</v>
      </c>
    </row>
    <row r="166" spans="1:3" x14ac:dyDescent="0.25">
      <c r="A166">
        <v>15</v>
      </c>
      <c r="B166">
        <v>0</v>
      </c>
      <c r="C166">
        <v>739</v>
      </c>
    </row>
    <row r="167" spans="1:3" x14ac:dyDescent="0.25">
      <c r="A167">
        <v>17</v>
      </c>
      <c r="B167">
        <v>0</v>
      </c>
      <c r="C167">
        <v>739</v>
      </c>
    </row>
    <row r="168" spans="1:3" x14ac:dyDescent="0.25">
      <c r="A168">
        <v>18</v>
      </c>
      <c r="B168">
        <v>0</v>
      </c>
      <c r="C168">
        <v>739</v>
      </c>
    </row>
    <row r="169" spans="1:3" x14ac:dyDescent="0.25">
      <c r="A169">
        <v>21</v>
      </c>
      <c r="B169">
        <v>0</v>
      </c>
      <c r="C169">
        <v>739</v>
      </c>
    </row>
    <row r="170" spans="1:3" x14ac:dyDescent="0.25">
      <c r="A170">
        <v>17</v>
      </c>
      <c r="B170">
        <v>0</v>
      </c>
      <c r="C170">
        <v>739</v>
      </c>
    </row>
    <row r="171" spans="1:3" x14ac:dyDescent="0.25">
      <c r="A171">
        <v>15</v>
      </c>
      <c r="B171">
        <v>0</v>
      </c>
      <c r="C171">
        <v>531</v>
      </c>
    </row>
    <row r="172" spans="1:3" x14ac:dyDescent="0.25">
      <c r="A172">
        <v>17</v>
      </c>
      <c r="B172">
        <v>0</v>
      </c>
      <c r="C172">
        <v>531</v>
      </c>
    </row>
    <row r="173" spans="1:3" x14ac:dyDescent="0.25">
      <c r="A173">
        <v>17</v>
      </c>
      <c r="B173">
        <v>0</v>
      </c>
      <c r="C173">
        <v>531</v>
      </c>
    </row>
    <row r="174" spans="1:3" x14ac:dyDescent="0.25">
      <c r="A174">
        <v>18</v>
      </c>
      <c r="B174">
        <v>0</v>
      </c>
      <c r="C174">
        <v>531</v>
      </c>
    </row>
    <row r="175" spans="1:3" x14ac:dyDescent="0.25">
      <c r="A175">
        <v>17</v>
      </c>
      <c r="B175">
        <v>0</v>
      </c>
      <c r="C175">
        <v>531</v>
      </c>
    </row>
    <row r="176" spans="1:3" x14ac:dyDescent="0.25">
      <c r="A176">
        <v>14</v>
      </c>
      <c r="B176">
        <v>0</v>
      </c>
      <c r="C176">
        <v>531</v>
      </c>
    </row>
    <row r="177" spans="1:3" x14ac:dyDescent="0.25">
      <c r="A177">
        <v>20</v>
      </c>
      <c r="B177">
        <v>0</v>
      </c>
      <c r="C177">
        <v>531</v>
      </c>
    </row>
    <row r="178" spans="1:3" x14ac:dyDescent="0.25">
      <c r="A178">
        <v>15</v>
      </c>
      <c r="B178">
        <v>0</v>
      </c>
      <c r="C178">
        <v>531</v>
      </c>
    </row>
    <row r="179" spans="1:3" x14ac:dyDescent="0.25">
      <c r="A179">
        <v>20</v>
      </c>
      <c r="B179">
        <v>0</v>
      </c>
      <c r="C179">
        <v>516</v>
      </c>
    </row>
    <row r="180" spans="1:3" x14ac:dyDescent="0.25">
      <c r="A180">
        <v>18</v>
      </c>
      <c r="B180">
        <v>0</v>
      </c>
      <c r="C180">
        <v>516</v>
      </c>
    </row>
    <row r="181" spans="1:3" x14ac:dyDescent="0.25">
      <c r="A181">
        <v>18</v>
      </c>
      <c r="B181">
        <v>0</v>
      </c>
      <c r="C181">
        <v>516</v>
      </c>
    </row>
    <row r="182" spans="1:3" x14ac:dyDescent="0.25">
      <c r="A182">
        <v>16</v>
      </c>
      <c r="B182">
        <v>0</v>
      </c>
      <c r="C182">
        <v>516</v>
      </c>
    </row>
    <row r="183" spans="1:3" x14ac:dyDescent="0.25">
      <c r="A183">
        <v>19</v>
      </c>
      <c r="B183">
        <v>0</v>
      </c>
      <c r="C183">
        <v>516</v>
      </c>
    </row>
    <row r="184" spans="1:3" x14ac:dyDescent="0.25">
      <c r="A184">
        <v>18</v>
      </c>
      <c r="B184">
        <v>0</v>
      </c>
      <c r="C184">
        <v>516</v>
      </c>
    </row>
    <row r="185" spans="1:3" x14ac:dyDescent="0.25">
      <c r="A185">
        <v>21</v>
      </c>
      <c r="B185">
        <v>0</v>
      </c>
      <c r="C185">
        <v>516</v>
      </c>
    </row>
    <row r="186" spans="1:3" x14ac:dyDescent="0.25">
      <c r="A186">
        <v>17</v>
      </c>
      <c r="B186">
        <v>0</v>
      </c>
      <c r="C186">
        <v>516</v>
      </c>
    </row>
    <row r="187" spans="1:3" x14ac:dyDescent="0.25">
      <c r="A187">
        <v>16</v>
      </c>
      <c r="B187">
        <v>0</v>
      </c>
      <c r="C187">
        <v>466</v>
      </c>
    </row>
    <row r="188" spans="1:3" x14ac:dyDescent="0.25">
      <c r="A188">
        <v>17</v>
      </c>
      <c r="B188">
        <v>0</v>
      </c>
      <c r="C188">
        <v>466</v>
      </c>
    </row>
    <row r="189" spans="1:3" x14ac:dyDescent="0.25">
      <c r="A189">
        <v>16</v>
      </c>
      <c r="B189">
        <v>0</v>
      </c>
      <c r="C189">
        <v>466</v>
      </c>
    </row>
    <row r="190" spans="1:3" x14ac:dyDescent="0.25">
      <c r="A190">
        <v>16</v>
      </c>
      <c r="B190">
        <v>0</v>
      </c>
      <c r="C190">
        <v>466</v>
      </c>
    </row>
    <row r="191" spans="1:3" x14ac:dyDescent="0.25">
      <c r="A191">
        <v>28</v>
      </c>
      <c r="B191">
        <v>0</v>
      </c>
      <c r="C191">
        <v>466</v>
      </c>
    </row>
    <row r="192" spans="1:3" x14ac:dyDescent="0.25">
      <c r="A192">
        <v>19</v>
      </c>
      <c r="B192">
        <v>0</v>
      </c>
      <c r="C192">
        <v>466</v>
      </c>
    </row>
    <row r="193" spans="1:3" x14ac:dyDescent="0.25">
      <c r="A193">
        <v>22</v>
      </c>
      <c r="B193">
        <v>0</v>
      </c>
      <c r="C193">
        <v>466</v>
      </c>
    </row>
    <row r="194" spans="1:3" x14ac:dyDescent="0.25">
      <c r="A194">
        <v>21</v>
      </c>
      <c r="B194">
        <v>0</v>
      </c>
      <c r="C194">
        <v>466</v>
      </c>
    </row>
    <row r="195" spans="1:3" x14ac:dyDescent="0.25">
      <c r="A195">
        <v>15</v>
      </c>
      <c r="B195">
        <v>0</v>
      </c>
      <c r="C195">
        <v>496</v>
      </c>
    </row>
    <row r="196" spans="1:3" x14ac:dyDescent="0.25">
      <c r="A196">
        <v>17</v>
      </c>
      <c r="B196">
        <v>0</v>
      </c>
      <c r="C196">
        <v>496</v>
      </c>
    </row>
    <row r="197" spans="1:3" x14ac:dyDescent="0.25">
      <c r="A197">
        <v>18</v>
      </c>
      <c r="B197">
        <v>0</v>
      </c>
      <c r="C197">
        <v>496</v>
      </c>
    </row>
    <row r="198" spans="1:3" x14ac:dyDescent="0.25">
      <c r="A198">
        <v>18</v>
      </c>
      <c r="B198">
        <v>0</v>
      </c>
      <c r="C198">
        <v>496</v>
      </c>
    </row>
    <row r="199" spans="1:3" x14ac:dyDescent="0.25">
      <c r="A199">
        <v>14</v>
      </c>
      <c r="B199">
        <v>0</v>
      </c>
      <c r="C199">
        <v>496</v>
      </c>
    </row>
    <row r="200" spans="1:3" x14ac:dyDescent="0.25">
      <c r="A200">
        <v>17</v>
      </c>
      <c r="B200">
        <v>0</v>
      </c>
      <c r="C200">
        <v>496</v>
      </c>
    </row>
    <row r="201" spans="1:3" x14ac:dyDescent="0.25">
      <c r="A201">
        <v>21</v>
      </c>
      <c r="B201">
        <v>0</v>
      </c>
      <c r="C201">
        <v>496</v>
      </c>
    </row>
    <row r="202" spans="1:3" x14ac:dyDescent="0.25">
      <c r="A202">
        <v>17</v>
      </c>
      <c r="B202">
        <v>0</v>
      </c>
      <c r="C202">
        <v>496</v>
      </c>
    </row>
    <row r="203" spans="1:3" x14ac:dyDescent="0.25">
      <c r="A203">
        <v>20</v>
      </c>
      <c r="B203">
        <v>0</v>
      </c>
      <c r="C203">
        <v>496</v>
      </c>
    </row>
    <row r="204" spans="1:3" x14ac:dyDescent="0.25">
      <c r="A204">
        <v>17</v>
      </c>
      <c r="B204">
        <v>0</v>
      </c>
      <c r="C204">
        <v>568</v>
      </c>
    </row>
    <row r="205" spans="1:3" x14ac:dyDescent="0.25">
      <c r="A205">
        <v>14</v>
      </c>
      <c r="B205">
        <v>0</v>
      </c>
      <c r="C205">
        <v>568</v>
      </c>
    </row>
    <row r="206" spans="1:3" x14ac:dyDescent="0.25">
      <c r="A206">
        <v>16</v>
      </c>
      <c r="B206">
        <v>0</v>
      </c>
      <c r="C206">
        <v>568</v>
      </c>
    </row>
    <row r="207" spans="1:3" x14ac:dyDescent="0.25">
      <c r="A207">
        <v>14</v>
      </c>
      <c r="B207">
        <v>0</v>
      </c>
      <c r="C207">
        <v>568</v>
      </c>
    </row>
    <row r="208" spans="1:3" x14ac:dyDescent="0.25">
      <c r="A208">
        <v>15</v>
      </c>
      <c r="B208">
        <v>0</v>
      </c>
      <c r="C208">
        <v>568</v>
      </c>
    </row>
    <row r="209" spans="1:3" x14ac:dyDescent="0.25">
      <c r="A209">
        <v>20</v>
      </c>
      <c r="B209">
        <v>0</v>
      </c>
      <c r="C209">
        <v>568</v>
      </c>
    </row>
    <row r="210" spans="1:3" x14ac:dyDescent="0.25">
      <c r="A210">
        <v>17</v>
      </c>
      <c r="B210">
        <v>0</v>
      </c>
      <c r="C210">
        <v>568</v>
      </c>
    </row>
    <row r="211" spans="1:3" x14ac:dyDescent="0.25">
      <c r="A211">
        <v>15</v>
      </c>
      <c r="B211">
        <v>0</v>
      </c>
      <c r="C211">
        <v>568</v>
      </c>
    </row>
    <row r="212" spans="1:3" x14ac:dyDescent="0.25">
      <c r="A212">
        <v>15</v>
      </c>
      <c r="B212">
        <v>0</v>
      </c>
      <c r="C212">
        <v>568</v>
      </c>
    </row>
    <row r="213" spans="1:3" x14ac:dyDescent="0.25">
      <c r="A213">
        <v>13</v>
      </c>
      <c r="B213">
        <v>0</v>
      </c>
      <c r="C213">
        <v>493</v>
      </c>
    </row>
    <row r="214" spans="1:3" x14ac:dyDescent="0.25">
      <c r="A214">
        <v>12</v>
      </c>
      <c r="B214">
        <v>0</v>
      </c>
      <c r="C214">
        <v>493</v>
      </c>
    </row>
    <row r="215" spans="1:3" x14ac:dyDescent="0.25">
      <c r="A215">
        <v>14</v>
      </c>
      <c r="B215">
        <v>0</v>
      </c>
      <c r="C215">
        <v>493</v>
      </c>
    </row>
    <row r="216" spans="1:3" x14ac:dyDescent="0.25">
      <c r="A216">
        <v>19</v>
      </c>
      <c r="B216">
        <v>0</v>
      </c>
      <c r="C216">
        <v>493</v>
      </c>
    </row>
    <row r="217" spans="1:3" x14ac:dyDescent="0.25">
      <c r="A217">
        <v>21</v>
      </c>
      <c r="B217">
        <v>0</v>
      </c>
      <c r="C217">
        <v>493</v>
      </c>
    </row>
    <row r="218" spans="1:3" x14ac:dyDescent="0.25">
      <c r="A218">
        <v>19</v>
      </c>
      <c r="B218">
        <v>0</v>
      </c>
      <c r="C218">
        <v>493</v>
      </c>
    </row>
    <row r="219" spans="1:3" x14ac:dyDescent="0.25">
      <c r="A219">
        <v>14</v>
      </c>
      <c r="B219">
        <v>0</v>
      </c>
      <c r="C219">
        <v>493</v>
      </c>
    </row>
    <row r="220" spans="1:3" x14ac:dyDescent="0.25">
      <c r="A220">
        <v>17</v>
      </c>
      <c r="B220">
        <v>0</v>
      </c>
      <c r="C220">
        <v>493</v>
      </c>
    </row>
    <row r="221" spans="1:3" x14ac:dyDescent="0.25">
      <c r="A221">
        <v>19</v>
      </c>
      <c r="B221">
        <v>0</v>
      </c>
      <c r="C221">
        <v>430</v>
      </c>
    </row>
    <row r="222" spans="1:3" x14ac:dyDescent="0.25">
      <c r="A222">
        <v>17</v>
      </c>
      <c r="B222">
        <v>0</v>
      </c>
      <c r="C222">
        <v>430</v>
      </c>
    </row>
    <row r="223" spans="1:3" x14ac:dyDescent="0.25">
      <c r="A223">
        <v>16</v>
      </c>
      <c r="B223">
        <v>0</v>
      </c>
      <c r="C223">
        <v>430</v>
      </c>
    </row>
    <row r="224" spans="1:3" x14ac:dyDescent="0.25">
      <c r="A224">
        <v>14</v>
      </c>
      <c r="B224">
        <v>0</v>
      </c>
      <c r="C224">
        <v>430</v>
      </c>
    </row>
    <row r="225" spans="1:3" x14ac:dyDescent="0.25">
      <c r="A225">
        <v>18</v>
      </c>
      <c r="B225">
        <v>0</v>
      </c>
      <c r="C225">
        <v>430</v>
      </c>
    </row>
    <row r="226" spans="1:3" x14ac:dyDescent="0.25">
      <c r="A226">
        <v>19</v>
      </c>
      <c r="B226">
        <v>0</v>
      </c>
      <c r="C226">
        <v>430</v>
      </c>
    </row>
    <row r="227" spans="1:3" x14ac:dyDescent="0.25">
      <c r="A227">
        <v>15</v>
      </c>
      <c r="B227">
        <v>0</v>
      </c>
      <c r="C227">
        <v>430</v>
      </c>
    </row>
    <row r="228" spans="1:3" x14ac:dyDescent="0.25">
      <c r="A228">
        <v>13</v>
      </c>
      <c r="B228">
        <v>0</v>
      </c>
      <c r="C228">
        <v>430</v>
      </c>
    </row>
    <row r="229" spans="1:3" x14ac:dyDescent="0.25">
      <c r="A229">
        <v>13</v>
      </c>
      <c r="B229">
        <v>0</v>
      </c>
      <c r="C229">
        <v>430</v>
      </c>
    </row>
    <row r="230" spans="1:3" x14ac:dyDescent="0.25">
      <c r="A230">
        <v>15</v>
      </c>
      <c r="B230">
        <v>0</v>
      </c>
      <c r="C230">
        <v>483</v>
      </c>
    </row>
    <row r="231" spans="1:3" x14ac:dyDescent="0.25">
      <c r="A231">
        <v>16</v>
      </c>
      <c r="B231">
        <v>0</v>
      </c>
      <c r="C231">
        <v>483</v>
      </c>
    </row>
    <row r="232" spans="1:3" x14ac:dyDescent="0.25">
      <c r="A232">
        <v>18</v>
      </c>
      <c r="B232">
        <v>0</v>
      </c>
      <c r="C232">
        <v>483</v>
      </c>
    </row>
    <row r="233" spans="1:3" x14ac:dyDescent="0.25">
      <c r="A233">
        <v>19</v>
      </c>
      <c r="B233">
        <v>0</v>
      </c>
      <c r="C233">
        <v>483</v>
      </c>
    </row>
    <row r="234" spans="1:3" x14ac:dyDescent="0.25">
      <c r="A234">
        <v>18</v>
      </c>
      <c r="B234">
        <v>0</v>
      </c>
      <c r="C234">
        <v>483</v>
      </c>
    </row>
    <row r="235" spans="1:3" x14ac:dyDescent="0.25">
      <c r="A235">
        <v>17</v>
      </c>
      <c r="B235">
        <v>0</v>
      </c>
      <c r="C235">
        <v>483</v>
      </c>
    </row>
    <row r="236" spans="1:3" x14ac:dyDescent="0.25">
      <c r="A236">
        <v>16</v>
      </c>
      <c r="B236">
        <v>0</v>
      </c>
      <c r="C236">
        <v>483</v>
      </c>
    </row>
    <row r="237" spans="1:3" x14ac:dyDescent="0.25">
      <c r="A237">
        <v>17</v>
      </c>
      <c r="B237">
        <v>0</v>
      </c>
      <c r="C237">
        <v>483</v>
      </c>
    </row>
    <row r="238" spans="1:3" x14ac:dyDescent="0.25">
      <c r="A238">
        <v>14</v>
      </c>
      <c r="B238">
        <v>0</v>
      </c>
      <c r="C238">
        <v>483</v>
      </c>
    </row>
    <row r="239" spans="1:3" x14ac:dyDescent="0.25">
      <c r="A239">
        <v>15</v>
      </c>
      <c r="B239">
        <v>0</v>
      </c>
      <c r="C239">
        <v>545</v>
      </c>
    </row>
    <row r="240" spans="1:3" x14ac:dyDescent="0.25">
      <c r="A240">
        <v>17</v>
      </c>
      <c r="B240">
        <v>0</v>
      </c>
      <c r="C240">
        <v>545</v>
      </c>
    </row>
    <row r="241" spans="1:3" x14ac:dyDescent="0.25">
      <c r="A241">
        <v>17</v>
      </c>
      <c r="B241">
        <v>0</v>
      </c>
      <c r="C241">
        <v>545</v>
      </c>
    </row>
    <row r="242" spans="1:3" x14ac:dyDescent="0.25">
      <c r="A242">
        <v>15</v>
      </c>
      <c r="B242">
        <v>0</v>
      </c>
      <c r="C242">
        <v>545</v>
      </c>
    </row>
    <row r="243" spans="1:3" x14ac:dyDescent="0.25">
      <c r="A243">
        <v>14</v>
      </c>
      <c r="B243">
        <v>0</v>
      </c>
      <c r="C243">
        <v>545</v>
      </c>
    </row>
    <row r="244" spans="1:3" x14ac:dyDescent="0.25">
      <c r="A244">
        <v>17</v>
      </c>
      <c r="B244">
        <v>0</v>
      </c>
      <c r="C244">
        <v>545</v>
      </c>
    </row>
    <row r="245" spans="1:3" x14ac:dyDescent="0.25">
      <c r="A245">
        <v>18</v>
      </c>
      <c r="B245">
        <v>0</v>
      </c>
      <c r="C245">
        <v>545</v>
      </c>
    </row>
    <row r="246" spans="1:3" x14ac:dyDescent="0.25">
      <c r="A246">
        <v>17</v>
      </c>
      <c r="B246">
        <v>0</v>
      </c>
      <c r="C246">
        <v>545</v>
      </c>
    </row>
    <row r="247" spans="1:3" x14ac:dyDescent="0.25">
      <c r="A247">
        <v>19</v>
      </c>
      <c r="B247">
        <v>0</v>
      </c>
      <c r="C247">
        <v>545</v>
      </c>
    </row>
    <row r="248" spans="1:3" x14ac:dyDescent="0.25">
      <c r="A248">
        <v>17</v>
      </c>
      <c r="B248">
        <v>0</v>
      </c>
      <c r="C248">
        <v>521</v>
      </c>
    </row>
    <row r="249" spans="1:3" x14ac:dyDescent="0.25">
      <c r="A249">
        <v>22</v>
      </c>
      <c r="B249">
        <v>0</v>
      </c>
      <c r="C249">
        <v>521</v>
      </c>
    </row>
    <row r="250" spans="1:3" x14ac:dyDescent="0.25">
      <c r="A250">
        <v>15</v>
      </c>
      <c r="B250">
        <v>0</v>
      </c>
      <c r="C250">
        <v>521</v>
      </c>
    </row>
    <row r="251" spans="1:3" x14ac:dyDescent="0.25">
      <c r="A251">
        <v>18</v>
      </c>
      <c r="B251">
        <v>0</v>
      </c>
      <c r="C251">
        <v>521</v>
      </c>
    </row>
    <row r="252" spans="1:3" x14ac:dyDescent="0.25">
      <c r="A252">
        <v>16</v>
      </c>
      <c r="B252">
        <v>0</v>
      </c>
      <c r="C252">
        <v>521</v>
      </c>
    </row>
    <row r="253" spans="1:3" x14ac:dyDescent="0.25">
      <c r="A253">
        <v>15</v>
      </c>
      <c r="B253">
        <v>0</v>
      </c>
      <c r="C253">
        <v>521</v>
      </c>
    </row>
    <row r="254" spans="1:3" x14ac:dyDescent="0.25">
      <c r="A254">
        <v>15</v>
      </c>
      <c r="B254">
        <v>0</v>
      </c>
      <c r="C254">
        <v>521</v>
      </c>
    </row>
    <row r="255" spans="1:3" x14ac:dyDescent="0.25">
      <c r="A255">
        <v>15</v>
      </c>
      <c r="B255">
        <v>0</v>
      </c>
      <c r="C255">
        <v>521</v>
      </c>
    </row>
    <row r="256" spans="1:3" x14ac:dyDescent="0.25">
      <c r="A256">
        <v>16</v>
      </c>
      <c r="B256">
        <v>0</v>
      </c>
      <c r="C256">
        <v>472</v>
      </c>
    </row>
    <row r="257" spans="1:3" x14ac:dyDescent="0.25">
      <c r="A257">
        <v>18</v>
      </c>
      <c r="B257">
        <v>0</v>
      </c>
      <c r="C257">
        <v>472</v>
      </c>
    </row>
    <row r="258" spans="1:3" x14ac:dyDescent="0.25">
      <c r="A258">
        <v>17</v>
      </c>
      <c r="B258">
        <v>0</v>
      </c>
      <c r="C258">
        <v>472</v>
      </c>
    </row>
    <row r="259" spans="1:3" x14ac:dyDescent="0.25">
      <c r="A259">
        <v>13</v>
      </c>
      <c r="B259">
        <v>0</v>
      </c>
      <c r="C259">
        <v>472</v>
      </c>
    </row>
    <row r="260" spans="1:3" x14ac:dyDescent="0.25">
      <c r="A260">
        <v>16</v>
      </c>
      <c r="B260">
        <v>0</v>
      </c>
      <c r="C260">
        <v>472</v>
      </c>
    </row>
    <row r="261" spans="1:3" x14ac:dyDescent="0.25">
      <c r="A261">
        <v>15</v>
      </c>
      <c r="B261">
        <v>0</v>
      </c>
      <c r="C261">
        <v>472</v>
      </c>
    </row>
    <row r="262" spans="1:3" x14ac:dyDescent="0.25">
      <c r="A262">
        <v>20</v>
      </c>
      <c r="B262">
        <v>0</v>
      </c>
      <c r="C262">
        <v>472</v>
      </c>
    </row>
    <row r="263" spans="1:3" x14ac:dyDescent="0.25">
      <c r="A263">
        <v>16</v>
      </c>
      <c r="B263">
        <v>0</v>
      </c>
      <c r="C263">
        <v>472</v>
      </c>
    </row>
    <row r="264" spans="1:3" x14ac:dyDescent="0.25">
      <c r="A264">
        <v>16</v>
      </c>
      <c r="B264">
        <v>0</v>
      </c>
      <c r="C264">
        <v>472</v>
      </c>
    </row>
    <row r="265" spans="1:3" x14ac:dyDescent="0.25">
      <c r="A265">
        <v>21</v>
      </c>
      <c r="B265">
        <v>0</v>
      </c>
      <c r="C265">
        <v>542</v>
      </c>
    </row>
    <row r="266" spans="1:3" x14ac:dyDescent="0.25">
      <c r="A266">
        <v>38</v>
      </c>
      <c r="B266">
        <v>0</v>
      </c>
      <c r="C266">
        <v>542</v>
      </c>
    </row>
    <row r="267" spans="1:3" x14ac:dyDescent="0.25">
      <c r="A267">
        <v>20</v>
      </c>
      <c r="B267">
        <v>0</v>
      </c>
      <c r="C267">
        <v>542</v>
      </c>
    </row>
    <row r="268" spans="1:3" x14ac:dyDescent="0.25">
      <c r="A268">
        <v>17</v>
      </c>
      <c r="B268">
        <v>0</v>
      </c>
      <c r="C268">
        <v>542</v>
      </c>
    </row>
    <row r="269" spans="1:3" x14ac:dyDescent="0.25">
      <c r="A269">
        <v>19</v>
      </c>
      <c r="B269">
        <v>0</v>
      </c>
      <c r="C269">
        <v>542</v>
      </c>
    </row>
    <row r="270" spans="1:3" x14ac:dyDescent="0.25">
      <c r="A270">
        <v>17</v>
      </c>
      <c r="B270">
        <v>0</v>
      </c>
      <c r="C270">
        <v>542</v>
      </c>
    </row>
    <row r="271" spans="1:3" x14ac:dyDescent="0.25">
      <c r="A271">
        <v>18</v>
      </c>
      <c r="B271">
        <v>0</v>
      </c>
      <c r="C271">
        <v>542</v>
      </c>
    </row>
    <row r="272" spans="1:3" x14ac:dyDescent="0.25">
      <c r="A272">
        <v>20</v>
      </c>
      <c r="B272">
        <v>0</v>
      </c>
      <c r="C272">
        <v>542</v>
      </c>
    </row>
    <row r="273" spans="1:3" x14ac:dyDescent="0.25">
      <c r="A273">
        <v>17</v>
      </c>
      <c r="B273">
        <v>0</v>
      </c>
      <c r="C273">
        <v>524</v>
      </c>
    </row>
    <row r="274" spans="1:3" x14ac:dyDescent="0.25">
      <c r="A274">
        <v>16</v>
      </c>
      <c r="B274">
        <v>0</v>
      </c>
      <c r="C274">
        <v>524</v>
      </c>
    </row>
    <row r="275" spans="1:3" x14ac:dyDescent="0.25">
      <c r="A275">
        <v>18</v>
      </c>
      <c r="B275">
        <v>0</v>
      </c>
      <c r="C275">
        <v>524</v>
      </c>
    </row>
    <row r="276" spans="1:3" x14ac:dyDescent="0.25">
      <c r="A276">
        <v>19</v>
      </c>
      <c r="B276">
        <v>0</v>
      </c>
      <c r="C276">
        <v>524</v>
      </c>
    </row>
    <row r="277" spans="1:3" x14ac:dyDescent="0.25">
      <c r="A277">
        <v>15</v>
      </c>
      <c r="B277">
        <v>0</v>
      </c>
      <c r="C277">
        <v>524</v>
      </c>
    </row>
    <row r="278" spans="1:3" x14ac:dyDescent="0.25">
      <c r="A278">
        <v>15</v>
      </c>
      <c r="B278">
        <v>0</v>
      </c>
      <c r="C278">
        <v>524</v>
      </c>
    </row>
    <row r="279" spans="1:3" x14ac:dyDescent="0.25">
      <c r="A279">
        <v>16</v>
      </c>
      <c r="B279">
        <v>0</v>
      </c>
      <c r="C279">
        <v>524</v>
      </c>
    </row>
    <row r="280" spans="1:3" x14ac:dyDescent="0.25">
      <c r="A280">
        <v>20</v>
      </c>
      <c r="B280">
        <v>0</v>
      </c>
      <c r="C280">
        <v>524</v>
      </c>
    </row>
    <row r="281" spans="1:3" x14ac:dyDescent="0.25">
      <c r="A281">
        <v>15</v>
      </c>
      <c r="B281">
        <v>0</v>
      </c>
      <c r="C281">
        <v>449</v>
      </c>
    </row>
    <row r="282" spans="1:3" x14ac:dyDescent="0.25">
      <c r="A282">
        <v>20</v>
      </c>
      <c r="B282">
        <v>0</v>
      </c>
      <c r="C282">
        <v>449</v>
      </c>
    </row>
    <row r="283" spans="1:3" x14ac:dyDescent="0.25">
      <c r="A283">
        <v>17</v>
      </c>
      <c r="B283">
        <v>0</v>
      </c>
      <c r="C283">
        <v>449</v>
      </c>
    </row>
    <row r="284" spans="1:3" x14ac:dyDescent="0.25">
      <c r="A284">
        <v>19</v>
      </c>
      <c r="B284">
        <v>0</v>
      </c>
      <c r="C284">
        <v>449</v>
      </c>
    </row>
    <row r="285" spans="1:3" x14ac:dyDescent="0.25">
      <c r="A285">
        <v>16</v>
      </c>
      <c r="B285">
        <v>0</v>
      </c>
      <c r="C285">
        <v>449</v>
      </c>
    </row>
    <row r="286" spans="1:3" x14ac:dyDescent="0.25">
      <c r="A286">
        <v>13</v>
      </c>
      <c r="B286">
        <v>0</v>
      </c>
      <c r="C286">
        <v>449</v>
      </c>
    </row>
    <row r="287" spans="1:3" x14ac:dyDescent="0.25">
      <c r="A287">
        <v>13</v>
      </c>
      <c r="B287">
        <v>0</v>
      </c>
      <c r="C287">
        <v>449</v>
      </c>
    </row>
    <row r="288" spans="1:3" x14ac:dyDescent="0.25">
      <c r="A288">
        <v>21</v>
      </c>
      <c r="B288">
        <v>0</v>
      </c>
      <c r="C288">
        <v>449</v>
      </c>
    </row>
    <row r="289" spans="1:3" x14ac:dyDescent="0.25">
      <c r="A289">
        <v>16</v>
      </c>
      <c r="B289">
        <v>0</v>
      </c>
      <c r="C289">
        <v>449</v>
      </c>
    </row>
    <row r="290" spans="1:3" x14ac:dyDescent="0.25">
      <c r="A290">
        <v>18</v>
      </c>
      <c r="B290">
        <v>0</v>
      </c>
      <c r="C290">
        <v>515</v>
      </c>
    </row>
    <row r="291" spans="1:3" x14ac:dyDescent="0.25">
      <c r="A291">
        <v>16</v>
      </c>
      <c r="B291">
        <v>0</v>
      </c>
      <c r="C291">
        <v>515</v>
      </c>
    </row>
    <row r="292" spans="1:3" x14ac:dyDescent="0.25">
      <c r="A292">
        <v>16</v>
      </c>
      <c r="B292">
        <v>0</v>
      </c>
      <c r="C292">
        <v>515</v>
      </c>
    </row>
    <row r="293" spans="1:3" x14ac:dyDescent="0.25">
      <c r="A293">
        <v>18</v>
      </c>
      <c r="B293">
        <v>0</v>
      </c>
      <c r="C293">
        <v>515</v>
      </c>
    </row>
    <row r="294" spans="1:3" x14ac:dyDescent="0.25">
      <c r="A294">
        <v>17</v>
      </c>
      <c r="B294">
        <v>0</v>
      </c>
      <c r="C294">
        <v>515</v>
      </c>
    </row>
    <row r="295" spans="1:3" x14ac:dyDescent="0.25">
      <c r="A295">
        <v>15</v>
      </c>
      <c r="B295">
        <v>0</v>
      </c>
      <c r="C295">
        <v>515</v>
      </c>
    </row>
    <row r="296" spans="1:3" x14ac:dyDescent="0.25">
      <c r="A296">
        <v>19</v>
      </c>
      <c r="B296">
        <v>0</v>
      </c>
      <c r="C296">
        <v>515</v>
      </c>
    </row>
    <row r="297" spans="1:3" x14ac:dyDescent="0.25">
      <c r="A297">
        <v>17</v>
      </c>
      <c r="B297">
        <v>0</v>
      </c>
      <c r="C297">
        <v>515</v>
      </c>
    </row>
    <row r="298" spans="1:3" x14ac:dyDescent="0.25">
      <c r="A298">
        <v>16</v>
      </c>
      <c r="B298">
        <v>0</v>
      </c>
      <c r="C298">
        <v>508</v>
      </c>
    </row>
    <row r="299" spans="1:3" x14ac:dyDescent="0.25">
      <c r="A299">
        <v>17</v>
      </c>
      <c r="B299">
        <v>0</v>
      </c>
      <c r="C299">
        <v>508</v>
      </c>
    </row>
    <row r="300" spans="1:3" x14ac:dyDescent="0.25">
      <c r="A300">
        <v>19</v>
      </c>
      <c r="B300">
        <v>0</v>
      </c>
      <c r="C300">
        <v>508</v>
      </c>
    </row>
    <row r="301" spans="1:3" x14ac:dyDescent="0.25">
      <c r="A301">
        <v>19</v>
      </c>
      <c r="B301">
        <v>0</v>
      </c>
      <c r="C301">
        <v>508</v>
      </c>
    </row>
    <row r="302" spans="1:3" x14ac:dyDescent="0.25">
      <c r="A302">
        <v>19</v>
      </c>
      <c r="B302">
        <v>0</v>
      </c>
      <c r="C302">
        <v>508</v>
      </c>
    </row>
    <row r="303" spans="1:3" x14ac:dyDescent="0.25">
      <c r="A303">
        <v>18</v>
      </c>
      <c r="B303">
        <v>0</v>
      </c>
      <c r="C303">
        <v>508</v>
      </c>
    </row>
    <row r="304" spans="1:3" x14ac:dyDescent="0.25">
      <c r="A304">
        <v>21</v>
      </c>
      <c r="B304">
        <v>0</v>
      </c>
      <c r="C304">
        <v>508</v>
      </c>
    </row>
    <row r="305" spans="1:3" x14ac:dyDescent="0.25">
      <c r="A305">
        <v>18</v>
      </c>
      <c r="B305">
        <v>0</v>
      </c>
      <c r="C305">
        <v>508</v>
      </c>
    </row>
    <row r="306" spans="1:3" x14ac:dyDescent="0.25">
      <c r="A306">
        <v>14</v>
      </c>
      <c r="B306">
        <v>0</v>
      </c>
      <c r="C306">
        <v>499</v>
      </c>
    </row>
    <row r="307" spans="1:3" x14ac:dyDescent="0.25">
      <c r="A307">
        <v>16</v>
      </c>
      <c r="B307">
        <v>0</v>
      </c>
      <c r="C307">
        <v>499</v>
      </c>
    </row>
    <row r="308" spans="1:3" x14ac:dyDescent="0.25">
      <c r="A308">
        <v>16</v>
      </c>
      <c r="B308">
        <v>0</v>
      </c>
      <c r="C308">
        <v>499</v>
      </c>
    </row>
    <row r="309" spans="1:3" x14ac:dyDescent="0.25">
      <c r="A309">
        <v>19</v>
      </c>
      <c r="B309">
        <v>0</v>
      </c>
      <c r="C309">
        <v>499</v>
      </c>
    </row>
    <row r="310" spans="1:3" x14ac:dyDescent="0.25">
      <c r="A310">
        <v>19</v>
      </c>
      <c r="B310">
        <v>0</v>
      </c>
      <c r="C310">
        <v>499</v>
      </c>
    </row>
    <row r="311" spans="1:3" x14ac:dyDescent="0.25">
      <c r="A311">
        <v>19</v>
      </c>
      <c r="B311">
        <v>0</v>
      </c>
      <c r="C311">
        <v>499</v>
      </c>
    </row>
    <row r="312" spans="1:3" x14ac:dyDescent="0.25">
      <c r="A312">
        <v>16</v>
      </c>
      <c r="B312">
        <v>0</v>
      </c>
      <c r="C312">
        <v>499</v>
      </c>
    </row>
    <row r="313" spans="1:3" x14ac:dyDescent="0.25">
      <c r="A313">
        <v>15</v>
      </c>
      <c r="B313">
        <v>0</v>
      </c>
      <c r="C313">
        <v>499</v>
      </c>
    </row>
    <row r="314" spans="1:3" x14ac:dyDescent="0.25">
      <c r="A314">
        <v>13</v>
      </c>
      <c r="B314">
        <v>0</v>
      </c>
      <c r="C314">
        <v>497</v>
      </c>
    </row>
    <row r="315" spans="1:3" x14ac:dyDescent="0.25">
      <c r="A315">
        <v>16</v>
      </c>
      <c r="B315">
        <v>0</v>
      </c>
      <c r="C315">
        <v>497</v>
      </c>
    </row>
    <row r="316" spans="1:3" x14ac:dyDescent="0.25">
      <c r="A316">
        <v>16</v>
      </c>
      <c r="B316">
        <v>0</v>
      </c>
      <c r="C316">
        <v>497</v>
      </c>
    </row>
    <row r="317" spans="1:3" x14ac:dyDescent="0.25">
      <c r="A317">
        <v>21</v>
      </c>
      <c r="B317">
        <v>0</v>
      </c>
      <c r="C317">
        <v>497</v>
      </c>
    </row>
    <row r="318" spans="1:3" x14ac:dyDescent="0.25">
      <c r="A318">
        <v>15</v>
      </c>
      <c r="B318">
        <v>0</v>
      </c>
      <c r="C318">
        <v>497</v>
      </c>
    </row>
    <row r="319" spans="1:3" x14ac:dyDescent="0.25">
      <c r="A319">
        <v>23</v>
      </c>
      <c r="B319">
        <v>0</v>
      </c>
      <c r="C319">
        <v>497</v>
      </c>
    </row>
    <row r="320" spans="1:3" x14ac:dyDescent="0.25">
      <c r="A320">
        <v>21</v>
      </c>
      <c r="B320">
        <v>0</v>
      </c>
      <c r="C320">
        <v>497</v>
      </c>
    </row>
    <row r="321" spans="1:3" x14ac:dyDescent="0.25">
      <c r="A321">
        <v>22</v>
      </c>
      <c r="B321">
        <v>0</v>
      </c>
      <c r="C321">
        <v>851</v>
      </c>
    </row>
    <row r="322" spans="1:3" x14ac:dyDescent="0.25">
      <c r="A322">
        <v>20</v>
      </c>
      <c r="B322">
        <v>0</v>
      </c>
      <c r="C322">
        <v>851</v>
      </c>
    </row>
    <row r="323" spans="1:3" x14ac:dyDescent="0.25">
      <c r="A323">
        <v>21</v>
      </c>
      <c r="B323">
        <v>0</v>
      </c>
      <c r="C323">
        <v>851</v>
      </c>
    </row>
    <row r="324" spans="1:3" x14ac:dyDescent="0.25">
      <c r="A324">
        <v>19</v>
      </c>
      <c r="B324">
        <v>0</v>
      </c>
      <c r="C324">
        <v>851</v>
      </c>
    </row>
    <row r="325" spans="1:3" x14ac:dyDescent="0.25">
      <c r="A325">
        <v>21</v>
      </c>
      <c r="B325">
        <v>0</v>
      </c>
      <c r="C325">
        <v>851</v>
      </c>
    </row>
    <row r="326" spans="1:3" x14ac:dyDescent="0.25">
      <c r="A326">
        <v>16</v>
      </c>
      <c r="B326">
        <v>0</v>
      </c>
      <c r="C326">
        <v>851</v>
      </c>
    </row>
    <row r="327" spans="1:3" x14ac:dyDescent="0.25">
      <c r="A327">
        <v>18</v>
      </c>
      <c r="B327">
        <v>0</v>
      </c>
      <c r="C327">
        <v>851</v>
      </c>
    </row>
    <row r="328" spans="1:3" x14ac:dyDescent="0.25">
      <c r="A328">
        <v>19</v>
      </c>
      <c r="B328">
        <v>0</v>
      </c>
      <c r="C328">
        <v>851</v>
      </c>
    </row>
    <row r="329" spans="1:3" x14ac:dyDescent="0.25">
      <c r="A329">
        <v>15</v>
      </c>
      <c r="B329">
        <v>0</v>
      </c>
      <c r="C329">
        <v>589</v>
      </c>
    </row>
    <row r="330" spans="1:3" x14ac:dyDescent="0.25">
      <c r="A330">
        <v>13</v>
      </c>
      <c r="B330">
        <v>0</v>
      </c>
      <c r="C330">
        <v>589</v>
      </c>
    </row>
    <row r="331" spans="1:3" x14ac:dyDescent="0.25">
      <c r="A331">
        <v>22</v>
      </c>
      <c r="B331">
        <v>0</v>
      </c>
      <c r="C331">
        <v>589</v>
      </c>
    </row>
    <row r="332" spans="1:3" x14ac:dyDescent="0.25">
      <c r="A332">
        <v>17</v>
      </c>
      <c r="B332">
        <v>0</v>
      </c>
      <c r="C332">
        <v>589</v>
      </c>
    </row>
    <row r="333" spans="1:3" x14ac:dyDescent="0.25">
      <c r="A333">
        <v>21</v>
      </c>
      <c r="B333">
        <v>0</v>
      </c>
      <c r="C333">
        <v>589</v>
      </c>
    </row>
    <row r="334" spans="1:3" x14ac:dyDescent="0.25">
      <c r="A334">
        <v>22</v>
      </c>
      <c r="B334">
        <v>0</v>
      </c>
      <c r="C334">
        <v>589</v>
      </c>
    </row>
    <row r="335" spans="1:3" x14ac:dyDescent="0.25">
      <c r="A335">
        <v>18</v>
      </c>
      <c r="B335">
        <v>0</v>
      </c>
      <c r="C335">
        <v>589</v>
      </c>
    </row>
    <row r="336" spans="1:3" x14ac:dyDescent="0.25">
      <c r="A336">
        <v>16</v>
      </c>
      <c r="B336">
        <v>0</v>
      </c>
      <c r="C336">
        <v>589</v>
      </c>
    </row>
    <row r="337" spans="1:3" x14ac:dyDescent="0.25">
      <c r="A337">
        <v>14</v>
      </c>
      <c r="B337">
        <v>0</v>
      </c>
      <c r="C337">
        <v>562</v>
      </c>
    </row>
    <row r="338" spans="1:3" x14ac:dyDescent="0.25">
      <c r="A338">
        <v>13</v>
      </c>
      <c r="B338">
        <v>0</v>
      </c>
      <c r="C338">
        <v>562</v>
      </c>
    </row>
    <row r="339" spans="1:3" x14ac:dyDescent="0.25">
      <c r="A339">
        <v>17</v>
      </c>
      <c r="B339">
        <v>0</v>
      </c>
      <c r="C339">
        <v>562</v>
      </c>
    </row>
    <row r="340" spans="1:3" x14ac:dyDescent="0.25">
      <c r="A340">
        <v>21</v>
      </c>
      <c r="B340">
        <v>0</v>
      </c>
      <c r="C340">
        <v>562</v>
      </c>
    </row>
    <row r="341" spans="1:3" x14ac:dyDescent="0.25">
      <c r="A341">
        <v>14</v>
      </c>
      <c r="B341">
        <v>0</v>
      </c>
      <c r="C341">
        <v>562</v>
      </c>
    </row>
    <row r="342" spans="1:3" x14ac:dyDescent="0.25">
      <c r="A342">
        <v>17</v>
      </c>
      <c r="B342">
        <v>0</v>
      </c>
      <c r="C342">
        <v>562</v>
      </c>
    </row>
    <row r="343" spans="1:3" x14ac:dyDescent="0.25">
      <c r="A343">
        <v>15</v>
      </c>
      <c r="B343">
        <v>0</v>
      </c>
      <c r="C343">
        <v>562</v>
      </c>
    </row>
    <row r="344" spans="1:3" x14ac:dyDescent="0.25">
      <c r="A344">
        <v>14</v>
      </c>
      <c r="B344">
        <v>0</v>
      </c>
      <c r="C344">
        <v>562</v>
      </c>
    </row>
    <row r="345" spans="1:3" x14ac:dyDescent="0.25">
      <c r="A345">
        <v>17</v>
      </c>
      <c r="B345">
        <v>0</v>
      </c>
      <c r="C345">
        <v>562</v>
      </c>
    </row>
    <row r="346" spans="1:3" x14ac:dyDescent="0.25">
      <c r="A346">
        <v>15</v>
      </c>
      <c r="B346">
        <v>0</v>
      </c>
      <c r="C346">
        <v>500</v>
      </c>
    </row>
    <row r="347" spans="1:3" x14ac:dyDescent="0.25">
      <c r="A347">
        <v>19</v>
      </c>
      <c r="B347">
        <v>0</v>
      </c>
      <c r="C347">
        <v>500</v>
      </c>
    </row>
    <row r="348" spans="1:3" x14ac:dyDescent="0.25">
      <c r="A348">
        <v>20</v>
      </c>
      <c r="B348">
        <v>0</v>
      </c>
      <c r="C348">
        <v>500</v>
      </c>
    </row>
    <row r="349" spans="1:3" x14ac:dyDescent="0.25">
      <c r="A349">
        <v>18</v>
      </c>
      <c r="B349">
        <v>0</v>
      </c>
      <c r="C349">
        <v>500</v>
      </c>
    </row>
    <row r="350" spans="1:3" x14ac:dyDescent="0.25">
      <c r="A350">
        <v>17</v>
      </c>
      <c r="B350">
        <v>0</v>
      </c>
      <c r="C350">
        <v>500</v>
      </c>
    </row>
    <row r="351" spans="1:3" x14ac:dyDescent="0.25">
      <c r="A351">
        <v>15</v>
      </c>
      <c r="B351">
        <v>0</v>
      </c>
      <c r="C351">
        <v>500</v>
      </c>
    </row>
    <row r="352" spans="1:3" x14ac:dyDescent="0.25">
      <c r="A352">
        <v>17</v>
      </c>
      <c r="B352">
        <v>0</v>
      </c>
      <c r="C352">
        <v>500</v>
      </c>
    </row>
    <row r="353" spans="1:3" x14ac:dyDescent="0.25">
      <c r="A353">
        <v>14</v>
      </c>
      <c r="B353">
        <v>0</v>
      </c>
      <c r="C353">
        <v>500</v>
      </c>
    </row>
    <row r="354" spans="1:3" x14ac:dyDescent="0.25">
      <c r="A354">
        <v>17</v>
      </c>
      <c r="B354">
        <v>0</v>
      </c>
      <c r="C354">
        <v>551</v>
      </c>
    </row>
    <row r="355" spans="1:3" x14ac:dyDescent="0.25">
      <c r="A355">
        <v>16</v>
      </c>
      <c r="B355">
        <v>0</v>
      </c>
      <c r="C355">
        <v>551</v>
      </c>
    </row>
    <row r="356" spans="1:3" x14ac:dyDescent="0.25">
      <c r="A356">
        <v>19</v>
      </c>
      <c r="B356">
        <v>0</v>
      </c>
      <c r="C356">
        <v>551</v>
      </c>
    </row>
    <row r="357" spans="1:3" x14ac:dyDescent="0.25">
      <c r="A357">
        <v>20</v>
      </c>
      <c r="B357">
        <v>0</v>
      </c>
      <c r="C357">
        <v>551</v>
      </c>
    </row>
    <row r="358" spans="1:3" x14ac:dyDescent="0.25">
      <c r="A358">
        <v>15</v>
      </c>
      <c r="B358">
        <v>0</v>
      </c>
      <c r="C358">
        <v>551</v>
      </c>
    </row>
    <row r="359" spans="1:3" x14ac:dyDescent="0.25">
      <c r="A359">
        <v>21</v>
      </c>
      <c r="B359">
        <v>0</v>
      </c>
      <c r="C359">
        <v>551</v>
      </c>
    </row>
    <row r="360" spans="1:3" x14ac:dyDescent="0.25">
      <c r="A360">
        <v>17</v>
      </c>
      <c r="B360">
        <v>0</v>
      </c>
      <c r="C360">
        <v>551</v>
      </c>
    </row>
    <row r="361" spans="1:3" x14ac:dyDescent="0.25">
      <c r="A361">
        <v>17</v>
      </c>
      <c r="B361">
        <v>0</v>
      </c>
      <c r="C361">
        <v>551</v>
      </c>
    </row>
    <row r="362" spans="1:3" x14ac:dyDescent="0.25">
      <c r="A362">
        <v>17</v>
      </c>
      <c r="B362">
        <v>0</v>
      </c>
      <c r="C362">
        <v>571</v>
      </c>
    </row>
    <row r="363" spans="1:3" x14ac:dyDescent="0.25">
      <c r="A363">
        <v>16</v>
      </c>
      <c r="B363">
        <v>0</v>
      </c>
      <c r="C363">
        <v>571</v>
      </c>
    </row>
    <row r="364" spans="1:3" x14ac:dyDescent="0.25">
      <c r="A364">
        <v>19</v>
      </c>
      <c r="B364">
        <v>0</v>
      </c>
      <c r="C364">
        <v>571</v>
      </c>
    </row>
    <row r="365" spans="1:3" x14ac:dyDescent="0.25">
      <c r="A365">
        <v>19</v>
      </c>
      <c r="B365">
        <v>0</v>
      </c>
      <c r="C365">
        <v>571</v>
      </c>
    </row>
    <row r="366" spans="1:3" x14ac:dyDescent="0.25">
      <c r="A366">
        <v>15</v>
      </c>
      <c r="B366">
        <v>0</v>
      </c>
      <c r="C366">
        <v>571</v>
      </c>
    </row>
    <row r="367" spans="1:3" x14ac:dyDescent="0.25">
      <c r="A367">
        <v>15</v>
      </c>
      <c r="B367">
        <v>0</v>
      </c>
      <c r="C367">
        <v>571</v>
      </c>
    </row>
    <row r="368" spans="1:3" x14ac:dyDescent="0.25">
      <c r="A368">
        <v>20</v>
      </c>
      <c r="B368">
        <v>0</v>
      </c>
      <c r="C368">
        <v>571</v>
      </c>
    </row>
    <row r="369" spans="1:3" x14ac:dyDescent="0.25">
      <c r="A369">
        <v>17</v>
      </c>
      <c r="B369">
        <v>0</v>
      </c>
      <c r="C369">
        <v>571</v>
      </c>
    </row>
    <row r="370" spans="1:3" x14ac:dyDescent="0.25">
      <c r="A370">
        <v>18</v>
      </c>
      <c r="B370">
        <v>0</v>
      </c>
      <c r="C370">
        <v>606</v>
      </c>
    </row>
    <row r="371" spans="1:3" x14ac:dyDescent="0.25">
      <c r="A371">
        <v>21</v>
      </c>
      <c r="B371">
        <v>0</v>
      </c>
      <c r="C371">
        <v>606</v>
      </c>
    </row>
    <row r="372" spans="1:3" x14ac:dyDescent="0.25">
      <c r="A372">
        <v>17</v>
      </c>
      <c r="B372">
        <v>0</v>
      </c>
      <c r="C372">
        <v>606</v>
      </c>
    </row>
    <row r="373" spans="1:3" x14ac:dyDescent="0.25">
      <c r="A373">
        <v>17</v>
      </c>
      <c r="B373">
        <v>0</v>
      </c>
      <c r="C373">
        <v>606</v>
      </c>
    </row>
    <row r="374" spans="1:3" x14ac:dyDescent="0.25">
      <c r="A374">
        <v>18</v>
      </c>
      <c r="B374">
        <v>0</v>
      </c>
      <c r="C374">
        <v>606</v>
      </c>
    </row>
    <row r="375" spans="1:3" x14ac:dyDescent="0.25">
      <c r="A375">
        <v>17</v>
      </c>
      <c r="B375">
        <v>0</v>
      </c>
      <c r="C375">
        <v>606</v>
      </c>
    </row>
    <row r="376" spans="1:3" x14ac:dyDescent="0.25">
      <c r="A376">
        <v>19</v>
      </c>
      <c r="B376">
        <v>0</v>
      </c>
      <c r="C376">
        <v>606</v>
      </c>
    </row>
    <row r="377" spans="1:3" x14ac:dyDescent="0.25">
      <c r="A377">
        <v>16</v>
      </c>
      <c r="B377">
        <v>0</v>
      </c>
      <c r="C377">
        <v>606</v>
      </c>
    </row>
    <row r="378" spans="1:3" x14ac:dyDescent="0.25">
      <c r="A378">
        <v>16</v>
      </c>
      <c r="B378">
        <v>0</v>
      </c>
      <c r="C378">
        <v>516</v>
      </c>
    </row>
    <row r="379" spans="1:3" x14ac:dyDescent="0.25">
      <c r="A379">
        <v>20</v>
      </c>
      <c r="B379">
        <v>0</v>
      </c>
      <c r="C379">
        <v>516</v>
      </c>
    </row>
    <row r="380" spans="1:3" x14ac:dyDescent="0.25">
      <c r="A380">
        <v>15</v>
      </c>
      <c r="B380">
        <v>0</v>
      </c>
      <c r="C380">
        <v>516</v>
      </c>
    </row>
    <row r="381" spans="1:3" x14ac:dyDescent="0.25">
      <c r="A381">
        <v>16</v>
      </c>
      <c r="B381">
        <v>0</v>
      </c>
      <c r="C381">
        <v>516</v>
      </c>
    </row>
    <row r="382" spans="1:3" x14ac:dyDescent="0.25">
      <c r="A382">
        <v>17</v>
      </c>
      <c r="B382">
        <v>0</v>
      </c>
      <c r="C382">
        <v>516</v>
      </c>
    </row>
    <row r="383" spans="1:3" x14ac:dyDescent="0.25">
      <c r="A383">
        <v>15</v>
      </c>
      <c r="B383">
        <v>0</v>
      </c>
      <c r="C383">
        <v>516</v>
      </c>
    </row>
    <row r="384" spans="1:3" x14ac:dyDescent="0.25">
      <c r="A384">
        <v>16</v>
      </c>
      <c r="B384">
        <v>0</v>
      </c>
      <c r="C384">
        <v>516</v>
      </c>
    </row>
    <row r="385" spans="1:3" x14ac:dyDescent="0.25">
      <c r="A385">
        <v>14</v>
      </c>
      <c r="B385">
        <v>0</v>
      </c>
      <c r="C385">
        <v>516</v>
      </c>
    </row>
    <row r="386" spans="1:3" x14ac:dyDescent="0.25">
      <c r="A386">
        <v>18</v>
      </c>
      <c r="B386">
        <v>0</v>
      </c>
      <c r="C386">
        <v>516</v>
      </c>
    </row>
    <row r="387" spans="1:3" x14ac:dyDescent="0.25">
      <c r="A387">
        <v>21</v>
      </c>
      <c r="B387">
        <v>0</v>
      </c>
      <c r="C387">
        <v>510</v>
      </c>
    </row>
    <row r="388" spans="1:3" x14ac:dyDescent="0.25">
      <c r="A388">
        <v>14</v>
      </c>
      <c r="B388">
        <v>0</v>
      </c>
      <c r="C388">
        <v>510</v>
      </c>
    </row>
    <row r="389" spans="1:3" x14ac:dyDescent="0.25">
      <c r="A389">
        <v>16</v>
      </c>
      <c r="B389">
        <v>0</v>
      </c>
      <c r="C389">
        <v>510</v>
      </c>
    </row>
    <row r="390" spans="1:3" x14ac:dyDescent="0.25">
      <c r="A390">
        <v>14</v>
      </c>
      <c r="B390">
        <v>0</v>
      </c>
      <c r="C390">
        <v>510</v>
      </c>
    </row>
    <row r="391" spans="1:3" x14ac:dyDescent="0.25">
      <c r="A391">
        <v>17</v>
      </c>
      <c r="B391">
        <v>0</v>
      </c>
      <c r="C391">
        <v>510</v>
      </c>
    </row>
    <row r="392" spans="1:3" x14ac:dyDescent="0.25">
      <c r="A392">
        <v>14</v>
      </c>
      <c r="B392">
        <v>0</v>
      </c>
      <c r="C392">
        <v>510</v>
      </c>
    </row>
    <row r="393" spans="1:3" x14ac:dyDescent="0.25">
      <c r="A393">
        <v>14</v>
      </c>
      <c r="B393">
        <v>0</v>
      </c>
      <c r="C393">
        <v>510</v>
      </c>
    </row>
    <row r="394" spans="1:3" x14ac:dyDescent="0.25">
      <c r="A394">
        <v>13</v>
      </c>
      <c r="B394">
        <v>0</v>
      </c>
      <c r="C394">
        <v>510</v>
      </c>
    </row>
    <row r="395" spans="1:3" x14ac:dyDescent="0.25">
      <c r="A395">
        <v>18</v>
      </c>
      <c r="B395">
        <v>0</v>
      </c>
      <c r="C395">
        <v>510</v>
      </c>
    </row>
    <row r="396" spans="1:3" x14ac:dyDescent="0.25">
      <c r="A396">
        <v>14</v>
      </c>
      <c r="B396">
        <v>0</v>
      </c>
      <c r="C396">
        <v>509</v>
      </c>
    </row>
    <row r="397" spans="1:3" x14ac:dyDescent="0.25">
      <c r="A397">
        <v>16</v>
      </c>
      <c r="B397">
        <v>0</v>
      </c>
      <c r="C397">
        <v>509</v>
      </c>
    </row>
    <row r="398" spans="1:3" x14ac:dyDescent="0.25">
      <c r="A398">
        <v>15</v>
      </c>
      <c r="B398">
        <v>0</v>
      </c>
      <c r="C398">
        <v>509</v>
      </c>
    </row>
    <row r="399" spans="1:3" x14ac:dyDescent="0.25">
      <c r="A399">
        <v>17</v>
      </c>
      <c r="B399">
        <v>0</v>
      </c>
      <c r="C399">
        <v>509</v>
      </c>
    </row>
    <row r="400" spans="1:3" x14ac:dyDescent="0.25">
      <c r="A400">
        <v>18</v>
      </c>
      <c r="B400">
        <v>0</v>
      </c>
      <c r="C400">
        <v>509</v>
      </c>
    </row>
    <row r="401" spans="1:3" x14ac:dyDescent="0.25">
      <c r="A401">
        <v>17</v>
      </c>
      <c r="B401">
        <v>0</v>
      </c>
      <c r="C401">
        <v>509</v>
      </c>
    </row>
    <row r="402" spans="1:3" x14ac:dyDescent="0.25">
      <c r="A402">
        <v>16</v>
      </c>
      <c r="B402">
        <v>0</v>
      </c>
      <c r="C402">
        <v>509</v>
      </c>
    </row>
    <row r="403" spans="1:3" x14ac:dyDescent="0.25">
      <c r="A403">
        <v>19</v>
      </c>
      <c r="B403">
        <v>0</v>
      </c>
      <c r="C403">
        <v>509</v>
      </c>
    </row>
    <row r="404" spans="1:3" x14ac:dyDescent="0.25">
      <c r="A404">
        <v>16</v>
      </c>
      <c r="B404">
        <v>0</v>
      </c>
      <c r="C404">
        <v>504</v>
      </c>
    </row>
    <row r="405" spans="1:3" x14ac:dyDescent="0.25">
      <c r="A405">
        <v>17</v>
      </c>
      <c r="B405">
        <v>0</v>
      </c>
      <c r="C405">
        <v>504</v>
      </c>
    </row>
    <row r="406" spans="1:3" x14ac:dyDescent="0.25">
      <c r="A406">
        <v>17</v>
      </c>
      <c r="B406">
        <v>0</v>
      </c>
      <c r="C406">
        <v>504</v>
      </c>
    </row>
    <row r="407" spans="1:3" x14ac:dyDescent="0.25">
      <c r="A407">
        <v>17</v>
      </c>
      <c r="B407">
        <v>0</v>
      </c>
      <c r="C407">
        <v>504</v>
      </c>
    </row>
    <row r="408" spans="1:3" x14ac:dyDescent="0.25">
      <c r="A408">
        <v>16</v>
      </c>
      <c r="B408">
        <v>0</v>
      </c>
      <c r="C408">
        <v>504</v>
      </c>
    </row>
    <row r="409" spans="1:3" x14ac:dyDescent="0.25">
      <c r="A409">
        <v>16</v>
      </c>
      <c r="B409">
        <v>0</v>
      </c>
      <c r="C409">
        <v>504</v>
      </c>
    </row>
    <row r="410" spans="1:3" x14ac:dyDescent="0.25">
      <c r="A410">
        <v>17</v>
      </c>
      <c r="B410">
        <v>0</v>
      </c>
      <c r="C410">
        <v>504</v>
      </c>
    </row>
    <row r="411" spans="1:3" x14ac:dyDescent="0.25">
      <c r="A411">
        <v>21</v>
      </c>
      <c r="B411">
        <v>0</v>
      </c>
      <c r="C411">
        <v>504</v>
      </c>
    </row>
    <row r="412" spans="1:3" x14ac:dyDescent="0.25">
      <c r="A412">
        <v>19</v>
      </c>
      <c r="B412">
        <v>0</v>
      </c>
      <c r="C412">
        <v>576</v>
      </c>
    </row>
    <row r="413" spans="1:3" x14ac:dyDescent="0.25">
      <c r="A413">
        <v>18</v>
      </c>
      <c r="B413">
        <v>0</v>
      </c>
      <c r="C413">
        <v>576</v>
      </c>
    </row>
    <row r="414" spans="1:3" x14ac:dyDescent="0.25">
      <c r="A414">
        <v>13</v>
      </c>
      <c r="B414">
        <v>0</v>
      </c>
      <c r="C414">
        <v>576</v>
      </c>
    </row>
    <row r="415" spans="1:3" x14ac:dyDescent="0.25">
      <c r="A415">
        <v>12</v>
      </c>
      <c r="B415">
        <v>0</v>
      </c>
      <c r="C415">
        <v>576</v>
      </c>
    </row>
    <row r="416" spans="1:3" x14ac:dyDescent="0.25">
      <c r="A416">
        <v>19</v>
      </c>
      <c r="B416">
        <v>0</v>
      </c>
      <c r="C416">
        <v>576</v>
      </c>
    </row>
    <row r="417" spans="1:3" x14ac:dyDescent="0.25">
      <c r="A417">
        <v>19</v>
      </c>
      <c r="B417">
        <v>0</v>
      </c>
      <c r="C417">
        <v>576</v>
      </c>
    </row>
    <row r="418" spans="1:3" x14ac:dyDescent="0.25">
      <c r="A418">
        <v>21</v>
      </c>
      <c r="B418">
        <v>0</v>
      </c>
      <c r="C418">
        <v>576</v>
      </c>
    </row>
    <row r="419" spans="1:3" x14ac:dyDescent="0.25">
      <c r="A419">
        <v>18</v>
      </c>
      <c r="B419">
        <v>0</v>
      </c>
      <c r="C419">
        <v>576</v>
      </c>
    </row>
    <row r="420" spans="1:3" x14ac:dyDescent="0.25">
      <c r="A420">
        <v>16</v>
      </c>
      <c r="B420">
        <v>0</v>
      </c>
      <c r="C420">
        <v>576</v>
      </c>
    </row>
    <row r="421" spans="1:3" x14ac:dyDescent="0.25">
      <c r="A421">
        <v>14</v>
      </c>
      <c r="B421">
        <v>0</v>
      </c>
      <c r="C421">
        <v>539</v>
      </c>
    </row>
    <row r="422" spans="1:3" x14ac:dyDescent="0.25">
      <c r="A422">
        <v>18</v>
      </c>
      <c r="B422">
        <v>0</v>
      </c>
      <c r="C422">
        <v>539</v>
      </c>
    </row>
    <row r="423" spans="1:3" x14ac:dyDescent="0.25">
      <c r="A423">
        <v>18</v>
      </c>
      <c r="B423">
        <v>0</v>
      </c>
      <c r="C423">
        <v>539</v>
      </c>
    </row>
    <row r="424" spans="1:3" x14ac:dyDescent="0.25">
      <c r="A424">
        <v>15</v>
      </c>
      <c r="B424">
        <v>0</v>
      </c>
      <c r="C424">
        <v>539</v>
      </c>
    </row>
    <row r="425" spans="1:3" x14ac:dyDescent="0.25">
      <c r="A425">
        <v>17</v>
      </c>
      <c r="B425">
        <v>0</v>
      </c>
      <c r="C425">
        <v>539</v>
      </c>
    </row>
    <row r="426" spans="1:3" x14ac:dyDescent="0.25">
      <c r="A426">
        <v>20</v>
      </c>
      <c r="B426">
        <v>0</v>
      </c>
      <c r="C426">
        <v>539</v>
      </c>
    </row>
    <row r="427" spans="1:3" x14ac:dyDescent="0.25">
      <c r="A427">
        <v>17</v>
      </c>
      <c r="B427">
        <v>0</v>
      </c>
      <c r="C427">
        <v>539</v>
      </c>
    </row>
    <row r="428" spans="1:3" x14ac:dyDescent="0.25">
      <c r="A428">
        <v>15</v>
      </c>
      <c r="B428">
        <v>0</v>
      </c>
      <c r="C428">
        <v>539</v>
      </c>
    </row>
    <row r="429" spans="1:3" x14ac:dyDescent="0.25">
      <c r="A429">
        <v>14</v>
      </c>
      <c r="B429">
        <v>0</v>
      </c>
      <c r="C429">
        <v>510</v>
      </c>
    </row>
    <row r="430" spans="1:3" x14ac:dyDescent="0.25">
      <c r="A430">
        <v>13</v>
      </c>
      <c r="B430">
        <v>0</v>
      </c>
      <c r="C430">
        <v>510</v>
      </c>
    </row>
    <row r="431" spans="1:3" x14ac:dyDescent="0.25">
      <c r="A431">
        <v>16</v>
      </c>
      <c r="B431">
        <v>0</v>
      </c>
      <c r="C431">
        <v>510</v>
      </c>
    </row>
    <row r="432" spans="1:3" x14ac:dyDescent="0.25">
      <c r="A432">
        <v>13</v>
      </c>
      <c r="B432">
        <v>0</v>
      </c>
      <c r="C432">
        <v>510</v>
      </c>
    </row>
    <row r="433" spans="1:3" x14ac:dyDescent="0.25">
      <c r="A433">
        <v>18</v>
      </c>
      <c r="B433">
        <v>0</v>
      </c>
      <c r="C433">
        <v>510</v>
      </c>
    </row>
    <row r="434" spans="1:3" x14ac:dyDescent="0.25">
      <c r="A434">
        <v>22</v>
      </c>
      <c r="B434">
        <v>0</v>
      </c>
      <c r="C434">
        <v>510</v>
      </c>
    </row>
    <row r="435" spans="1:3" x14ac:dyDescent="0.25">
      <c r="A435">
        <v>15</v>
      </c>
      <c r="B435">
        <v>0</v>
      </c>
      <c r="C435">
        <v>510</v>
      </c>
    </row>
    <row r="436" spans="1:3" x14ac:dyDescent="0.25">
      <c r="A436">
        <v>17</v>
      </c>
      <c r="B436">
        <v>0</v>
      </c>
      <c r="C436">
        <v>510</v>
      </c>
    </row>
    <row r="437" spans="1:3" x14ac:dyDescent="0.25">
      <c r="A437">
        <v>13</v>
      </c>
      <c r="B437">
        <v>0</v>
      </c>
      <c r="C437">
        <v>514</v>
      </c>
    </row>
    <row r="438" spans="1:3" x14ac:dyDescent="0.25">
      <c r="A438">
        <v>18</v>
      </c>
      <c r="B438">
        <v>0</v>
      </c>
      <c r="C438">
        <v>514</v>
      </c>
    </row>
    <row r="439" spans="1:3" x14ac:dyDescent="0.25">
      <c r="A439">
        <v>16</v>
      </c>
      <c r="B439">
        <v>0</v>
      </c>
      <c r="C439">
        <v>514</v>
      </c>
    </row>
    <row r="440" spans="1:3" x14ac:dyDescent="0.25">
      <c r="A440">
        <v>15</v>
      </c>
      <c r="B440">
        <v>0</v>
      </c>
      <c r="C440">
        <v>514</v>
      </c>
    </row>
    <row r="441" spans="1:3" x14ac:dyDescent="0.25">
      <c r="A441">
        <v>16</v>
      </c>
      <c r="B441">
        <v>0</v>
      </c>
      <c r="C441">
        <v>514</v>
      </c>
    </row>
    <row r="442" spans="1:3" x14ac:dyDescent="0.25">
      <c r="A442">
        <v>21</v>
      </c>
      <c r="B442">
        <v>0</v>
      </c>
      <c r="C442">
        <v>514</v>
      </c>
    </row>
    <row r="443" spans="1:3" x14ac:dyDescent="0.25">
      <c r="A443">
        <v>16</v>
      </c>
      <c r="B443">
        <v>0</v>
      </c>
      <c r="C443">
        <v>514</v>
      </c>
    </row>
    <row r="444" spans="1:3" x14ac:dyDescent="0.25">
      <c r="A444">
        <v>13</v>
      </c>
      <c r="B444">
        <v>0</v>
      </c>
      <c r="C444">
        <v>514</v>
      </c>
    </row>
    <row r="445" spans="1:3" x14ac:dyDescent="0.25">
      <c r="A445">
        <v>14</v>
      </c>
      <c r="B445">
        <v>0</v>
      </c>
      <c r="C445">
        <v>514</v>
      </c>
    </row>
    <row r="446" spans="1:3" x14ac:dyDescent="0.25">
      <c r="A446">
        <v>14</v>
      </c>
      <c r="B446">
        <v>0</v>
      </c>
      <c r="C446">
        <v>484</v>
      </c>
    </row>
    <row r="447" spans="1:3" x14ac:dyDescent="0.25">
      <c r="A447">
        <v>16</v>
      </c>
      <c r="B447">
        <v>0</v>
      </c>
      <c r="C447">
        <v>484</v>
      </c>
    </row>
    <row r="448" spans="1:3" x14ac:dyDescent="0.25">
      <c r="A448">
        <v>16</v>
      </c>
      <c r="B448">
        <v>0</v>
      </c>
      <c r="C448">
        <v>484</v>
      </c>
    </row>
    <row r="449" spans="1:3" x14ac:dyDescent="0.25">
      <c r="A449">
        <v>19</v>
      </c>
      <c r="B449">
        <v>0</v>
      </c>
      <c r="C449">
        <v>484</v>
      </c>
    </row>
    <row r="450" spans="1:3" x14ac:dyDescent="0.25">
      <c r="A450">
        <v>21</v>
      </c>
      <c r="B450">
        <v>0</v>
      </c>
      <c r="C450">
        <v>484</v>
      </c>
    </row>
    <row r="451" spans="1:3" x14ac:dyDescent="0.25">
      <c r="A451">
        <v>15</v>
      </c>
      <c r="B451">
        <v>0</v>
      </c>
      <c r="C451">
        <v>484</v>
      </c>
    </row>
    <row r="452" spans="1:3" x14ac:dyDescent="0.25">
      <c r="A452">
        <v>17</v>
      </c>
      <c r="B452">
        <v>0</v>
      </c>
      <c r="C452">
        <v>484</v>
      </c>
    </row>
    <row r="453" spans="1:3" x14ac:dyDescent="0.25">
      <c r="A453">
        <v>18</v>
      </c>
      <c r="B453">
        <v>0</v>
      </c>
      <c r="C453">
        <v>484</v>
      </c>
    </row>
    <row r="454" spans="1:3" x14ac:dyDescent="0.25">
      <c r="A454">
        <v>20</v>
      </c>
      <c r="B454">
        <v>0</v>
      </c>
      <c r="C454">
        <v>518</v>
      </c>
    </row>
    <row r="455" spans="1:3" x14ac:dyDescent="0.25">
      <c r="A455">
        <v>20</v>
      </c>
      <c r="B455">
        <v>0</v>
      </c>
      <c r="C455">
        <v>518</v>
      </c>
    </row>
    <row r="456" spans="1:3" x14ac:dyDescent="0.25">
      <c r="A456">
        <v>16</v>
      </c>
      <c r="B456">
        <v>0</v>
      </c>
      <c r="C456">
        <v>518</v>
      </c>
    </row>
    <row r="457" spans="1:3" x14ac:dyDescent="0.25">
      <c r="A457">
        <v>17</v>
      </c>
      <c r="B457">
        <v>0</v>
      </c>
      <c r="C457">
        <v>518</v>
      </c>
    </row>
    <row r="458" spans="1:3" x14ac:dyDescent="0.25">
      <c r="A458">
        <v>18</v>
      </c>
      <c r="B458">
        <v>0</v>
      </c>
      <c r="C458">
        <v>518</v>
      </c>
    </row>
    <row r="459" spans="1:3" x14ac:dyDescent="0.25">
      <c r="A459">
        <v>14</v>
      </c>
      <c r="B459">
        <v>0</v>
      </c>
      <c r="C459">
        <v>518</v>
      </c>
    </row>
    <row r="460" spans="1:3" x14ac:dyDescent="0.25">
      <c r="A460">
        <v>14</v>
      </c>
      <c r="B460">
        <v>0</v>
      </c>
      <c r="C460">
        <v>518</v>
      </c>
    </row>
    <row r="461" spans="1:3" x14ac:dyDescent="0.25">
      <c r="A461">
        <v>16</v>
      </c>
      <c r="B461">
        <v>0</v>
      </c>
      <c r="C461">
        <v>518</v>
      </c>
    </row>
    <row r="462" spans="1:3" x14ac:dyDescent="0.25">
      <c r="A462">
        <v>15</v>
      </c>
      <c r="B462">
        <v>0</v>
      </c>
      <c r="C462">
        <v>533</v>
      </c>
    </row>
    <row r="463" spans="1:3" x14ac:dyDescent="0.25">
      <c r="A463">
        <v>14</v>
      </c>
      <c r="B463">
        <v>0</v>
      </c>
      <c r="C463">
        <v>533</v>
      </c>
    </row>
    <row r="464" spans="1:3" x14ac:dyDescent="0.25">
      <c r="A464">
        <v>16</v>
      </c>
      <c r="B464">
        <v>0</v>
      </c>
      <c r="C464">
        <v>533</v>
      </c>
    </row>
    <row r="465" spans="1:3" x14ac:dyDescent="0.25">
      <c r="A465">
        <v>18</v>
      </c>
      <c r="B465">
        <v>0</v>
      </c>
      <c r="C465">
        <v>533</v>
      </c>
    </row>
    <row r="466" spans="1:3" x14ac:dyDescent="0.25">
      <c r="A466">
        <v>20</v>
      </c>
      <c r="B466">
        <v>0</v>
      </c>
      <c r="C466">
        <v>533</v>
      </c>
    </row>
    <row r="467" spans="1:3" x14ac:dyDescent="0.25">
      <c r="A467">
        <v>16</v>
      </c>
      <c r="B467">
        <v>0</v>
      </c>
      <c r="C467">
        <v>533</v>
      </c>
    </row>
    <row r="468" spans="1:3" x14ac:dyDescent="0.25">
      <c r="A468">
        <v>18</v>
      </c>
      <c r="B468">
        <v>0</v>
      </c>
      <c r="C468">
        <v>533</v>
      </c>
    </row>
    <row r="469" spans="1:3" x14ac:dyDescent="0.25">
      <c r="A469">
        <v>15</v>
      </c>
      <c r="B469">
        <v>0</v>
      </c>
      <c r="C469">
        <v>533</v>
      </c>
    </row>
    <row r="470" spans="1:3" x14ac:dyDescent="0.25">
      <c r="A470">
        <v>19</v>
      </c>
      <c r="B470">
        <v>0</v>
      </c>
      <c r="C470">
        <v>505</v>
      </c>
    </row>
    <row r="471" spans="1:3" x14ac:dyDescent="0.25">
      <c r="A471">
        <v>14</v>
      </c>
      <c r="B471">
        <v>0</v>
      </c>
      <c r="C471">
        <v>505</v>
      </c>
    </row>
    <row r="472" spans="1:3" x14ac:dyDescent="0.25">
      <c r="A472">
        <v>15</v>
      </c>
      <c r="B472">
        <v>0</v>
      </c>
      <c r="C472">
        <v>505</v>
      </c>
    </row>
    <row r="473" spans="1:3" x14ac:dyDescent="0.25">
      <c r="A473">
        <v>21</v>
      </c>
      <c r="B473">
        <v>0</v>
      </c>
      <c r="C473">
        <v>505</v>
      </c>
    </row>
    <row r="474" spans="1:3" x14ac:dyDescent="0.25">
      <c r="A474">
        <v>20</v>
      </c>
      <c r="B474">
        <v>0</v>
      </c>
      <c r="C474">
        <v>505</v>
      </c>
    </row>
    <row r="475" spans="1:3" x14ac:dyDescent="0.25">
      <c r="A475">
        <v>18</v>
      </c>
      <c r="B475">
        <v>0</v>
      </c>
      <c r="C475">
        <v>505</v>
      </c>
    </row>
    <row r="476" spans="1:3" x14ac:dyDescent="0.25">
      <c r="A476">
        <v>17</v>
      </c>
      <c r="B476">
        <v>0</v>
      </c>
      <c r="C476">
        <v>505</v>
      </c>
    </row>
    <row r="477" spans="1:3" x14ac:dyDescent="0.25">
      <c r="A477">
        <v>18</v>
      </c>
      <c r="B477">
        <v>0</v>
      </c>
      <c r="C477">
        <v>505</v>
      </c>
    </row>
    <row r="478" spans="1:3" x14ac:dyDescent="0.25">
      <c r="A478">
        <v>15</v>
      </c>
      <c r="B478">
        <v>0</v>
      </c>
      <c r="C478">
        <v>545</v>
      </c>
    </row>
    <row r="479" spans="1:3" x14ac:dyDescent="0.25">
      <c r="A479">
        <v>17</v>
      </c>
      <c r="B479">
        <v>0</v>
      </c>
      <c r="C479">
        <v>545</v>
      </c>
    </row>
    <row r="480" spans="1:3" x14ac:dyDescent="0.25">
      <c r="A480">
        <v>21</v>
      </c>
      <c r="B480">
        <v>0</v>
      </c>
      <c r="C480">
        <v>545</v>
      </c>
    </row>
    <row r="481" spans="1:3" x14ac:dyDescent="0.25">
      <c r="A481">
        <v>17</v>
      </c>
      <c r="B481">
        <v>0</v>
      </c>
      <c r="C481">
        <v>545</v>
      </c>
    </row>
    <row r="482" spans="1:3" x14ac:dyDescent="0.25">
      <c r="A482">
        <v>17</v>
      </c>
      <c r="B482">
        <v>0</v>
      </c>
      <c r="C482">
        <v>545</v>
      </c>
    </row>
    <row r="483" spans="1:3" x14ac:dyDescent="0.25">
      <c r="A483">
        <v>16</v>
      </c>
      <c r="B483">
        <v>0</v>
      </c>
      <c r="C483">
        <v>545</v>
      </c>
    </row>
    <row r="484" spans="1:3" x14ac:dyDescent="0.25">
      <c r="A484">
        <v>16</v>
      </c>
      <c r="B484">
        <v>0</v>
      </c>
      <c r="C484">
        <v>545</v>
      </c>
    </row>
    <row r="485" spans="1:3" x14ac:dyDescent="0.25">
      <c r="A485">
        <v>18</v>
      </c>
      <c r="B485">
        <v>0</v>
      </c>
      <c r="C485">
        <v>545</v>
      </c>
    </row>
    <row r="486" spans="1:3" x14ac:dyDescent="0.25">
      <c r="A486">
        <v>18</v>
      </c>
      <c r="B486">
        <v>0</v>
      </c>
      <c r="C486">
        <v>496</v>
      </c>
    </row>
    <row r="487" spans="1:3" x14ac:dyDescent="0.25">
      <c r="A487">
        <v>18</v>
      </c>
      <c r="B487">
        <v>0</v>
      </c>
      <c r="C487">
        <v>496</v>
      </c>
    </row>
    <row r="488" spans="1:3" x14ac:dyDescent="0.25">
      <c r="A488">
        <v>17</v>
      </c>
      <c r="B488">
        <v>0</v>
      </c>
      <c r="C488">
        <v>496</v>
      </c>
    </row>
    <row r="489" spans="1:3" x14ac:dyDescent="0.25">
      <c r="A489">
        <v>20</v>
      </c>
      <c r="B489">
        <v>0</v>
      </c>
      <c r="C489">
        <v>496</v>
      </c>
    </row>
    <row r="490" spans="1:3" x14ac:dyDescent="0.25">
      <c r="A490">
        <v>15</v>
      </c>
      <c r="B490">
        <v>0</v>
      </c>
      <c r="C490">
        <v>496</v>
      </c>
    </row>
    <row r="491" spans="1:3" x14ac:dyDescent="0.25">
      <c r="A491">
        <v>18</v>
      </c>
      <c r="B491">
        <v>0</v>
      </c>
      <c r="C491">
        <v>496</v>
      </c>
    </row>
    <row r="492" spans="1:3" x14ac:dyDescent="0.25">
      <c r="A492">
        <v>17</v>
      </c>
      <c r="B492">
        <v>0</v>
      </c>
      <c r="C492">
        <v>496</v>
      </c>
    </row>
    <row r="493" spans="1:3" x14ac:dyDescent="0.25">
      <c r="A493">
        <v>15</v>
      </c>
      <c r="B493">
        <v>0</v>
      </c>
      <c r="C493">
        <v>496</v>
      </c>
    </row>
    <row r="494" spans="1:3" x14ac:dyDescent="0.25">
      <c r="A494">
        <v>19</v>
      </c>
      <c r="B494">
        <v>0</v>
      </c>
      <c r="C494">
        <v>508</v>
      </c>
    </row>
    <row r="495" spans="1:3" x14ac:dyDescent="0.25">
      <c r="A495">
        <v>14</v>
      </c>
      <c r="B495">
        <v>0</v>
      </c>
      <c r="C495">
        <v>508</v>
      </c>
    </row>
    <row r="496" spans="1:3" x14ac:dyDescent="0.25">
      <c r="A496">
        <v>18</v>
      </c>
      <c r="B496">
        <v>0</v>
      </c>
      <c r="C496">
        <v>508</v>
      </c>
    </row>
    <row r="497" spans="1:3" x14ac:dyDescent="0.25">
      <c r="A497">
        <v>21</v>
      </c>
      <c r="B497">
        <v>0</v>
      </c>
      <c r="C497">
        <v>508</v>
      </c>
    </row>
    <row r="498" spans="1:3" x14ac:dyDescent="0.25">
      <c r="A498">
        <v>19</v>
      </c>
      <c r="B498">
        <v>0</v>
      </c>
      <c r="C498">
        <v>508</v>
      </c>
    </row>
    <row r="499" spans="1:3" x14ac:dyDescent="0.25">
      <c r="A499">
        <v>13</v>
      </c>
      <c r="B499">
        <v>0</v>
      </c>
      <c r="C499">
        <v>508</v>
      </c>
    </row>
    <row r="500" spans="1:3" x14ac:dyDescent="0.25">
      <c r="A500">
        <v>14</v>
      </c>
      <c r="B500">
        <v>0</v>
      </c>
      <c r="C500">
        <v>508</v>
      </c>
    </row>
    <row r="501" spans="1:3" x14ac:dyDescent="0.25">
      <c r="A501">
        <v>14</v>
      </c>
      <c r="B501">
        <v>0</v>
      </c>
      <c r="C501">
        <v>508</v>
      </c>
    </row>
    <row r="502" spans="1:3" x14ac:dyDescent="0.25">
      <c r="A502">
        <v>12</v>
      </c>
      <c r="B502">
        <v>0</v>
      </c>
      <c r="C502">
        <v>508</v>
      </c>
    </row>
    <row r="503" spans="1:3" x14ac:dyDescent="0.25">
      <c r="A503">
        <v>14</v>
      </c>
      <c r="B503">
        <v>0</v>
      </c>
      <c r="C503">
        <v>453</v>
      </c>
    </row>
    <row r="504" spans="1:3" x14ac:dyDescent="0.25">
      <c r="A504">
        <v>14</v>
      </c>
      <c r="B504">
        <v>0</v>
      </c>
      <c r="C504">
        <v>453</v>
      </c>
    </row>
    <row r="505" spans="1:3" x14ac:dyDescent="0.25">
      <c r="A505">
        <v>20</v>
      </c>
      <c r="B505">
        <v>0</v>
      </c>
      <c r="C505">
        <v>453</v>
      </c>
    </row>
    <row r="506" spans="1:3" x14ac:dyDescent="0.25">
      <c r="A506">
        <v>22</v>
      </c>
      <c r="B506">
        <v>0</v>
      </c>
      <c r="C506">
        <v>453</v>
      </c>
    </row>
    <row r="507" spans="1:3" x14ac:dyDescent="0.25">
      <c r="A507">
        <v>22</v>
      </c>
      <c r="B507">
        <v>0</v>
      </c>
      <c r="C507">
        <v>453</v>
      </c>
    </row>
    <row r="508" spans="1:3" x14ac:dyDescent="0.25">
      <c r="A508">
        <v>18</v>
      </c>
      <c r="B508">
        <v>0</v>
      </c>
      <c r="C508">
        <v>453</v>
      </c>
    </row>
    <row r="509" spans="1:3" x14ac:dyDescent="0.25">
      <c r="A509">
        <v>18</v>
      </c>
      <c r="B509">
        <v>0</v>
      </c>
      <c r="C509">
        <v>453</v>
      </c>
    </row>
    <row r="510" spans="1:3" x14ac:dyDescent="0.25">
      <c r="A510">
        <v>17</v>
      </c>
      <c r="B510">
        <v>0</v>
      </c>
      <c r="C510">
        <v>491</v>
      </c>
    </row>
    <row r="511" spans="1:3" x14ac:dyDescent="0.25">
      <c r="A511">
        <v>21</v>
      </c>
      <c r="B511">
        <v>0</v>
      </c>
      <c r="C511">
        <v>491</v>
      </c>
    </row>
    <row r="512" spans="1:3" x14ac:dyDescent="0.25">
      <c r="A512">
        <v>18</v>
      </c>
      <c r="B512">
        <v>0</v>
      </c>
      <c r="C512">
        <v>491</v>
      </c>
    </row>
    <row r="513" spans="1:3" x14ac:dyDescent="0.25">
      <c r="A513">
        <v>18</v>
      </c>
      <c r="B513">
        <v>0</v>
      </c>
      <c r="C513">
        <v>491</v>
      </c>
    </row>
    <row r="514" spans="1:3" x14ac:dyDescent="0.25">
      <c r="A514">
        <v>15</v>
      </c>
      <c r="B514">
        <v>0</v>
      </c>
      <c r="C514">
        <v>491</v>
      </c>
    </row>
    <row r="515" spans="1:3" x14ac:dyDescent="0.25">
      <c r="A515">
        <v>15</v>
      </c>
      <c r="B515">
        <v>0</v>
      </c>
      <c r="C515">
        <v>491</v>
      </c>
    </row>
    <row r="516" spans="1:3" x14ac:dyDescent="0.25">
      <c r="A516">
        <v>15</v>
      </c>
      <c r="B516">
        <v>0</v>
      </c>
      <c r="C516">
        <v>491</v>
      </c>
    </row>
    <row r="517" spans="1:3" x14ac:dyDescent="0.25">
      <c r="A517">
        <v>14</v>
      </c>
      <c r="B517">
        <v>0</v>
      </c>
      <c r="C517">
        <v>491</v>
      </c>
    </row>
    <row r="518" spans="1:3" x14ac:dyDescent="0.25">
      <c r="A518">
        <v>16</v>
      </c>
      <c r="B518">
        <v>0</v>
      </c>
      <c r="C518">
        <v>491</v>
      </c>
    </row>
    <row r="519" spans="1:3" x14ac:dyDescent="0.25">
      <c r="A519">
        <v>19</v>
      </c>
      <c r="B519">
        <v>0</v>
      </c>
      <c r="C519">
        <v>505</v>
      </c>
    </row>
    <row r="520" spans="1:3" x14ac:dyDescent="0.25">
      <c r="A520">
        <v>20</v>
      </c>
      <c r="B520">
        <v>0</v>
      </c>
      <c r="C520">
        <v>505</v>
      </c>
    </row>
    <row r="521" spans="1:3" x14ac:dyDescent="0.25">
      <c r="A521">
        <v>17</v>
      </c>
      <c r="B521">
        <v>0</v>
      </c>
      <c r="C521">
        <v>505</v>
      </c>
    </row>
    <row r="522" spans="1:3" x14ac:dyDescent="0.25">
      <c r="A522">
        <v>16</v>
      </c>
      <c r="B522">
        <v>0</v>
      </c>
      <c r="C522">
        <v>505</v>
      </c>
    </row>
    <row r="523" spans="1:3" x14ac:dyDescent="0.25">
      <c r="A523">
        <v>17</v>
      </c>
      <c r="B523">
        <v>0</v>
      </c>
      <c r="C523">
        <v>505</v>
      </c>
    </row>
    <row r="524" spans="1:3" x14ac:dyDescent="0.25">
      <c r="A524">
        <v>15</v>
      </c>
      <c r="B524">
        <v>0</v>
      </c>
      <c r="C524">
        <v>505</v>
      </c>
    </row>
    <row r="525" spans="1:3" x14ac:dyDescent="0.25">
      <c r="A525">
        <v>16</v>
      </c>
      <c r="B525">
        <v>0</v>
      </c>
      <c r="C525">
        <v>505</v>
      </c>
    </row>
    <row r="526" spans="1:3" x14ac:dyDescent="0.25">
      <c r="A526">
        <v>20</v>
      </c>
      <c r="B526">
        <v>0</v>
      </c>
      <c r="C526">
        <v>505</v>
      </c>
    </row>
    <row r="527" spans="1:3" x14ac:dyDescent="0.25">
      <c r="A527">
        <v>19</v>
      </c>
      <c r="B527">
        <v>0</v>
      </c>
      <c r="C527">
        <v>490</v>
      </c>
    </row>
    <row r="528" spans="1:3" x14ac:dyDescent="0.25">
      <c r="A528">
        <v>16</v>
      </c>
      <c r="B528">
        <v>0</v>
      </c>
      <c r="C528">
        <v>490</v>
      </c>
    </row>
    <row r="529" spans="1:3" x14ac:dyDescent="0.25">
      <c r="A529">
        <v>18</v>
      </c>
      <c r="B529">
        <v>0</v>
      </c>
      <c r="C529">
        <v>490</v>
      </c>
    </row>
    <row r="530" spans="1:3" x14ac:dyDescent="0.25">
      <c r="A530">
        <v>14</v>
      </c>
      <c r="B530">
        <v>0</v>
      </c>
      <c r="C530">
        <v>490</v>
      </c>
    </row>
    <row r="531" spans="1:3" x14ac:dyDescent="0.25">
      <c r="A531">
        <v>17</v>
      </c>
      <c r="B531">
        <v>0</v>
      </c>
      <c r="C531">
        <v>490</v>
      </c>
    </row>
    <row r="532" spans="1:3" x14ac:dyDescent="0.25">
      <c r="A532">
        <v>17</v>
      </c>
      <c r="B532">
        <v>0</v>
      </c>
      <c r="C532">
        <v>490</v>
      </c>
    </row>
    <row r="533" spans="1:3" x14ac:dyDescent="0.25">
      <c r="A533">
        <v>19</v>
      </c>
      <c r="B533">
        <v>0</v>
      </c>
      <c r="C533">
        <v>490</v>
      </c>
    </row>
    <row r="534" spans="1:3" x14ac:dyDescent="0.25">
      <c r="A534">
        <v>18</v>
      </c>
      <c r="B534">
        <v>0</v>
      </c>
      <c r="C534">
        <v>490</v>
      </c>
    </row>
    <row r="535" spans="1:3" x14ac:dyDescent="0.25">
      <c r="A535">
        <v>20</v>
      </c>
      <c r="B535">
        <v>0</v>
      </c>
      <c r="C535">
        <v>471</v>
      </c>
    </row>
    <row r="536" spans="1:3" x14ac:dyDescent="0.25">
      <c r="A536">
        <v>17</v>
      </c>
      <c r="B536">
        <v>0</v>
      </c>
      <c r="C536">
        <v>471</v>
      </c>
    </row>
    <row r="537" spans="1:3" x14ac:dyDescent="0.25">
      <c r="A537">
        <v>15</v>
      </c>
      <c r="B537">
        <v>0</v>
      </c>
      <c r="C537">
        <v>471</v>
      </c>
    </row>
    <row r="538" spans="1:3" x14ac:dyDescent="0.25">
      <c r="A538">
        <v>15</v>
      </c>
      <c r="B538">
        <v>0</v>
      </c>
      <c r="C538">
        <v>471</v>
      </c>
    </row>
    <row r="539" spans="1:3" x14ac:dyDescent="0.25">
      <c r="A539">
        <v>17</v>
      </c>
      <c r="B539">
        <v>0</v>
      </c>
      <c r="C539">
        <v>471</v>
      </c>
    </row>
    <row r="540" spans="1:3" x14ac:dyDescent="0.25">
      <c r="A540">
        <v>15</v>
      </c>
      <c r="B540">
        <v>0</v>
      </c>
      <c r="C540">
        <v>471</v>
      </c>
    </row>
    <row r="541" spans="1:3" x14ac:dyDescent="0.25">
      <c r="A541">
        <v>16</v>
      </c>
      <c r="B541">
        <v>0</v>
      </c>
      <c r="C541">
        <v>471</v>
      </c>
    </row>
    <row r="542" spans="1:3" x14ac:dyDescent="0.25">
      <c r="A542">
        <v>18</v>
      </c>
      <c r="B542">
        <v>0</v>
      </c>
      <c r="C542">
        <v>471</v>
      </c>
    </row>
    <row r="543" spans="1:3" x14ac:dyDescent="0.25">
      <c r="A543">
        <v>18</v>
      </c>
      <c r="B543">
        <v>0</v>
      </c>
      <c r="C543">
        <v>471</v>
      </c>
    </row>
    <row r="544" spans="1:3" x14ac:dyDescent="0.25">
      <c r="A544">
        <v>16</v>
      </c>
      <c r="B544">
        <v>0</v>
      </c>
      <c r="C544">
        <v>465</v>
      </c>
    </row>
    <row r="545" spans="1:3" x14ac:dyDescent="0.25">
      <c r="A545">
        <v>18</v>
      </c>
      <c r="B545">
        <v>0</v>
      </c>
      <c r="C545">
        <v>465</v>
      </c>
    </row>
    <row r="546" spans="1:3" x14ac:dyDescent="0.25">
      <c r="A546">
        <v>15</v>
      </c>
      <c r="B546">
        <v>0</v>
      </c>
      <c r="C546">
        <v>465</v>
      </c>
    </row>
    <row r="547" spans="1:3" x14ac:dyDescent="0.25">
      <c r="A547">
        <v>21</v>
      </c>
      <c r="B547">
        <v>0</v>
      </c>
      <c r="C547">
        <v>465</v>
      </c>
    </row>
    <row r="548" spans="1:3" x14ac:dyDescent="0.25">
      <c r="A548">
        <v>15</v>
      </c>
      <c r="B548">
        <v>0</v>
      </c>
      <c r="C548">
        <v>465</v>
      </c>
    </row>
    <row r="549" spans="1:3" x14ac:dyDescent="0.25">
      <c r="A549">
        <v>18</v>
      </c>
      <c r="B549">
        <v>0</v>
      </c>
      <c r="C549">
        <v>465</v>
      </c>
    </row>
    <row r="550" spans="1:3" x14ac:dyDescent="0.25">
      <c r="A550">
        <v>16</v>
      </c>
      <c r="B550">
        <v>0</v>
      </c>
      <c r="C550">
        <v>465</v>
      </c>
    </row>
    <row r="551" spans="1:3" x14ac:dyDescent="0.25">
      <c r="A551">
        <v>21</v>
      </c>
      <c r="B551">
        <v>0</v>
      </c>
      <c r="C551">
        <v>465</v>
      </c>
    </row>
    <row r="552" spans="1:3" x14ac:dyDescent="0.25">
      <c r="A552">
        <v>18</v>
      </c>
      <c r="B552">
        <v>0</v>
      </c>
      <c r="C552">
        <v>575</v>
      </c>
    </row>
    <row r="553" spans="1:3" x14ac:dyDescent="0.25">
      <c r="A553">
        <v>17</v>
      </c>
      <c r="B553">
        <v>0</v>
      </c>
      <c r="C553">
        <v>575</v>
      </c>
    </row>
    <row r="554" spans="1:3" x14ac:dyDescent="0.25">
      <c r="A554">
        <v>14</v>
      </c>
      <c r="B554">
        <v>0</v>
      </c>
      <c r="C554">
        <v>575</v>
      </c>
    </row>
    <row r="555" spans="1:3" x14ac:dyDescent="0.25">
      <c r="A555">
        <v>17</v>
      </c>
      <c r="B555">
        <v>0</v>
      </c>
      <c r="C555">
        <v>575</v>
      </c>
    </row>
    <row r="556" spans="1:3" x14ac:dyDescent="0.25">
      <c r="A556">
        <v>17</v>
      </c>
      <c r="B556">
        <v>0</v>
      </c>
      <c r="C556">
        <v>575</v>
      </c>
    </row>
    <row r="557" spans="1:3" x14ac:dyDescent="0.25">
      <c r="A557">
        <v>14</v>
      </c>
      <c r="B557">
        <v>0</v>
      </c>
      <c r="C557">
        <v>575</v>
      </c>
    </row>
    <row r="558" spans="1:3" x14ac:dyDescent="0.25">
      <c r="A558">
        <v>16</v>
      </c>
      <c r="B558">
        <v>0</v>
      </c>
      <c r="C558">
        <v>575</v>
      </c>
    </row>
    <row r="559" spans="1:3" x14ac:dyDescent="0.25">
      <c r="A559">
        <v>20</v>
      </c>
      <c r="B559">
        <v>0</v>
      </c>
      <c r="C559">
        <v>575</v>
      </c>
    </row>
    <row r="560" spans="1:3" x14ac:dyDescent="0.25">
      <c r="A560">
        <v>14</v>
      </c>
      <c r="B560">
        <v>0</v>
      </c>
      <c r="C560">
        <v>575</v>
      </c>
    </row>
    <row r="561" spans="1:3" x14ac:dyDescent="0.25">
      <c r="A561">
        <v>14</v>
      </c>
      <c r="B561">
        <v>0</v>
      </c>
      <c r="C561">
        <v>501</v>
      </c>
    </row>
    <row r="562" spans="1:3" x14ac:dyDescent="0.25">
      <c r="A562">
        <v>20</v>
      </c>
      <c r="B562">
        <v>0</v>
      </c>
      <c r="C562">
        <v>501</v>
      </c>
    </row>
    <row r="563" spans="1:3" x14ac:dyDescent="0.25">
      <c r="A563">
        <v>15</v>
      </c>
      <c r="B563">
        <v>0</v>
      </c>
      <c r="C563">
        <v>501</v>
      </c>
    </row>
    <row r="564" spans="1:3" x14ac:dyDescent="0.25">
      <c r="A564">
        <v>19</v>
      </c>
      <c r="B564">
        <v>0</v>
      </c>
      <c r="C564">
        <v>501</v>
      </c>
    </row>
    <row r="565" spans="1:3" x14ac:dyDescent="0.25">
      <c r="A565">
        <v>14</v>
      </c>
      <c r="B565">
        <v>0</v>
      </c>
      <c r="C565">
        <v>501</v>
      </c>
    </row>
    <row r="566" spans="1:3" x14ac:dyDescent="0.25">
      <c r="A566">
        <v>16</v>
      </c>
      <c r="B566">
        <v>0</v>
      </c>
      <c r="C566">
        <v>501</v>
      </c>
    </row>
    <row r="567" spans="1:3" x14ac:dyDescent="0.25">
      <c r="A567">
        <v>17</v>
      </c>
      <c r="B567">
        <v>0</v>
      </c>
      <c r="C567">
        <v>501</v>
      </c>
    </row>
    <row r="568" spans="1:3" x14ac:dyDescent="0.25">
      <c r="A568">
        <v>18</v>
      </c>
      <c r="B568">
        <v>0</v>
      </c>
      <c r="C568">
        <v>440</v>
      </c>
    </row>
    <row r="569" spans="1:3" x14ac:dyDescent="0.25">
      <c r="A569">
        <v>15</v>
      </c>
      <c r="B569">
        <v>0</v>
      </c>
      <c r="C569">
        <v>440</v>
      </c>
    </row>
    <row r="570" spans="1:3" x14ac:dyDescent="0.25">
      <c r="A570">
        <v>16</v>
      </c>
      <c r="B570">
        <v>0</v>
      </c>
      <c r="C570">
        <v>440</v>
      </c>
    </row>
    <row r="571" spans="1:3" x14ac:dyDescent="0.25">
      <c r="A571">
        <v>12</v>
      </c>
      <c r="B571">
        <v>0</v>
      </c>
      <c r="C571">
        <v>440</v>
      </c>
    </row>
    <row r="572" spans="1:3" x14ac:dyDescent="0.25">
      <c r="A572">
        <v>14</v>
      </c>
      <c r="B572">
        <v>0</v>
      </c>
      <c r="C572">
        <v>440</v>
      </c>
    </row>
    <row r="573" spans="1:3" x14ac:dyDescent="0.25">
      <c r="A573">
        <v>15</v>
      </c>
      <c r="B573">
        <v>0</v>
      </c>
      <c r="C573">
        <v>440</v>
      </c>
    </row>
    <row r="574" spans="1:3" x14ac:dyDescent="0.25">
      <c r="A574">
        <v>22</v>
      </c>
      <c r="B574">
        <v>0</v>
      </c>
      <c r="C574">
        <v>440</v>
      </c>
    </row>
    <row r="575" spans="1:3" x14ac:dyDescent="0.25">
      <c r="A575">
        <v>17</v>
      </c>
      <c r="B575">
        <v>0</v>
      </c>
      <c r="C575">
        <v>440</v>
      </c>
    </row>
    <row r="576" spans="1:3" x14ac:dyDescent="0.25">
      <c r="A576">
        <v>15</v>
      </c>
      <c r="B576">
        <v>0</v>
      </c>
      <c r="C576">
        <v>440</v>
      </c>
    </row>
    <row r="577" spans="1:3" x14ac:dyDescent="0.25">
      <c r="A577">
        <v>18</v>
      </c>
      <c r="B577">
        <v>0</v>
      </c>
      <c r="C577">
        <v>483</v>
      </c>
    </row>
    <row r="578" spans="1:3" x14ac:dyDescent="0.25">
      <c r="A578">
        <v>16</v>
      </c>
      <c r="B578">
        <v>0</v>
      </c>
      <c r="C578">
        <v>483</v>
      </c>
    </row>
    <row r="579" spans="1:3" x14ac:dyDescent="0.25">
      <c r="A579">
        <v>15</v>
      </c>
      <c r="B579">
        <v>0</v>
      </c>
      <c r="C579">
        <v>483</v>
      </c>
    </row>
    <row r="580" spans="1:3" x14ac:dyDescent="0.25">
      <c r="A580">
        <v>16</v>
      </c>
      <c r="B580">
        <v>0</v>
      </c>
      <c r="C580">
        <v>483</v>
      </c>
    </row>
    <row r="581" spans="1:3" x14ac:dyDescent="0.25">
      <c r="A581">
        <v>14</v>
      </c>
      <c r="B581">
        <v>0</v>
      </c>
      <c r="C581">
        <v>483</v>
      </c>
    </row>
    <row r="582" spans="1:3" x14ac:dyDescent="0.25">
      <c r="A582">
        <v>17</v>
      </c>
      <c r="B582">
        <v>0</v>
      </c>
      <c r="C582">
        <v>483</v>
      </c>
    </row>
    <row r="583" spans="1:3" x14ac:dyDescent="0.25">
      <c r="A583">
        <v>18</v>
      </c>
      <c r="B583">
        <v>0</v>
      </c>
      <c r="C583">
        <v>483</v>
      </c>
    </row>
    <row r="584" spans="1:3" x14ac:dyDescent="0.25">
      <c r="A584">
        <v>14</v>
      </c>
      <c r="B584">
        <v>0</v>
      </c>
      <c r="C584">
        <v>483</v>
      </c>
    </row>
    <row r="585" spans="1:3" x14ac:dyDescent="0.25">
      <c r="A585">
        <v>16</v>
      </c>
      <c r="B585">
        <v>0</v>
      </c>
      <c r="C585">
        <v>491</v>
      </c>
    </row>
    <row r="586" spans="1:3" x14ac:dyDescent="0.25">
      <c r="A586">
        <v>16</v>
      </c>
      <c r="B586">
        <v>0</v>
      </c>
      <c r="C586">
        <v>491</v>
      </c>
    </row>
    <row r="587" spans="1:3" x14ac:dyDescent="0.25">
      <c r="A587">
        <v>16</v>
      </c>
      <c r="B587">
        <v>0</v>
      </c>
      <c r="C587">
        <v>491</v>
      </c>
    </row>
    <row r="588" spans="1:3" x14ac:dyDescent="0.25">
      <c r="A588">
        <v>15</v>
      </c>
      <c r="B588">
        <v>0</v>
      </c>
      <c r="C588">
        <v>491</v>
      </c>
    </row>
    <row r="589" spans="1:3" x14ac:dyDescent="0.25">
      <c r="A589">
        <v>16</v>
      </c>
      <c r="B589">
        <v>0</v>
      </c>
      <c r="C589">
        <v>491</v>
      </c>
    </row>
    <row r="590" spans="1:3" x14ac:dyDescent="0.25">
      <c r="A590">
        <v>18</v>
      </c>
      <c r="B590">
        <v>0</v>
      </c>
      <c r="C590">
        <v>491</v>
      </c>
    </row>
    <row r="591" spans="1:3" x14ac:dyDescent="0.25">
      <c r="A591">
        <v>17</v>
      </c>
      <c r="B591">
        <v>0</v>
      </c>
      <c r="C591">
        <v>491</v>
      </c>
    </row>
    <row r="592" spans="1:3" x14ac:dyDescent="0.25">
      <c r="A592">
        <v>17</v>
      </c>
      <c r="B592">
        <v>0</v>
      </c>
      <c r="C592">
        <v>491</v>
      </c>
    </row>
    <row r="593" spans="1:3" x14ac:dyDescent="0.25">
      <c r="A593">
        <v>14</v>
      </c>
      <c r="B593">
        <v>0</v>
      </c>
      <c r="C593">
        <v>527</v>
      </c>
    </row>
    <row r="594" spans="1:3" x14ac:dyDescent="0.25">
      <c r="A594">
        <v>15</v>
      </c>
      <c r="B594">
        <v>0</v>
      </c>
      <c r="C594">
        <v>527</v>
      </c>
    </row>
    <row r="595" spans="1:3" x14ac:dyDescent="0.25">
      <c r="A595">
        <v>15</v>
      </c>
      <c r="B595">
        <v>0</v>
      </c>
      <c r="C595">
        <v>527</v>
      </c>
    </row>
    <row r="596" spans="1:3" x14ac:dyDescent="0.25">
      <c r="A596">
        <v>19</v>
      </c>
      <c r="B596">
        <v>0</v>
      </c>
      <c r="C596">
        <v>527</v>
      </c>
    </row>
    <row r="597" spans="1:3" x14ac:dyDescent="0.25">
      <c r="A597">
        <v>17</v>
      </c>
      <c r="B597">
        <v>0</v>
      </c>
      <c r="C597">
        <v>527</v>
      </c>
    </row>
    <row r="598" spans="1:3" x14ac:dyDescent="0.25">
      <c r="A598">
        <v>20</v>
      </c>
      <c r="B598">
        <v>0</v>
      </c>
      <c r="C598">
        <v>527</v>
      </c>
    </row>
    <row r="599" spans="1:3" x14ac:dyDescent="0.25">
      <c r="A599">
        <v>20</v>
      </c>
      <c r="B599">
        <v>0</v>
      </c>
      <c r="C599">
        <v>527</v>
      </c>
    </row>
    <row r="600" spans="1:3" x14ac:dyDescent="0.25">
      <c r="A600">
        <v>13</v>
      </c>
      <c r="B600">
        <v>0</v>
      </c>
      <c r="C600">
        <v>527</v>
      </c>
    </row>
    <row r="601" spans="1:3" x14ac:dyDescent="0.25">
      <c r="A601">
        <v>14</v>
      </c>
      <c r="B601">
        <v>0</v>
      </c>
      <c r="C601">
        <v>527</v>
      </c>
    </row>
    <row r="602" spans="1:3" x14ac:dyDescent="0.25">
      <c r="A602">
        <v>13</v>
      </c>
      <c r="B602">
        <v>0</v>
      </c>
      <c r="C602">
        <v>483</v>
      </c>
    </row>
    <row r="603" spans="1:3" x14ac:dyDescent="0.25">
      <c r="A603">
        <v>16</v>
      </c>
      <c r="B603">
        <v>0</v>
      </c>
      <c r="C603">
        <v>483</v>
      </c>
    </row>
    <row r="604" spans="1:3" x14ac:dyDescent="0.25">
      <c r="A604">
        <v>17</v>
      </c>
      <c r="B604">
        <v>0</v>
      </c>
      <c r="C604">
        <v>483</v>
      </c>
    </row>
    <row r="605" spans="1:3" x14ac:dyDescent="0.25">
      <c r="A605">
        <v>20</v>
      </c>
      <c r="B605">
        <v>0</v>
      </c>
      <c r="C605">
        <v>483</v>
      </c>
    </row>
    <row r="606" spans="1:3" x14ac:dyDescent="0.25">
      <c r="A606">
        <v>17</v>
      </c>
      <c r="B606">
        <v>0</v>
      </c>
      <c r="C606">
        <v>483</v>
      </c>
    </row>
    <row r="607" spans="1:3" x14ac:dyDescent="0.25">
      <c r="A607">
        <v>16</v>
      </c>
      <c r="B607">
        <v>0</v>
      </c>
      <c r="C607">
        <v>483</v>
      </c>
    </row>
    <row r="608" spans="1:3" x14ac:dyDescent="0.25">
      <c r="A608">
        <v>16</v>
      </c>
      <c r="B608">
        <v>0</v>
      </c>
      <c r="C608">
        <v>483</v>
      </c>
    </row>
    <row r="609" spans="1:3" x14ac:dyDescent="0.25">
      <c r="A609">
        <v>19</v>
      </c>
      <c r="B609">
        <v>0</v>
      </c>
      <c r="C609">
        <v>483</v>
      </c>
    </row>
    <row r="610" spans="1:3" x14ac:dyDescent="0.25">
      <c r="A610">
        <v>17</v>
      </c>
      <c r="B610">
        <v>0</v>
      </c>
      <c r="C610">
        <v>471</v>
      </c>
    </row>
    <row r="611" spans="1:3" x14ac:dyDescent="0.25">
      <c r="A611">
        <v>13</v>
      </c>
      <c r="B611">
        <v>0</v>
      </c>
      <c r="C611">
        <v>471</v>
      </c>
    </row>
    <row r="612" spans="1:3" x14ac:dyDescent="0.25">
      <c r="A612">
        <v>17</v>
      </c>
      <c r="B612">
        <v>0</v>
      </c>
      <c r="C612">
        <v>471</v>
      </c>
    </row>
    <row r="613" spans="1:3" x14ac:dyDescent="0.25">
      <c r="A613">
        <v>19</v>
      </c>
      <c r="B613">
        <v>0</v>
      </c>
      <c r="C613">
        <v>471</v>
      </c>
    </row>
    <row r="614" spans="1:3" x14ac:dyDescent="0.25">
      <c r="A614">
        <v>19</v>
      </c>
      <c r="B614">
        <v>0</v>
      </c>
      <c r="C614">
        <v>471</v>
      </c>
    </row>
    <row r="615" spans="1:3" x14ac:dyDescent="0.25">
      <c r="A615">
        <v>17</v>
      </c>
      <c r="B615">
        <v>0</v>
      </c>
      <c r="C615">
        <v>471</v>
      </c>
    </row>
    <row r="616" spans="1:3" x14ac:dyDescent="0.25">
      <c r="A616">
        <v>15</v>
      </c>
      <c r="B616">
        <v>0</v>
      </c>
      <c r="C616">
        <v>471</v>
      </c>
    </row>
    <row r="617" spans="1:3" x14ac:dyDescent="0.25">
      <c r="A617">
        <v>16</v>
      </c>
      <c r="B617">
        <v>0</v>
      </c>
      <c r="C617">
        <v>471</v>
      </c>
    </row>
    <row r="618" spans="1:3" x14ac:dyDescent="0.25">
      <c r="A618">
        <v>16</v>
      </c>
      <c r="B618">
        <v>0</v>
      </c>
      <c r="C618">
        <v>505</v>
      </c>
    </row>
    <row r="619" spans="1:3" x14ac:dyDescent="0.25">
      <c r="A619">
        <v>16</v>
      </c>
      <c r="B619">
        <v>0</v>
      </c>
      <c r="C619">
        <v>505</v>
      </c>
    </row>
    <row r="620" spans="1:3" x14ac:dyDescent="0.25">
      <c r="A620">
        <v>18</v>
      </c>
      <c r="B620">
        <v>0</v>
      </c>
      <c r="C620">
        <v>505</v>
      </c>
    </row>
    <row r="621" spans="1:3" x14ac:dyDescent="0.25">
      <c r="A621">
        <v>21</v>
      </c>
      <c r="B621">
        <v>0</v>
      </c>
      <c r="C621">
        <v>505</v>
      </c>
    </row>
    <row r="622" spans="1:3" x14ac:dyDescent="0.25">
      <c r="A622">
        <v>19</v>
      </c>
      <c r="B622">
        <v>0</v>
      </c>
      <c r="C622">
        <v>505</v>
      </c>
    </row>
    <row r="623" spans="1:3" x14ac:dyDescent="0.25">
      <c r="A623">
        <v>15</v>
      </c>
      <c r="B623">
        <v>0</v>
      </c>
      <c r="C623">
        <v>505</v>
      </c>
    </row>
    <row r="624" spans="1:3" x14ac:dyDescent="0.25">
      <c r="A624">
        <v>15</v>
      </c>
      <c r="B624">
        <v>0</v>
      </c>
      <c r="C624">
        <v>505</v>
      </c>
    </row>
    <row r="625" spans="1:3" x14ac:dyDescent="0.25">
      <c r="A625">
        <v>21</v>
      </c>
      <c r="B625">
        <v>0</v>
      </c>
      <c r="C625">
        <v>505</v>
      </c>
    </row>
    <row r="626" spans="1:3" x14ac:dyDescent="0.25">
      <c r="A626">
        <v>17</v>
      </c>
      <c r="B626">
        <v>0</v>
      </c>
      <c r="C626">
        <v>574</v>
      </c>
    </row>
    <row r="627" spans="1:3" x14ac:dyDescent="0.25">
      <c r="A627">
        <v>16</v>
      </c>
      <c r="B627">
        <v>0</v>
      </c>
      <c r="C627">
        <v>574</v>
      </c>
    </row>
    <row r="628" spans="1:3" x14ac:dyDescent="0.25">
      <c r="A628">
        <v>21</v>
      </c>
      <c r="B628">
        <v>0</v>
      </c>
      <c r="C628">
        <v>574</v>
      </c>
    </row>
    <row r="629" spans="1:3" x14ac:dyDescent="0.25">
      <c r="A629">
        <v>20</v>
      </c>
      <c r="B629">
        <v>0</v>
      </c>
      <c r="C629">
        <v>574</v>
      </c>
    </row>
    <row r="630" spans="1:3" x14ac:dyDescent="0.25">
      <c r="A630">
        <v>15</v>
      </c>
      <c r="B630">
        <v>0</v>
      </c>
      <c r="C630">
        <v>574</v>
      </c>
    </row>
    <row r="631" spans="1:3" x14ac:dyDescent="0.25">
      <c r="A631">
        <v>13</v>
      </c>
      <c r="B631">
        <v>0</v>
      </c>
      <c r="C631">
        <v>574</v>
      </c>
    </row>
    <row r="632" spans="1:3" x14ac:dyDescent="0.25">
      <c r="A632">
        <v>17</v>
      </c>
      <c r="B632">
        <v>0</v>
      </c>
      <c r="C632">
        <v>574</v>
      </c>
    </row>
    <row r="633" spans="1:3" x14ac:dyDescent="0.25">
      <c r="A633">
        <v>20</v>
      </c>
      <c r="B633">
        <v>0</v>
      </c>
      <c r="C633">
        <v>574</v>
      </c>
    </row>
    <row r="634" spans="1:3" x14ac:dyDescent="0.25">
      <c r="A634">
        <v>15</v>
      </c>
      <c r="B634">
        <v>0</v>
      </c>
      <c r="C634">
        <v>441</v>
      </c>
    </row>
    <row r="635" spans="1:3" x14ac:dyDescent="0.25">
      <c r="A635">
        <v>16</v>
      </c>
      <c r="B635">
        <v>0</v>
      </c>
      <c r="C635">
        <v>441</v>
      </c>
    </row>
    <row r="636" spans="1:3" x14ac:dyDescent="0.25">
      <c r="A636">
        <v>15</v>
      </c>
      <c r="B636">
        <v>0</v>
      </c>
      <c r="C636">
        <v>441</v>
      </c>
    </row>
    <row r="637" spans="1:3" x14ac:dyDescent="0.25">
      <c r="A637">
        <v>21</v>
      </c>
      <c r="B637">
        <v>0</v>
      </c>
      <c r="C637">
        <v>441</v>
      </c>
    </row>
    <row r="638" spans="1:3" x14ac:dyDescent="0.25">
      <c r="A638">
        <v>17</v>
      </c>
      <c r="B638">
        <v>0</v>
      </c>
      <c r="C638">
        <v>441</v>
      </c>
    </row>
    <row r="639" spans="1:3" x14ac:dyDescent="0.25">
      <c r="A639">
        <v>14</v>
      </c>
      <c r="B639">
        <v>0</v>
      </c>
      <c r="C639">
        <v>441</v>
      </c>
    </row>
    <row r="640" spans="1:3" x14ac:dyDescent="0.25">
      <c r="A640">
        <v>17</v>
      </c>
      <c r="B640">
        <v>0</v>
      </c>
      <c r="C640">
        <v>441</v>
      </c>
    </row>
    <row r="641" spans="1:3" x14ac:dyDescent="0.25">
      <c r="A641">
        <v>18</v>
      </c>
      <c r="B641">
        <v>0</v>
      </c>
      <c r="C641">
        <v>441</v>
      </c>
    </row>
    <row r="642" spans="1:3" x14ac:dyDescent="0.25">
      <c r="A642">
        <v>17</v>
      </c>
      <c r="B642">
        <v>0</v>
      </c>
      <c r="C642">
        <v>486</v>
      </c>
    </row>
    <row r="643" spans="1:3" x14ac:dyDescent="0.25">
      <c r="A643">
        <v>15</v>
      </c>
      <c r="B643">
        <v>0</v>
      </c>
      <c r="C643">
        <v>486</v>
      </c>
    </row>
    <row r="644" spans="1:3" x14ac:dyDescent="0.25">
      <c r="A644">
        <v>14</v>
      </c>
      <c r="B644">
        <v>0</v>
      </c>
      <c r="C644">
        <v>486</v>
      </c>
    </row>
    <row r="645" spans="1:3" x14ac:dyDescent="0.25">
      <c r="A645">
        <v>19</v>
      </c>
      <c r="B645">
        <v>0</v>
      </c>
      <c r="C645">
        <v>486</v>
      </c>
    </row>
    <row r="646" spans="1:3" x14ac:dyDescent="0.25">
      <c r="A646">
        <v>14</v>
      </c>
      <c r="B646">
        <v>0</v>
      </c>
      <c r="C646">
        <v>486</v>
      </c>
    </row>
    <row r="647" spans="1:3" x14ac:dyDescent="0.25">
      <c r="A647">
        <v>14</v>
      </c>
      <c r="B647">
        <v>0</v>
      </c>
      <c r="C647">
        <v>486</v>
      </c>
    </row>
    <row r="648" spans="1:3" x14ac:dyDescent="0.25">
      <c r="A648">
        <v>14</v>
      </c>
      <c r="B648">
        <v>0</v>
      </c>
      <c r="C648">
        <v>486</v>
      </c>
    </row>
    <row r="649" spans="1:3" x14ac:dyDescent="0.25">
      <c r="A649">
        <v>17</v>
      </c>
      <c r="B649">
        <v>0</v>
      </c>
      <c r="C649">
        <v>486</v>
      </c>
    </row>
    <row r="650" spans="1:3" x14ac:dyDescent="0.25">
      <c r="A650">
        <v>15</v>
      </c>
      <c r="B650">
        <v>0</v>
      </c>
      <c r="C650">
        <v>486</v>
      </c>
    </row>
    <row r="651" spans="1:3" x14ac:dyDescent="0.25">
      <c r="A651">
        <v>19</v>
      </c>
      <c r="B651">
        <v>0</v>
      </c>
      <c r="C651">
        <v>552</v>
      </c>
    </row>
    <row r="652" spans="1:3" x14ac:dyDescent="0.25">
      <c r="A652">
        <v>17</v>
      </c>
      <c r="B652">
        <v>0</v>
      </c>
      <c r="C652">
        <v>552</v>
      </c>
    </row>
    <row r="653" spans="1:3" x14ac:dyDescent="0.25">
      <c r="A653">
        <v>22</v>
      </c>
      <c r="B653">
        <v>0</v>
      </c>
      <c r="C653">
        <v>552</v>
      </c>
    </row>
    <row r="654" spans="1:3" x14ac:dyDescent="0.25">
      <c r="A654">
        <v>14</v>
      </c>
      <c r="B654">
        <v>0</v>
      </c>
      <c r="C654">
        <v>552</v>
      </c>
    </row>
    <row r="655" spans="1:3" x14ac:dyDescent="0.25">
      <c r="A655">
        <v>17</v>
      </c>
      <c r="B655">
        <v>0</v>
      </c>
      <c r="C655">
        <v>552</v>
      </c>
    </row>
    <row r="656" spans="1:3" x14ac:dyDescent="0.25">
      <c r="A656">
        <v>18</v>
      </c>
      <c r="B656">
        <v>0</v>
      </c>
      <c r="C656">
        <v>552</v>
      </c>
    </row>
    <row r="657" spans="1:3" x14ac:dyDescent="0.25">
      <c r="A657">
        <v>15</v>
      </c>
      <c r="B657">
        <v>0</v>
      </c>
      <c r="C657">
        <v>552</v>
      </c>
    </row>
    <row r="658" spans="1:3" x14ac:dyDescent="0.25">
      <c r="A658">
        <v>15</v>
      </c>
      <c r="B658">
        <v>0</v>
      </c>
      <c r="C658">
        <v>552</v>
      </c>
    </row>
    <row r="659" spans="1:3" x14ac:dyDescent="0.25">
      <c r="A659">
        <v>14</v>
      </c>
      <c r="B659">
        <v>0</v>
      </c>
      <c r="C659">
        <v>552</v>
      </c>
    </row>
    <row r="660" spans="1:3" x14ac:dyDescent="0.25">
      <c r="A660">
        <v>13</v>
      </c>
      <c r="B660">
        <v>0</v>
      </c>
      <c r="C660">
        <v>549</v>
      </c>
    </row>
    <row r="661" spans="1:3" x14ac:dyDescent="0.25">
      <c r="A661">
        <v>24</v>
      </c>
      <c r="B661">
        <v>0</v>
      </c>
      <c r="C661">
        <v>549</v>
      </c>
    </row>
    <row r="662" spans="1:3" x14ac:dyDescent="0.25">
      <c r="A662">
        <v>16</v>
      </c>
      <c r="B662">
        <v>0</v>
      </c>
      <c r="C662">
        <v>549</v>
      </c>
    </row>
    <row r="663" spans="1:3" x14ac:dyDescent="0.25">
      <c r="A663">
        <v>13</v>
      </c>
      <c r="B663">
        <v>0</v>
      </c>
      <c r="C663">
        <v>549</v>
      </c>
    </row>
    <row r="664" spans="1:3" x14ac:dyDescent="0.25">
      <c r="A664">
        <v>17</v>
      </c>
      <c r="B664">
        <v>0</v>
      </c>
      <c r="C664">
        <v>549</v>
      </c>
    </row>
    <row r="665" spans="1:3" x14ac:dyDescent="0.25">
      <c r="A665">
        <v>20</v>
      </c>
      <c r="B665">
        <v>0</v>
      </c>
      <c r="C665">
        <v>549</v>
      </c>
    </row>
    <row r="666" spans="1:3" x14ac:dyDescent="0.25">
      <c r="A666">
        <v>17</v>
      </c>
      <c r="B666">
        <v>0</v>
      </c>
      <c r="C666">
        <v>549</v>
      </c>
    </row>
    <row r="667" spans="1:3" x14ac:dyDescent="0.25">
      <c r="A667">
        <v>19</v>
      </c>
      <c r="B667">
        <v>0</v>
      </c>
      <c r="C667">
        <v>549</v>
      </c>
    </row>
    <row r="668" spans="1:3" x14ac:dyDescent="0.25">
      <c r="A668">
        <v>20</v>
      </c>
      <c r="B668">
        <v>0</v>
      </c>
      <c r="C668">
        <v>520</v>
      </c>
    </row>
    <row r="669" spans="1:3" x14ac:dyDescent="0.25">
      <c r="A669">
        <v>19</v>
      </c>
      <c r="B669">
        <v>0</v>
      </c>
      <c r="C669">
        <v>520</v>
      </c>
    </row>
    <row r="670" spans="1:3" x14ac:dyDescent="0.25">
      <c r="A670">
        <v>15</v>
      </c>
      <c r="B670">
        <v>0</v>
      </c>
      <c r="C670">
        <v>520</v>
      </c>
    </row>
    <row r="671" spans="1:3" x14ac:dyDescent="0.25">
      <c r="A671">
        <v>16</v>
      </c>
      <c r="B671">
        <v>0</v>
      </c>
      <c r="C671">
        <v>520</v>
      </c>
    </row>
    <row r="672" spans="1:3" x14ac:dyDescent="0.25">
      <c r="A672">
        <v>19</v>
      </c>
      <c r="B672">
        <v>0</v>
      </c>
      <c r="C672">
        <v>520</v>
      </c>
    </row>
    <row r="673" spans="1:3" x14ac:dyDescent="0.25">
      <c r="A673">
        <v>16</v>
      </c>
      <c r="B673">
        <v>0</v>
      </c>
      <c r="C673">
        <v>520</v>
      </c>
    </row>
    <row r="674" spans="1:3" x14ac:dyDescent="0.25">
      <c r="A674">
        <v>19</v>
      </c>
      <c r="B674">
        <v>0</v>
      </c>
      <c r="C674">
        <v>520</v>
      </c>
    </row>
    <row r="675" spans="1:3" x14ac:dyDescent="0.25">
      <c r="A675">
        <v>15</v>
      </c>
      <c r="B675">
        <v>0</v>
      </c>
      <c r="C675">
        <v>520</v>
      </c>
    </row>
    <row r="676" spans="1:3" x14ac:dyDescent="0.25">
      <c r="A676">
        <v>17</v>
      </c>
      <c r="B676">
        <v>0</v>
      </c>
      <c r="C676">
        <v>460</v>
      </c>
    </row>
    <row r="677" spans="1:3" x14ac:dyDescent="0.25">
      <c r="A677">
        <v>16</v>
      </c>
      <c r="B677">
        <v>0</v>
      </c>
      <c r="C677">
        <v>460</v>
      </c>
    </row>
    <row r="678" spans="1:3" x14ac:dyDescent="0.25">
      <c r="A678">
        <v>16</v>
      </c>
      <c r="B678">
        <v>0</v>
      </c>
      <c r="C678">
        <v>460</v>
      </c>
    </row>
    <row r="679" spans="1:3" x14ac:dyDescent="0.25">
      <c r="A679">
        <v>16</v>
      </c>
      <c r="B679">
        <v>0</v>
      </c>
      <c r="C679">
        <v>460</v>
      </c>
    </row>
    <row r="680" spans="1:3" x14ac:dyDescent="0.25">
      <c r="A680">
        <v>14</v>
      </c>
      <c r="B680">
        <v>0</v>
      </c>
      <c r="C680">
        <v>460</v>
      </c>
    </row>
    <row r="681" spans="1:3" x14ac:dyDescent="0.25">
      <c r="A681">
        <v>16</v>
      </c>
      <c r="B681">
        <v>0</v>
      </c>
      <c r="C681">
        <v>460</v>
      </c>
    </row>
    <row r="682" spans="1:3" x14ac:dyDescent="0.25">
      <c r="A682">
        <v>15</v>
      </c>
      <c r="B682">
        <v>0</v>
      </c>
      <c r="C682">
        <v>460</v>
      </c>
    </row>
    <row r="683" spans="1:3" x14ac:dyDescent="0.25">
      <c r="A683">
        <v>19</v>
      </c>
      <c r="B683">
        <v>0</v>
      </c>
      <c r="C683">
        <v>460</v>
      </c>
    </row>
    <row r="684" spans="1:3" x14ac:dyDescent="0.25">
      <c r="A684">
        <v>168</v>
      </c>
      <c r="B684">
        <v>0</v>
      </c>
      <c r="C684">
        <v>493</v>
      </c>
    </row>
    <row r="685" spans="1:3" x14ac:dyDescent="0.25">
      <c r="A685">
        <v>17</v>
      </c>
      <c r="B685">
        <v>0</v>
      </c>
      <c r="C685">
        <v>493</v>
      </c>
    </row>
    <row r="686" spans="1:3" x14ac:dyDescent="0.25">
      <c r="A686">
        <v>13</v>
      </c>
      <c r="B686">
        <v>0</v>
      </c>
      <c r="C686">
        <v>493</v>
      </c>
    </row>
    <row r="687" spans="1:3" x14ac:dyDescent="0.25">
      <c r="A687">
        <v>13</v>
      </c>
      <c r="B687">
        <v>0</v>
      </c>
      <c r="C687">
        <v>493</v>
      </c>
    </row>
    <row r="688" spans="1:3" x14ac:dyDescent="0.25">
      <c r="A688">
        <v>18</v>
      </c>
      <c r="B688">
        <v>0</v>
      </c>
      <c r="C688">
        <v>493</v>
      </c>
    </row>
    <row r="689" spans="1:3" x14ac:dyDescent="0.25">
      <c r="A689">
        <v>19</v>
      </c>
      <c r="B689">
        <v>0</v>
      </c>
      <c r="C689">
        <v>493</v>
      </c>
    </row>
    <row r="690" spans="1:3" x14ac:dyDescent="0.25">
      <c r="A690">
        <v>17</v>
      </c>
      <c r="B690">
        <v>0</v>
      </c>
      <c r="C690">
        <v>493</v>
      </c>
    </row>
    <row r="691" spans="1:3" x14ac:dyDescent="0.25">
      <c r="A691">
        <v>20</v>
      </c>
      <c r="B691">
        <v>0</v>
      </c>
      <c r="C691">
        <v>493</v>
      </c>
    </row>
    <row r="692" spans="1:3" x14ac:dyDescent="0.25">
      <c r="A692">
        <v>15</v>
      </c>
      <c r="B692">
        <v>0</v>
      </c>
      <c r="C692">
        <v>493</v>
      </c>
    </row>
    <row r="693" spans="1:3" x14ac:dyDescent="0.25">
      <c r="A693">
        <v>14</v>
      </c>
      <c r="B693">
        <v>0</v>
      </c>
      <c r="C693">
        <v>494</v>
      </c>
    </row>
    <row r="694" spans="1:3" x14ac:dyDescent="0.25">
      <c r="A694">
        <v>19</v>
      </c>
      <c r="B694">
        <v>0</v>
      </c>
      <c r="C694">
        <v>494</v>
      </c>
    </row>
    <row r="695" spans="1:3" x14ac:dyDescent="0.25">
      <c r="A695">
        <v>18</v>
      </c>
      <c r="B695">
        <v>0</v>
      </c>
      <c r="C695">
        <v>494</v>
      </c>
    </row>
    <row r="696" spans="1:3" x14ac:dyDescent="0.25">
      <c r="A696">
        <v>17</v>
      </c>
      <c r="B696">
        <v>0</v>
      </c>
      <c r="C696">
        <v>494</v>
      </c>
    </row>
    <row r="697" spans="1:3" x14ac:dyDescent="0.25">
      <c r="A697">
        <v>16</v>
      </c>
      <c r="B697">
        <v>0</v>
      </c>
      <c r="C697">
        <v>494</v>
      </c>
    </row>
    <row r="698" spans="1:3" x14ac:dyDescent="0.25">
      <c r="A698">
        <v>18</v>
      </c>
      <c r="B698">
        <v>0</v>
      </c>
      <c r="C698">
        <v>494</v>
      </c>
    </row>
    <row r="699" spans="1:3" x14ac:dyDescent="0.25">
      <c r="A699">
        <v>15</v>
      </c>
      <c r="B699">
        <v>0</v>
      </c>
      <c r="C699">
        <v>494</v>
      </c>
    </row>
    <row r="700" spans="1:3" x14ac:dyDescent="0.25">
      <c r="A700">
        <v>14</v>
      </c>
      <c r="B700">
        <v>0</v>
      </c>
      <c r="C700">
        <v>494</v>
      </c>
    </row>
    <row r="701" spans="1:3" x14ac:dyDescent="0.25">
      <c r="A701">
        <v>12</v>
      </c>
      <c r="B701">
        <v>0</v>
      </c>
      <c r="C701">
        <v>494</v>
      </c>
    </row>
    <row r="702" spans="1:3" x14ac:dyDescent="0.25">
      <c r="A702">
        <v>13</v>
      </c>
      <c r="B702">
        <v>0</v>
      </c>
      <c r="C702">
        <v>443</v>
      </c>
    </row>
    <row r="703" spans="1:3" x14ac:dyDescent="0.25">
      <c r="A703">
        <v>15</v>
      </c>
      <c r="B703">
        <v>0</v>
      </c>
      <c r="C703">
        <v>443</v>
      </c>
    </row>
    <row r="704" spans="1:3" x14ac:dyDescent="0.25">
      <c r="A704">
        <v>14</v>
      </c>
      <c r="B704">
        <v>0</v>
      </c>
      <c r="C704">
        <v>443</v>
      </c>
    </row>
    <row r="705" spans="1:3" x14ac:dyDescent="0.25">
      <c r="A705">
        <v>18</v>
      </c>
      <c r="B705">
        <v>0</v>
      </c>
      <c r="C705">
        <v>443</v>
      </c>
    </row>
    <row r="706" spans="1:3" x14ac:dyDescent="0.25">
      <c r="A706">
        <v>15</v>
      </c>
      <c r="B706">
        <v>0</v>
      </c>
      <c r="C706">
        <v>443</v>
      </c>
    </row>
    <row r="707" spans="1:3" x14ac:dyDescent="0.25">
      <c r="A707">
        <v>19</v>
      </c>
      <c r="B707">
        <v>0</v>
      </c>
      <c r="C707">
        <v>443</v>
      </c>
    </row>
    <row r="708" spans="1:3" x14ac:dyDescent="0.25">
      <c r="A708">
        <v>16</v>
      </c>
      <c r="B708">
        <v>0</v>
      </c>
      <c r="C708">
        <v>443</v>
      </c>
    </row>
    <row r="709" spans="1:3" x14ac:dyDescent="0.25">
      <c r="A709">
        <v>15</v>
      </c>
      <c r="B709">
        <v>0</v>
      </c>
      <c r="C709">
        <v>443</v>
      </c>
    </row>
    <row r="710" spans="1:3" x14ac:dyDescent="0.25">
      <c r="A710">
        <v>15</v>
      </c>
      <c r="B710">
        <v>0</v>
      </c>
      <c r="C710">
        <v>496</v>
      </c>
    </row>
    <row r="711" spans="1:3" x14ac:dyDescent="0.25">
      <c r="A711">
        <v>18</v>
      </c>
      <c r="B711">
        <v>0</v>
      </c>
      <c r="C711">
        <v>496</v>
      </c>
    </row>
    <row r="712" spans="1:3" x14ac:dyDescent="0.25">
      <c r="A712">
        <v>17</v>
      </c>
      <c r="B712">
        <v>0</v>
      </c>
      <c r="C712">
        <v>496</v>
      </c>
    </row>
    <row r="713" spans="1:3" x14ac:dyDescent="0.25">
      <c r="A713">
        <v>21</v>
      </c>
      <c r="B713">
        <v>0</v>
      </c>
      <c r="C713">
        <v>496</v>
      </c>
    </row>
    <row r="714" spans="1:3" x14ac:dyDescent="0.25">
      <c r="A714">
        <v>21</v>
      </c>
      <c r="B714">
        <v>0</v>
      </c>
      <c r="C714">
        <v>496</v>
      </c>
    </row>
    <row r="715" spans="1:3" x14ac:dyDescent="0.25">
      <c r="A715">
        <v>18</v>
      </c>
      <c r="B715">
        <v>0</v>
      </c>
      <c r="C715">
        <v>496</v>
      </c>
    </row>
    <row r="716" spans="1:3" x14ac:dyDescent="0.25">
      <c r="A716">
        <v>14</v>
      </c>
      <c r="B716">
        <v>0</v>
      </c>
      <c r="C716">
        <v>496</v>
      </c>
    </row>
    <row r="717" spans="1:3" x14ac:dyDescent="0.25">
      <c r="A717">
        <v>16</v>
      </c>
      <c r="B717">
        <v>0</v>
      </c>
      <c r="C717">
        <v>496</v>
      </c>
    </row>
    <row r="718" spans="1:3" x14ac:dyDescent="0.25">
      <c r="A718">
        <v>19</v>
      </c>
      <c r="B718">
        <v>0</v>
      </c>
      <c r="C718">
        <v>530</v>
      </c>
    </row>
    <row r="719" spans="1:3" x14ac:dyDescent="0.25">
      <c r="A719">
        <v>21</v>
      </c>
      <c r="B719">
        <v>0</v>
      </c>
      <c r="C719">
        <v>530</v>
      </c>
    </row>
    <row r="720" spans="1:3" x14ac:dyDescent="0.25">
      <c r="A720">
        <v>18</v>
      </c>
      <c r="B720">
        <v>0</v>
      </c>
      <c r="C720">
        <v>530</v>
      </c>
    </row>
    <row r="721" spans="1:3" x14ac:dyDescent="0.25">
      <c r="A721">
        <v>19</v>
      </c>
      <c r="B721">
        <v>0</v>
      </c>
      <c r="C721">
        <v>530</v>
      </c>
    </row>
    <row r="722" spans="1:3" x14ac:dyDescent="0.25">
      <c r="A722">
        <v>19</v>
      </c>
      <c r="B722">
        <v>0</v>
      </c>
      <c r="C722">
        <v>530</v>
      </c>
    </row>
    <row r="723" spans="1:3" x14ac:dyDescent="0.25">
      <c r="A723">
        <v>15</v>
      </c>
      <c r="B723">
        <v>0</v>
      </c>
      <c r="C723">
        <v>530</v>
      </c>
    </row>
    <row r="724" spans="1:3" x14ac:dyDescent="0.25">
      <c r="A724">
        <v>13</v>
      </c>
      <c r="B724">
        <v>0</v>
      </c>
      <c r="C724">
        <v>530</v>
      </c>
    </row>
    <row r="725" spans="1:3" x14ac:dyDescent="0.25">
      <c r="A725">
        <v>18</v>
      </c>
      <c r="B725">
        <v>0</v>
      </c>
      <c r="C725">
        <v>530</v>
      </c>
    </row>
    <row r="726" spans="1:3" x14ac:dyDescent="0.25">
      <c r="A726">
        <v>17</v>
      </c>
      <c r="B726">
        <v>0</v>
      </c>
      <c r="C726">
        <v>515</v>
      </c>
    </row>
    <row r="727" spans="1:3" x14ac:dyDescent="0.25">
      <c r="A727">
        <v>18</v>
      </c>
      <c r="B727">
        <v>0</v>
      </c>
      <c r="C727">
        <v>515</v>
      </c>
    </row>
    <row r="728" spans="1:3" x14ac:dyDescent="0.25">
      <c r="A728">
        <v>16</v>
      </c>
      <c r="B728">
        <v>0</v>
      </c>
      <c r="C728">
        <v>515</v>
      </c>
    </row>
    <row r="729" spans="1:3" x14ac:dyDescent="0.25">
      <c r="A729">
        <v>20</v>
      </c>
      <c r="B729">
        <v>0</v>
      </c>
      <c r="C729">
        <v>515</v>
      </c>
    </row>
    <row r="730" spans="1:3" x14ac:dyDescent="0.25">
      <c r="A730">
        <v>21</v>
      </c>
      <c r="B730">
        <v>0</v>
      </c>
      <c r="C730">
        <v>515</v>
      </c>
    </row>
    <row r="731" spans="1:3" x14ac:dyDescent="0.25">
      <c r="A731">
        <v>18</v>
      </c>
      <c r="B731">
        <v>0</v>
      </c>
      <c r="C731">
        <v>515</v>
      </c>
    </row>
    <row r="732" spans="1:3" x14ac:dyDescent="0.25">
      <c r="A732">
        <v>20</v>
      </c>
      <c r="B732">
        <v>0</v>
      </c>
      <c r="C732">
        <v>515</v>
      </c>
    </row>
    <row r="733" spans="1:3" x14ac:dyDescent="0.25">
      <c r="A733">
        <v>19</v>
      </c>
      <c r="B733">
        <v>0</v>
      </c>
      <c r="C733">
        <v>704</v>
      </c>
    </row>
    <row r="734" spans="1:3" x14ac:dyDescent="0.25">
      <c r="A734">
        <v>15</v>
      </c>
      <c r="B734">
        <v>0</v>
      </c>
      <c r="C734">
        <v>704</v>
      </c>
    </row>
    <row r="735" spans="1:3" x14ac:dyDescent="0.25">
      <c r="A735">
        <v>19</v>
      </c>
      <c r="B735">
        <v>0</v>
      </c>
      <c r="C735">
        <v>704</v>
      </c>
    </row>
    <row r="736" spans="1:3" x14ac:dyDescent="0.25">
      <c r="A736">
        <v>20</v>
      </c>
      <c r="B736">
        <v>0</v>
      </c>
      <c r="C736">
        <v>704</v>
      </c>
    </row>
    <row r="737" spans="1:3" x14ac:dyDescent="0.25">
      <c r="A737">
        <v>21</v>
      </c>
      <c r="B737">
        <v>0</v>
      </c>
      <c r="C737">
        <v>704</v>
      </c>
    </row>
    <row r="738" spans="1:3" x14ac:dyDescent="0.25">
      <c r="A738">
        <v>19</v>
      </c>
      <c r="B738">
        <v>0</v>
      </c>
      <c r="C738">
        <v>704</v>
      </c>
    </row>
    <row r="739" spans="1:3" x14ac:dyDescent="0.25">
      <c r="A739">
        <v>21</v>
      </c>
      <c r="B739">
        <v>0</v>
      </c>
      <c r="C739">
        <v>704</v>
      </c>
    </row>
    <row r="740" spans="1:3" x14ac:dyDescent="0.25">
      <c r="A740">
        <v>19</v>
      </c>
      <c r="B740">
        <v>0</v>
      </c>
      <c r="C740">
        <v>759</v>
      </c>
    </row>
    <row r="741" spans="1:3" x14ac:dyDescent="0.25">
      <c r="A741">
        <v>20</v>
      </c>
      <c r="B741">
        <v>0</v>
      </c>
      <c r="C741">
        <v>759</v>
      </c>
    </row>
    <row r="742" spans="1:3" x14ac:dyDescent="0.25">
      <c r="A742">
        <v>20</v>
      </c>
      <c r="B742">
        <v>0</v>
      </c>
      <c r="C742">
        <v>759</v>
      </c>
    </row>
    <row r="743" spans="1:3" x14ac:dyDescent="0.25">
      <c r="A743">
        <v>15</v>
      </c>
      <c r="B743">
        <v>0</v>
      </c>
      <c r="C743">
        <v>759</v>
      </c>
    </row>
    <row r="744" spans="1:3" x14ac:dyDescent="0.25">
      <c r="A744">
        <v>22</v>
      </c>
      <c r="B744">
        <v>0</v>
      </c>
      <c r="C744">
        <v>759</v>
      </c>
    </row>
    <row r="745" spans="1:3" x14ac:dyDescent="0.25">
      <c r="A745">
        <v>20</v>
      </c>
      <c r="B745">
        <v>0</v>
      </c>
      <c r="C745">
        <v>759</v>
      </c>
    </row>
    <row r="746" spans="1:3" x14ac:dyDescent="0.25">
      <c r="A746">
        <v>17</v>
      </c>
      <c r="B746">
        <v>0</v>
      </c>
      <c r="C746">
        <v>759</v>
      </c>
    </row>
    <row r="747" spans="1:3" x14ac:dyDescent="0.25">
      <c r="A747">
        <v>21</v>
      </c>
      <c r="B747">
        <v>0</v>
      </c>
      <c r="C747">
        <v>743</v>
      </c>
    </row>
    <row r="748" spans="1:3" x14ac:dyDescent="0.25">
      <c r="A748">
        <v>21</v>
      </c>
      <c r="B748">
        <v>0</v>
      </c>
      <c r="C748">
        <v>743</v>
      </c>
    </row>
    <row r="749" spans="1:3" x14ac:dyDescent="0.25">
      <c r="A749">
        <v>20</v>
      </c>
      <c r="B749">
        <v>0</v>
      </c>
      <c r="C749">
        <v>743</v>
      </c>
    </row>
    <row r="750" spans="1:3" x14ac:dyDescent="0.25">
      <c r="A750">
        <v>22</v>
      </c>
      <c r="B750">
        <v>0</v>
      </c>
      <c r="C750">
        <v>743</v>
      </c>
    </row>
    <row r="751" spans="1:3" x14ac:dyDescent="0.25">
      <c r="A751">
        <v>23</v>
      </c>
      <c r="B751">
        <v>0</v>
      </c>
      <c r="C751">
        <v>743</v>
      </c>
    </row>
    <row r="752" spans="1:3" x14ac:dyDescent="0.25">
      <c r="A752">
        <v>16</v>
      </c>
      <c r="B752">
        <v>0</v>
      </c>
      <c r="C752">
        <v>743</v>
      </c>
    </row>
    <row r="753" spans="1:3" x14ac:dyDescent="0.25">
      <c r="A753">
        <v>15</v>
      </c>
      <c r="B753">
        <v>0</v>
      </c>
      <c r="C753">
        <v>743</v>
      </c>
    </row>
    <row r="754" spans="1:3" x14ac:dyDescent="0.25">
      <c r="A754">
        <v>17</v>
      </c>
      <c r="B754">
        <v>0</v>
      </c>
      <c r="C754">
        <v>713</v>
      </c>
    </row>
    <row r="755" spans="1:3" x14ac:dyDescent="0.25">
      <c r="A755">
        <v>13</v>
      </c>
      <c r="B755">
        <v>0</v>
      </c>
      <c r="C755">
        <v>713</v>
      </c>
    </row>
    <row r="756" spans="1:3" x14ac:dyDescent="0.25">
      <c r="A756">
        <v>20</v>
      </c>
      <c r="B756">
        <v>0</v>
      </c>
      <c r="C756">
        <v>713</v>
      </c>
    </row>
    <row r="757" spans="1:3" x14ac:dyDescent="0.25">
      <c r="A757">
        <v>20</v>
      </c>
      <c r="B757">
        <v>0</v>
      </c>
      <c r="C757">
        <v>713</v>
      </c>
    </row>
    <row r="758" spans="1:3" x14ac:dyDescent="0.25">
      <c r="A758">
        <v>15</v>
      </c>
      <c r="B758">
        <v>0</v>
      </c>
      <c r="C758">
        <v>713</v>
      </c>
    </row>
    <row r="759" spans="1:3" x14ac:dyDescent="0.25">
      <c r="A759">
        <v>16</v>
      </c>
      <c r="B759">
        <v>0</v>
      </c>
      <c r="C759">
        <v>713</v>
      </c>
    </row>
    <row r="760" spans="1:3" x14ac:dyDescent="0.25">
      <c r="A760">
        <v>16</v>
      </c>
      <c r="B760">
        <v>0</v>
      </c>
      <c r="C760">
        <v>713</v>
      </c>
    </row>
    <row r="761" spans="1:3" x14ac:dyDescent="0.25">
      <c r="A761">
        <v>18</v>
      </c>
      <c r="B761">
        <v>0</v>
      </c>
      <c r="C761">
        <v>713</v>
      </c>
    </row>
    <row r="762" spans="1:3" x14ac:dyDescent="0.25">
      <c r="A762">
        <v>18</v>
      </c>
      <c r="B762">
        <v>0</v>
      </c>
      <c r="C762">
        <v>550</v>
      </c>
    </row>
    <row r="763" spans="1:3" x14ac:dyDescent="0.25">
      <c r="A763">
        <v>15</v>
      </c>
      <c r="B763">
        <v>0</v>
      </c>
      <c r="C763">
        <v>550</v>
      </c>
    </row>
    <row r="764" spans="1:3" x14ac:dyDescent="0.25">
      <c r="A764">
        <v>19</v>
      </c>
      <c r="B764">
        <v>0</v>
      </c>
      <c r="C764">
        <v>550</v>
      </c>
    </row>
    <row r="765" spans="1:3" x14ac:dyDescent="0.25">
      <c r="A765">
        <v>17</v>
      </c>
      <c r="B765">
        <v>0</v>
      </c>
      <c r="C765">
        <v>550</v>
      </c>
    </row>
    <row r="766" spans="1:3" x14ac:dyDescent="0.25">
      <c r="A766">
        <v>13</v>
      </c>
      <c r="B766">
        <v>0</v>
      </c>
      <c r="C766">
        <v>550</v>
      </c>
    </row>
    <row r="767" spans="1:3" x14ac:dyDescent="0.25">
      <c r="A767">
        <v>16</v>
      </c>
      <c r="B767">
        <v>0</v>
      </c>
      <c r="C767">
        <v>550</v>
      </c>
    </row>
    <row r="768" spans="1:3" x14ac:dyDescent="0.25">
      <c r="A768">
        <v>13</v>
      </c>
      <c r="B768">
        <v>0</v>
      </c>
      <c r="C768">
        <v>550</v>
      </c>
    </row>
    <row r="769" spans="1:3" x14ac:dyDescent="0.25">
      <c r="A769">
        <v>15</v>
      </c>
      <c r="B769">
        <v>0</v>
      </c>
      <c r="C769">
        <v>550</v>
      </c>
    </row>
    <row r="770" spans="1:3" x14ac:dyDescent="0.25">
      <c r="A770">
        <v>19</v>
      </c>
      <c r="B770">
        <v>0</v>
      </c>
      <c r="C770">
        <v>482</v>
      </c>
    </row>
    <row r="771" spans="1:3" x14ac:dyDescent="0.25">
      <c r="A771">
        <v>13</v>
      </c>
      <c r="B771">
        <v>0</v>
      </c>
      <c r="C771">
        <v>482</v>
      </c>
    </row>
    <row r="772" spans="1:3" x14ac:dyDescent="0.25">
      <c r="A772">
        <v>13</v>
      </c>
      <c r="B772">
        <v>0</v>
      </c>
      <c r="C772">
        <v>482</v>
      </c>
    </row>
    <row r="773" spans="1:3" x14ac:dyDescent="0.25">
      <c r="A773">
        <v>20</v>
      </c>
      <c r="B773">
        <v>0</v>
      </c>
      <c r="C773">
        <v>482</v>
      </c>
    </row>
    <row r="774" spans="1:3" x14ac:dyDescent="0.25">
      <c r="A774">
        <v>17</v>
      </c>
      <c r="B774">
        <v>0</v>
      </c>
      <c r="C774">
        <v>482</v>
      </c>
    </row>
    <row r="775" spans="1:3" x14ac:dyDescent="0.25">
      <c r="A775">
        <v>17</v>
      </c>
      <c r="B775">
        <v>0</v>
      </c>
      <c r="C775">
        <v>482</v>
      </c>
    </row>
    <row r="776" spans="1:3" x14ac:dyDescent="0.25">
      <c r="A776">
        <v>19</v>
      </c>
      <c r="B776">
        <v>0</v>
      </c>
      <c r="C776">
        <v>482</v>
      </c>
    </row>
    <row r="777" spans="1:3" x14ac:dyDescent="0.25">
      <c r="A777">
        <v>16</v>
      </c>
      <c r="B777">
        <v>0</v>
      </c>
      <c r="C777">
        <v>482</v>
      </c>
    </row>
    <row r="778" spans="1:3" x14ac:dyDescent="0.25">
      <c r="A778">
        <v>17</v>
      </c>
      <c r="B778">
        <v>0</v>
      </c>
      <c r="C778">
        <v>493</v>
      </c>
    </row>
    <row r="779" spans="1:3" x14ac:dyDescent="0.25">
      <c r="A779">
        <v>15</v>
      </c>
      <c r="B779">
        <v>0</v>
      </c>
      <c r="C779">
        <v>493</v>
      </c>
    </row>
    <row r="780" spans="1:3" x14ac:dyDescent="0.25">
      <c r="A780">
        <v>15</v>
      </c>
      <c r="B780">
        <v>0</v>
      </c>
      <c r="C780">
        <v>493</v>
      </c>
    </row>
    <row r="781" spans="1:3" x14ac:dyDescent="0.25">
      <c r="A781">
        <v>17</v>
      </c>
      <c r="B781">
        <v>0</v>
      </c>
      <c r="C781">
        <v>493</v>
      </c>
    </row>
    <row r="782" spans="1:3" x14ac:dyDescent="0.25">
      <c r="A782">
        <v>21</v>
      </c>
      <c r="B782">
        <v>0</v>
      </c>
      <c r="C782">
        <v>493</v>
      </c>
    </row>
    <row r="783" spans="1:3" x14ac:dyDescent="0.25">
      <c r="A783">
        <v>16</v>
      </c>
      <c r="B783">
        <v>0</v>
      </c>
      <c r="C783">
        <v>493</v>
      </c>
    </row>
    <row r="784" spans="1:3" x14ac:dyDescent="0.25">
      <c r="A784">
        <v>18</v>
      </c>
      <c r="B784">
        <v>0</v>
      </c>
      <c r="C784">
        <v>493</v>
      </c>
    </row>
    <row r="785" spans="1:3" x14ac:dyDescent="0.25">
      <c r="A785">
        <v>14</v>
      </c>
      <c r="B785">
        <v>0</v>
      </c>
      <c r="C785">
        <v>493</v>
      </c>
    </row>
    <row r="786" spans="1:3" x14ac:dyDescent="0.25">
      <c r="A786">
        <v>17</v>
      </c>
      <c r="B786">
        <v>0</v>
      </c>
      <c r="C786">
        <v>610</v>
      </c>
    </row>
    <row r="787" spans="1:3" x14ac:dyDescent="0.25">
      <c r="A787">
        <v>18</v>
      </c>
      <c r="B787">
        <v>0</v>
      </c>
      <c r="C787">
        <v>610</v>
      </c>
    </row>
    <row r="788" spans="1:3" x14ac:dyDescent="0.25">
      <c r="A788">
        <v>20</v>
      </c>
      <c r="B788">
        <v>0</v>
      </c>
      <c r="C788">
        <v>610</v>
      </c>
    </row>
    <row r="789" spans="1:3" x14ac:dyDescent="0.25">
      <c r="A789">
        <v>17</v>
      </c>
      <c r="B789">
        <v>0</v>
      </c>
      <c r="C789">
        <v>610</v>
      </c>
    </row>
    <row r="790" spans="1:3" x14ac:dyDescent="0.25">
      <c r="A790">
        <v>16</v>
      </c>
      <c r="B790">
        <v>0</v>
      </c>
      <c r="C790">
        <v>610</v>
      </c>
    </row>
    <row r="791" spans="1:3" x14ac:dyDescent="0.25">
      <c r="A791">
        <v>20</v>
      </c>
      <c r="B791">
        <v>0</v>
      </c>
      <c r="C791">
        <v>610</v>
      </c>
    </row>
    <row r="792" spans="1:3" x14ac:dyDescent="0.25">
      <c r="A792">
        <v>14</v>
      </c>
      <c r="B792">
        <v>0</v>
      </c>
      <c r="C792">
        <v>610</v>
      </c>
    </row>
    <row r="793" spans="1:3" x14ac:dyDescent="0.25">
      <c r="A793">
        <v>18</v>
      </c>
      <c r="B793">
        <v>0</v>
      </c>
      <c r="C793">
        <v>610</v>
      </c>
    </row>
    <row r="794" spans="1:3" x14ac:dyDescent="0.25">
      <c r="A794">
        <v>17</v>
      </c>
      <c r="B794">
        <v>0</v>
      </c>
      <c r="C794">
        <v>528</v>
      </c>
    </row>
    <row r="795" spans="1:3" x14ac:dyDescent="0.25">
      <c r="A795">
        <v>19</v>
      </c>
      <c r="B795">
        <v>0</v>
      </c>
      <c r="C795">
        <v>528</v>
      </c>
    </row>
    <row r="796" spans="1:3" x14ac:dyDescent="0.25">
      <c r="A796">
        <v>21</v>
      </c>
      <c r="B796">
        <v>0</v>
      </c>
      <c r="C796">
        <v>528</v>
      </c>
    </row>
    <row r="797" spans="1:3" x14ac:dyDescent="0.25">
      <c r="A797">
        <v>19</v>
      </c>
      <c r="B797">
        <v>0</v>
      </c>
      <c r="C797">
        <v>528</v>
      </c>
    </row>
    <row r="798" spans="1:3" x14ac:dyDescent="0.25">
      <c r="A798">
        <v>14</v>
      </c>
      <c r="B798">
        <v>0</v>
      </c>
      <c r="C798">
        <v>528</v>
      </c>
    </row>
    <row r="799" spans="1:3" x14ac:dyDescent="0.25">
      <c r="A799">
        <v>19</v>
      </c>
      <c r="B799">
        <v>0</v>
      </c>
      <c r="C799">
        <v>528</v>
      </c>
    </row>
    <row r="800" spans="1:3" x14ac:dyDescent="0.25">
      <c r="A800">
        <v>15</v>
      </c>
      <c r="B800">
        <v>0</v>
      </c>
      <c r="C800">
        <v>528</v>
      </c>
    </row>
    <row r="801" spans="1:3" x14ac:dyDescent="0.25">
      <c r="A801">
        <v>18</v>
      </c>
      <c r="B801">
        <v>0</v>
      </c>
      <c r="C801">
        <v>528</v>
      </c>
    </row>
    <row r="802" spans="1:3" x14ac:dyDescent="0.25">
      <c r="A802">
        <v>18</v>
      </c>
      <c r="B802">
        <v>0</v>
      </c>
      <c r="C802">
        <v>571</v>
      </c>
    </row>
    <row r="803" spans="1:3" x14ac:dyDescent="0.25">
      <c r="A803">
        <v>17</v>
      </c>
      <c r="B803">
        <v>0</v>
      </c>
      <c r="C803">
        <v>571</v>
      </c>
    </row>
    <row r="804" spans="1:3" x14ac:dyDescent="0.25">
      <c r="A804">
        <v>20</v>
      </c>
      <c r="B804">
        <v>0</v>
      </c>
      <c r="C804">
        <v>571</v>
      </c>
    </row>
    <row r="805" spans="1:3" x14ac:dyDescent="0.25">
      <c r="A805">
        <v>16</v>
      </c>
      <c r="B805">
        <v>0</v>
      </c>
      <c r="C805">
        <v>571</v>
      </c>
    </row>
    <row r="806" spans="1:3" x14ac:dyDescent="0.25">
      <c r="A806">
        <v>19</v>
      </c>
      <c r="B806">
        <v>0</v>
      </c>
      <c r="C806">
        <v>571</v>
      </c>
    </row>
    <row r="807" spans="1:3" x14ac:dyDescent="0.25">
      <c r="A807">
        <v>17</v>
      </c>
      <c r="B807">
        <v>0</v>
      </c>
      <c r="C807">
        <v>571</v>
      </c>
    </row>
    <row r="808" spans="1:3" x14ac:dyDescent="0.25">
      <c r="A808">
        <v>15</v>
      </c>
      <c r="B808">
        <v>0</v>
      </c>
      <c r="C808">
        <v>571</v>
      </c>
    </row>
    <row r="809" spans="1:3" x14ac:dyDescent="0.25">
      <c r="A809">
        <v>17</v>
      </c>
      <c r="B809">
        <v>0</v>
      </c>
      <c r="C809">
        <v>571</v>
      </c>
    </row>
    <row r="810" spans="1:3" x14ac:dyDescent="0.25">
      <c r="A810">
        <v>17</v>
      </c>
      <c r="B810">
        <v>0</v>
      </c>
      <c r="C810">
        <v>461</v>
      </c>
    </row>
    <row r="811" spans="1:3" x14ac:dyDescent="0.25">
      <c r="A811">
        <v>21</v>
      </c>
      <c r="B811">
        <v>0</v>
      </c>
      <c r="C811">
        <v>461</v>
      </c>
    </row>
    <row r="812" spans="1:3" x14ac:dyDescent="0.25">
      <c r="A812">
        <v>20</v>
      </c>
      <c r="B812">
        <v>0</v>
      </c>
      <c r="C812">
        <v>461</v>
      </c>
    </row>
    <row r="813" spans="1:3" x14ac:dyDescent="0.25">
      <c r="A813">
        <v>17</v>
      </c>
      <c r="B813">
        <v>0</v>
      </c>
      <c r="C813">
        <v>461</v>
      </c>
    </row>
    <row r="814" spans="1:3" x14ac:dyDescent="0.25">
      <c r="A814">
        <v>19</v>
      </c>
      <c r="B814">
        <v>0</v>
      </c>
      <c r="C814">
        <v>461</v>
      </c>
    </row>
    <row r="815" spans="1:3" x14ac:dyDescent="0.25">
      <c r="A815">
        <v>13</v>
      </c>
      <c r="B815">
        <v>0</v>
      </c>
      <c r="C815">
        <v>461</v>
      </c>
    </row>
    <row r="816" spans="1:3" x14ac:dyDescent="0.25">
      <c r="A816">
        <v>16</v>
      </c>
      <c r="B816">
        <v>0</v>
      </c>
      <c r="C816">
        <v>461</v>
      </c>
    </row>
    <row r="817" spans="1:3" x14ac:dyDescent="0.25">
      <c r="A817">
        <v>17</v>
      </c>
      <c r="B817">
        <v>0</v>
      </c>
      <c r="C817">
        <v>677</v>
      </c>
    </row>
    <row r="818" spans="1:3" x14ac:dyDescent="0.25">
      <c r="A818">
        <v>21</v>
      </c>
      <c r="B818">
        <v>0</v>
      </c>
      <c r="C818">
        <v>677</v>
      </c>
    </row>
    <row r="819" spans="1:3" x14ac:dyDescent="0.25">
      <c r="A819">
        <v>15</v>
      </c>
      <c r="B819">
        <v>0</v>
      </c>
      <c r="C819">
        <v>677</v>
      </c>
    </row>
    <row r="820" spans="1:3" x14ac:dyDescent="0.25">
      <c r="A820">
        <v>15</v>
      </c>
      <c r="B820">
        <v>0</v>
      </c>
      <c r="C820">
        <v>677</v>
      </c>
    </row>
    <row r="821" spans="1:3" x14ac:dyDescent="0.25">
      <c r="A821">
        <v>17</v>
      </c>
      <c r="B821">
        <v>0</v>
      </c>
      <c r="C821">
        <v>677</v>
      </c>
    </row>
    <row r="822" spans="1:3" x14ac:dyDescent="0.25">
      <c r="A822">
        <v>19</v>
      </c>
      <c r="B822">
        <v>0</v>
      </c>
      <c r="C822">
        <v>677</v>
      </c>
    </row>
    <row r="823" spans="1:3" x14ac:dyDescent="0.25">
      <c r="A823">
        <v>16</v>
      </c>
      <c r="B823">
        <v>0</v>
      </c>
      <c r="C823">
        <v>677</v>
      </c>
    </row>
    <row r="824" spans="1:3" x14ac:dyDescent="0.25">
      <c r="A824">
        <v>20</v>
      </c>
      <c r="B824">
        <v>0</v>
      </c>
      <c r="C824">
        <v>677</v>
      </c>
    </row>
    <row r="825" spans="1:3" x14ac:dyDescent="0.25">
      <c r="A825">
        <v>19</v>
      </c>
      <c r="B825">
        <v>0</v>
      </c>
      <c r="C825">
        <v>561</v>
      </c>
    </row>
    <row r="826" spans="1:3" x14ac:dyDescent="0.25">
      <c r="A826">
        <v>20</v>
      </c>
      <c r="B826">
        <v>0</v>
      </c>
      <c r="C826">
        <v>561</v>
      </c>
    </row>
    <row r="827" spans="1:3" x14ac:dyDescent="0.25">
      <c r="A827">
        <v>13</v>
      </c>
      <c r="B827">
        <v>0</v>
      </c>
      <c r="C827">
        <v>561</v>
      </c>
    </row>
    <row r="828" spans="1:3" x14ac:dyDescent="0.25">
      <c r="A828">
        <v>16</v>
      </c>
      <c r="B828">
        <v>0</v>
      </c>
      <c r="C828">
        <v>561</v>
      </c>
    </row>
    <row r="829" spans="1:3" x14ac:dyDescent="0.25">
      <c r="A829">
        <v>20</v>
      </c>
      <c r="B829">
        <v>0</v>
      </c>
      <c r="C829">
        <v>561</v>
      </c>
    </row>
    <row r="830" spans="1:3" x14ac:dyDescent="0.25">
      <c r="A830">
        <v>16</v>
      </c>
      <c r="B830">
        <v>0</v>
      </c>
      <c r="C830">
        <v>561</v>
      </c>
    </row>
    <row r="831" spans="1:3" x14ac:dyDescent="0.25">
      <c r="A831">
        <v>16</v>
      </c>
      <c r="B831">
        <v>0</v>
      </c>
      <c r="C831">
        <v>561</v>
      </c>
    </row>
    <row r="832" spans="1:3" x14ac:dyDescent="0.25">
      <c r="A832">
        <v>19</v>
      </c>
      <c r="B832">
        <v>0</v>
      </c>
      <c r="C832">
        <v>561</v>
      </c>
    </row>
    <row r="833" spans="1:3" x14ac:dyDescent="0.25">
      <c r="A833">
        <v>15</v>
      </c>
      <c r="B833">
        <v>0</v>
      </c>
      <c r="C833">
        <v>547</v>
      </c>
    </row>
    <row r="834" spans="1:3" x14ac:dyDescent="0.25">
      <c r="A834">
        <v>17</v>
      </c>
      <c r="B834">
        <v>0</v>
      </c>
      <c r="C834">
        <v>547</v>
      </c>
    </row>
    <row r="835" spans="1:3" x14ac:dyDescent="0.25">
      <c r="A835">
        <v>15</v>
      </c>
      <c r="B835">
        <v>0</v>
      </c>
      <c r="C835">
        <v>547</v>
      </c>
    </row>
    <row r="836" spans="1:3" x14ac:dyDescent="0.25">
      <c r="A836">
        <v>15</v>
      </c>
      <c r="B836">
        <v>0</v>
      </c>
      <c r="C836">
        <v>547</v>
      </c>
    </row>
    <row r="837" spans="1:3" x14ac:dyDescent="0.25">
      <c r="A837">
        <v>19</v>
      </c>
      <c r="B837">
        <v>0</v>
      </c>
      <c r="C837">
        <v>547</v>
      </c>
    </row>
    <row r="838" spans="1:3" x14ac:dyDescent="0.25">
      <c r="A838">
        <v>17</v>
      </c>
      <c r="B838">
        <v>0</v>
      </c>
      <c r="C838">
        <v>547</v>
      </c>
    </row>
    <row r="839" spans="1:3" x14ac:dyDescent="0.25">
      <c r="A839">
        <v>22</v>
      </c>
      <c r="B839">
        <v>0</v>
      </c>
      <c r="C839">
        <v>547</v>
      </c>
    </row>
    <row r="840" spans="1:3" x14ac:dyDescent="0.25">
      <c r="A840">
        <v>18</v>
      </c>
      <c r="B840">
        <v>0</v>
      </c>
      <c r="C840">
        <v>540</v>
      </c>
    </row>
    <row r="841" spans="1:3" x14ac:dyDescent="0.25">
      <c r="A841">
        <v>16</v>
      </c>
      <c r="B841">
        <v>0</v>
      </c>
      <c r="C841">
        <v>540</v>
      </c>
    </row>
    <row r="842" spans="1:3" x14ac:dyDescent="0.25">
      <c r="A842">
        <v>15</v>
      </c>
      <c r="B842">
        <v>0</v>
      </c>
      <c r="C842">
        <v>540</v>
      </c>
    </row>
    <row r="843" spans="1:3" x14ac:dyDescent="0.25">
      <c r="A843">
        <v>17</v>
      </c>
      <c r="B843">
        <v>0</v>
      </c>
      <c r="C843">
        <v>540</v>
      </c>
    </row>
    <row r="844" spans="1:3" x14ac:dyDescent="0.25">
      <c r="A844">
        <v>18</v>
      </c>
      <c r="B844">
        <v>0</v>
      </c>
      <c r="C844">
        <v>540</v>
      </c>
    </row>
    <row r="845" spans="1:3" x14ac:dyDescent="0.25">
      <c r="A845">
        <v>16</v>
      </c>
      <c r="B845">
        <v>0</v>
      </c>
      <c r="C845">
        <v>799</v>
      </c>
    </row>
    <row r="846" spans="1:3" x14ac:dyDescent="0.25">
      <c r="A846">
        <v>21</v>
      </c>
      <c r="B846">
        <v>0</v>
      </c>
      <c r="C846">
        <v>799</v>
      </c>
    </row>
    <row r="847" spans="1:3" x14ac:dyDescent="0.25">
      <c r="A847">
        <v>21</v>
      </c>
      <c r="B847">
        <v>0</v>
      </c>
      <c r="C847">
        <v>799</v>
      </c>
    </row>
    <row r="848" spans="1:3" x14ac:dyDescent="0.25">
      <c r="A848">
        <v>21</v>
      </c>
      <c r="B848">
        <v>0</v>
      </c>
      <c r="C848">
        <v>799</v>
      </c>
    </row>
    <row r="849" spans="1:3" x14ac:dyDescent="0.25">
      <c r="A849">
        <v>19</v>
      </c>
      <c r="B849">
        <v>0</v>
      </c>
      <c r="C849">
        <v>799</v>
      </c>
    </row>
    <row r="850" spans="1:3" x14ac:dyDescent="0.25">
      <c r="A850">
        <v>20</v>
      </c>
      <c r="B850">
        <v>0</v>
      </c>
      <c r="C850">
        <v>799</v>
      </c>
    </row>
    <row r="851" spans="1:3" x14ac:dyDescent="0.25">
      <c r="A851">
        <v>19</v>
      </c>
      <c r="B851">
        <v>0</v>
      </c>
      <c r="C851">
        <v>679</v>
      </c>
    </row>
    <row r="852" spans="1:3" x14ac:dyDescent="0.25">
      <c r="A852">
        <v>18</v>
      </c>
      <c r="B852">
        <v>0</v>
      </c>
      <c r="C852">
        <v>679</v>
      </c>
    </row>
    <row r="853" spans="1:3" x14ac:dyDescent="0.25">
      <c r="A853">
        <v>15</v>
      </c>
      <c r="B853">
        <v>0</v>
      </c>
      <c r="C853">
        <v>679</v>
      </c>
    </row>
    <row r="854" spans="1:3" x14ac:dyDescent="0.25">
      <c r="A854">
        <v>18</v>
      </c>
      <c r="B854">
        <v>0</v>
      </c>
      <c r="C854">
        <v>679</v>
      </c>
    </row>
    <row r="855" spans="1:3" x14ac:dyDescent="0.25">
      <c r="A855">
        <v>17</v>
      </c>
      <c r="B855">
        <v>0</v>
      </c>
      <c r="C855">
        <v>679</v>
      </c>
    </row>
    <row r="856" spans="1:3" x14ac:dyDescent="0.25">
      <c r="A856">
        <v>18</v>
      </c>
      <c r="B856">
        <v>0</v>
      </c>
      <c r="C856">
        <v>679</v>
      </c>
    </row>
    <row r="857" spans="1:3" x14ac:dyDescent="0.25">
      <c r="A857">
        <v>20</v>
      </c>
      <c r="B857">
        <v>0</v>
      </c>
      <c r="C857">
        <v>679</v>
      </c>
    </row>
    <row r="858" spans="1:3" x14ac:dyDescent="0.25">
      <c r="A858">
        <v>17</v>
      </c>
      <c r="B858">
        <v>0</v>
      </c>
      <c r="C858">
        <v>716</v>
      </c>
    </row>
    <row r="859" spans="1:3" x14ac:dyDescent="0.25">
      <c r="A859">
        <v>20</v>
      </c>
      <c r="B859">
        <v>0</v>
      </c>
      <c r="C859">
        <v>716</v>
      </c>
    </row>
    <row r="860" spans="1:3" x14ac:dyDescent="0.25">
      <c r="A860">
        <v>38</v>
      </c>
      <c r="B860">
        <v>0</v>
      </c>
      <c r="C860">
        <v>716</v>
      </c>
    </row>
    <row r="861" spans="1:3" x14ac:dyDescent="0.25">
      <c r="A861">
        <v>21</v>
      </c>
      <c r="B861">
        <v>0</v>
      </c>
      <c r="C861">
        <v>716</v>
      </c>
    </row>
    <row r="862" spans="1:3" x14ac:dyDescent="0.25">
      <c r="A862">
        <v>21</v>
      </c>
      <c r="B862">
        <v>0</v>
      </c>
      <c r="C862">
        <v>716</v>
      </c>
    </row>
    <row r="863" spans="1:3" x14ac:dyDescent="0.25">
      <c r="A863">
        <v>17</v>
      </c>
      <c r="B863">
        <v>0</v>
      </c>
      <c r="C863">
        <v>909</v>
      </c>
    </row>
    <row r="864" spans="1:3" x14ac:dyDescent="0.25">
      <c r="A864">
        <v>21</v>
      </c>
      <c r="B864">
        <v>0</v>
      </c>
      <c r="C864">
        <v>909</v>
      </c>
    </row>
    <row r="865" spans="1:3" x14ac:dyDescent="0.25">
      <c r="A865">
        <v>17</v>
      </c>
      <c r="B865">
        <v>0</v>
      </c>
      <c r="C865">
        <v>909</v>
      </c>
    </row>
    <row r="866" spans="1:3" x14ac:dyDescent="0.25">
      <c r="A866">
        <v>18</v>
      </c>
      <c r="B866">
        <v>0</v>
      </c>
      <c r="C866">
        <v>909</v>
      </c>
    </row>
    <row r="867" spans="1:3" x14ac:dyDescent="0.25">
      <c r="A867">
        <v>21</v>
      </c>
      <c r="B867">
        <v>0</v>
      </c>
      <c r="C867">
        <v>909</v>
      </c>
    </row>
    <row r="868" spans="1:3" x14ac:dyDescent="0.25">
      <c r="A868">
        <v>17</v>
      </c>
      <c r="B868">
        <v>0</v>
      </c>
      <c r="C868">
        <v>909</v>
      </c>
    </row>
    <row r="869" spans="1:3" x14ac:dyDescent="0.25">
      <c r="A869">
        <v>18</v>
      </c>
      <c r="B869">
        <v>0</v>
      </c>
      <c r="C869">
        <v>909</v>
      </c>
    </row>
    <row r="870" spans="1:3" x14ac:dyDescent="0.25">
      <c r="A870">
        <v>17</v>
      </c>
      <c r="B870">
        <v>0</v>
      </c>
      <c r="C870">
        <v>909</v>
      </c>
    </row>
    <row r="871" spans="1:3" x14ac:dyDescent="0.25">
      <c r="A871">
        <v>19</v>
      </c>
      <c r="B871">
        <v>0</v>
      </c>
      <c r="C871">
        <v>538</v>
      </c>
    </row>
    <row r="872" spans="1:3" x14ac:dyDescent="0.25">
      <c r="A872">
        <v>15</v>
      </c>
      <c r="B872">
        <v>0</v>
      </c>
      <c r="C872">
        <v>538</v>
      </c>
    </row>
    <row r="873" spans="1:3" x14ac:dyDescent="0.25">
      <c r="A873">
        <v>14</v>
      </c>
      <c r="B873">
        <v>0</v>
      </c>
      <c r="C873">
        <v>538</v>
      </c>
    </row>
    <row r="874" spans="1:3" x14ac:dyDescent="0.25">
      <c r="A874">
        <v>15</v>
      </c>
      <c r="B874">
        <v>0</v>
      </c>
      <c r="C874">
        <v>538</v>
      </c>
    </row>
    <row r="875" spans="1:3" x14ac:dyDescent="0.25">
      <c r="A875">
        <v>18</v>
      </c>
      <c r="B875">
        <v>0</v>
      </c>
      <c r="C875">
        <v>538</v>
      </c>
    </row>
    <row r="876" spans="1:3" x14ac:dyDescent="0.25">
      <c r="A876">
        <v>18</v>
      </c>
      <c r="B876">
        <v>0</v>
      </c>
      <c r="C876">
        <v>538</v>
      </c>
    </row>
    <row r="877" spans="1:3" x14ac:dyDescent="0.25">
      <c r="A877">
        <v>14</v>
      </c>
      <c r="B877">
        <v>0</v>
      </c>
      <c r="C877">
        <v>538</v>
      </c>
    </row>
    <row r="878" spans="1:3" x14ac:dyDescent="0.25">
      <c r="A878">
        <v>19</v>
      </c>
      <c r="B878">
        <v>0</v>
      </c>
      <c r="C878">
        <v>538</v>
      </c>
    </row>
    <row r="879" spans="1:3" x14ac:dyDescent="0.25">
      <c r="A879">
        <v>18</v>
      </c>
      <c r="B879">
        <v>0</v>
      </c>
      <c r="C879">
        <v>538</v>
      </c>
    </row>
    <row r="880" spans="1:3" x14ac:dyDescent="0.25">
      <c r="A880">
        <v>14</v>
      </c>
      <c r="B880">
        <v>0</v>
      </c>
      <c r="C880">
        <v>465</v>
      </c>
    </row>
    <row r="881" spans="1:3" x14ac:dyDescent="0.25">
      <c r="A881">
        <v>15</v>
      </c>
      <c r="B881">
        <v>0</v>
      </c>
      <c r="C881">
        <v>465</v>
      </c>
    </row>
    <row r="882" spans="1:3" x14ac:dyDescent="0.25">
      <c r="A882">
        <v>14</v>
      </c>
      <c r="B882">
        <v>0</v>
      </c>
      <c r="C882">
        <v>465</v>
      </c>
    </row>
    <row r="883" spans="1:3" x14ac:dyDescent="0.25">
      <c r="A883">
        <v>16</v>
      </c>
      <c r="B883">
        <v>0</v>
      </c>
      <c r="C883">
        <v>465</v>
      </c>
    </row>
    <row r="884" spans="1:3" x14ac:dyDescent="0.25">
      <c r="A884">
        <v>14</v>
      </c>
      <c r="B884">
        <v>0</v>
      </c>
      <c r="C884">
        <v>465</v>
      </c>
    </row>
    <row r="885" spans="1:3" x14ac:dyDescent="0.25">
      <c r="A885">
        <v>13</v>
      </c>
      <c r="B885">
        <v>0</v>
      </c>
      <c r="C885">
        <v>465</v>
      </c>
    </row>
    <row r="886" spans="1:3" x14ac:dyDescent="0.25">
      <c r="A886">
        <v>15</v>
      </c>
      <c r="B886">
        <v>0</v>
      </c>
      <c r="C886">
        <v>465</v>
      </c>
    </row>
    <row r="887" spans="1:3" x14ac:dyDescent="0.25">
      <c r="A887">
        <v>15</v>
      </c>
      <c r="B887">
        <v>0</v>
      </c>
      <c r="C887">
        <v>465</v>
      </c>
    </row>
    <row r="888" spans="1:3" x14ac:dyDescent="0.25">
      <c r="A888">
        <v>18</v>
      </c>
      <c r="B888">
        <v>0</v>
      </c>
      <c r="C888">
        <v>465</v>
      </c>
    </row>
    <row r="889" spans="1:3" x14ac:dyDescent="0.25">
      <c r="A889">
        <v>15</v>
      </c>
      <c r="B889">
        <v>0</v>
      </c>
      <c r="C889">
        <v>463</v>
      </c>
    </row>
    <row r="890" spans="1:3" x14ac:dyDescent="0.25">
      <c r="A890">
        <v>16</v>
      </c>
      <c r="B890">
        <v>0</v>
      </c>
      <c r="C890">
        <v>463</v>
      </c>
    </row>
    <row r="891" spans="1:3" x14ac:dyDescent="0.25">
      <c r="A891">
        <v>14</v>
      </c>
      <c r="B891">
        <v>0</v>
      </c>
      <c r="C891">
        <v>463</v>
      </c>
    </row>
    <row r="892" spans="1:3" x14ac:dyDescent="0.25">
      <c r="A892">
        <v>16</v>
      </c>
      <c r="B892">
        <v>0</v>
      </c>
      <c r="C892">
        <v>463</v>
      </c>
    </row>
    <row r="893" spans="1:3" x14ac:dyDescent="0.25">
      <c r="A893">
        <v>17</v>
      </c>
      <c r="B893">
        <v>0</v>
      </c>
      <c r="C893">
        <v>463</v>
      </c>
    </row>
    <row r="894" spans="1:3" x14ac:dyDescent="0.25">
      <c r="A894">
        <v>14</v>
      </c>
      <c r="B894">
        <v>0</v>
      </c>
      <c r="C894">
        <v>463</v>
      </c>
    </row>
    <row r="895" spans="1:3" x14ac:dyDescent="0.25">
      <c r="A895">
        <v>16</v>
      </c>
      <c r="B895">
        <v>0</v>
      </c>
      <c r="C895">
        <v>463</v>
      </c>
    </row>
    <row r="896" spans="1:3" x14ac:dyDescent="0.25">
      <c r="A896">
        <v>21</v>
      </c>
      <c r="B896">
        <v>0</v>
      </c>
      <c r="C896">
        <v>463</v>
      </c>
    </row>
    <row r="897" spans="1:3" x14ac:dyDescent="0.25">
      <c r="A897">
        <v>13</v>
      </c>
      <c r="B897">
        <v>0</v>
      </c>
      <c r="C897">
        <v>463</v>
      </c>
    </row>
    <row r="898" spans="1:3" x14ac:dyDescent="0.25">
      <c r="A898">
        <v>13</v>
      </c>
      <c r="B898">
        <v>0</v>
      </c>
      <c r="C898">
        <v>453</v>
      </c>
    </row>
    <row r="899" spans="1:3" x14ac:dyDescent="0.25">
      <c r="A899">
        <v>19</v>
      </c>
      <c r="B899">
        <v>0</v>
      </c>
      <c r="C899">
        <v>453</v>
      </c>
    </row>
    <row r="900" spans="1:3" x14ac:dyDescent="0.25">
      <c r="A900">
        <v>14</v>
      </c>
      <c r="B900">
        <v>0</v>
      </c>
      <c r="C900">
        <v>453</v>
      </c>
    </row>
    <row r="901" spans="1:3" x14ac:dyDescent="0.25">
      <c r="A901">
        <v>15</v>
      </c>
      <c r="B901">
        <v>0</v>
      </c>
      <c r="C901">
        <v>453</v>
      </c>
    </row>
    <row r="902" spans="1:3" x14ac:dyDescent="0.25">
      <c r="A902">
        <v>18</v>
      </c>
      <c r="B902">
        <v>0</v>
      </c>
      <c r="C902">
        <v>453</v>
      </c>
    </row>
    <row r="903" spans="1:3" x14ac:dyDescent="0.25">
      <c r="A903">
        <v>18</v>
      </c>
      <c r="B903">
        <v>0</v>
      </c>
      <c r="C903">
        <v>453</v>
      </c>
    </row>
    <row r="904" spans="1:3" x14ac:dyDescent="0.25">
      <c r="A904">
        <v>18</v>
      </c>
      <c r="B904">
        <v>0</v>
      </c>
      <c r="C904">
        <v>453</v>
      </c>
    </row>
    <row r="905" spans="1:3" x14ac:dyDescent="0.25">
      <c r="A905">
        <v>18</v>
      </c>
      <c r="B905">
        <v>0</v>
      </c>
      <c r="C905">
        <v>453</v>
      </c>
    </row>
    <row r="906" spans="1:3" x14ac:dyDescent="0.25">
      <c r="A906">
        <v>15</v>
      </c>
      <c r="B906">
        <v>0</v>
      </c>
      <c r="C906">
        <v>596</v>
      </c>
    </row>
    <row r="907" spans="1:3" x14ac:dyDescent="0.25">
      <c r="A907">
        <v>19</v>
      </c>
      <c r="B907">
        <v>0</v>
      </c>
      <c r="C907">
        <v>596</v>
      </c>
    </row>
    <row r="908" spans="1:3" x14ac:dyDescent="0.25">
      <c r="A908">
        <v>15</v>
      </c>
      <c r="B908">
        <v>0</v>
      </c>
      <c r="C908">
        <v>596</v>
      </c>
    </row>
    <row r="909" spans="1:3" x14ac:dyDescent="0.25">
      <c r="A909">
        <v>14</v>
      </c>
      <c r="B909">
        <v>0</v>
      </c>
      <c r="C909">
        <v>596</v>
      </c>
    </row>
    <row r="910" spans="1:3" x14ac:dyDescent="0.25">
      <c r="A910">
        <v>15</v>
      </c>
      <c r="B910">
        <v>0</v>
      </c>
      <c r="C910">
        <v>596</v>
      </c>
    </row>
    <row r="911" spans="1:3" x14ac:dyDescent="0.25">
      <c r="A911">
        <v>17</v>
      </c>
      <c r="B911">
        <v>0</v>
      </c>
      <c r="C911">
        <v>596</v>
      </c>
    </row>
    <row r="912" spans="1:3" x14ac:dyDescent="0.25">
      <c r="A912">
        <v>22</v>
      </c>
      <c r="B912">
        <v>0</v>
      </c>
      <c r="C912">
        <v>596</v>
      </c>
    </row>
    <row r="913" spans="1:3" x14ac:dyDescent="0.25">
      <c r="A913">
        <v>14</v>
      </c>
      <c r="B913">
        <v>0</v>
      </c>
      <c r="C913">
        <v>596</v>
      </c>
    </row>
    <row r="914" spans="1:3" x14ac:dyDescent="0.25">
      <c r="A914">
        <v>17</v>
      </c>
      <c r="B914">
        <v>0</v>
      </c>
      <c r="C914">
        <v>596</v>
      </c>
    </row>
    <row r="915" spans="1:3" x14ac:dyDescent="0.25">
      <c r="A915">
        <v>15</v>
      </c>
      <c r="B915">
        <v>0</v>
      </c>
      <c r="C915">
        <v>484</v>
      </c>
    </row>
    <row r="916" spans="1:3" x14ac:dyDescent="0.25">
      <c r="A916">
        <v>15</v>
      </c>
      <c r="B916">
        <v>0</v>
      </c>
      <c r="C916">
        <v>484</v>
      </c>
    </row>
    <row r="917" spans="1:3" x14ac:dyDescent="0.25">
      <c r="A917">
        <v>15</v>
      </c>
      <c r="B917">
        <v>0</v>
      </c>
      <c r="C917">
        <v>484</v>
      </c>
    </row>
    <row r="918" spans="1:3" x14ac:dyDescent="0.25">
      <c r="A918">
        <v>15</v>
      </c>
      <c r="B918">
        <v>0</v>
      </c>
      <c r="C918">
        <v>484</v>
      </c>
    </row>
    <row r="919" spans="1:3" x14ac:dyDescent="0.25">
      <c r="A919">
        <v>16</v>
      </c>
      <c r="B919">
        <v>0</v>
      </c>
      <c r="C919">
        <v>484</v>
      </c>
    </row>
    <row r="920" spans="1:3" x14ac:dyDescent="0.25">
      <c r="A920">
        <v>22</v>
      </c>
      <c r="B920">
        <v>0</v>
      </c>
      <c r="C920">
        <v>484</v>
      </c>
    </row>
    <row r="921" spans="1:3" x14ac:dyDescent="0.25">
      <c r="A921">
        <v>18</v>
      </c>
      <c r="B921">
        <v>0</v>
      </c>
      <c r="C921">
        <v>484</v>
      </c>
    </row>
    <row r="922" spans="1:3" x14ac:dyDescent="0.25">
      <c r="A922">
        <v>19</v>
      </c>
      <c r="B922">
        <v>0</v>
      </c>
      <c r="C922">
        <v>484</v>
      </c>
    </row>
    <row r="923" spans="1:3" x14ac:dyDescent="0.25">
      <c r="A923">
        <v>14</v>
      </c>
      <c r="B923">
        <v>0</v>
      </c>
      <c r="C923">
        <v>484</v>
      </c>
    </row>
    <row r="924" spans="1:3" x14ac:dyDescent="0.25">
      <c r="A924">
        <v>15</v>
      </c>
      <c r="B924">
        <v>0</v>
      </c>
      <c r="C924">
        <v>461</v>
      </c>
    </row>
    <row r="925" spans="1:3" x14ac:dyDescent="0.25">
      <c r="A925">
        <v>18</v>
      </c>
      <c r="B925">
        <v>0</v>
      </c>
      <c r="C925">
        <v>461</v>
      </c>
    </row>
    <row r="926" spans="1:3" x14ac:dyDescent="0.25">
      <c r="A926">
        <v>17</v>
      </c>
      <c r="B926">
        <v>0</v>
      </c>
      <c r="C926">
        <v>461</v>
      </c>
    </row>
    <row r="927" spans="1:3" x14ac:dyDescent="0.25">
      <c r="A927">
        <v>19</v>
      </c>
      <c r="B927">
        <v>0</v>
      </c>
      <c r="C927">
        <v>461</v>
      </c>
    </row>
    <row r="928" spans="1:3" x14ac:dyDescent="0.25">
      <c r="A928">
        <v>20</v>
      </c>
      <c r="B928">
        <v>0</v>
      </c>
      <c r="C928">
        <v>461</v>
      </c>
    </row>
    <row r="929" spans="1:3" x14ac:dyDescent="0.25">
      <c r="A929">
        <v>16</v>
      </c>
      <c r="B929">
        <v>0</v>
      </c>
      <c r="C929">
        <v>461</v>
      </c>
    </row>
    <row r="930" spans="1:3" x14ac:dyDescent="0.25">
      <c r="A930">
        <v>15</v>
      </c>
      <c r="B930">
        <v>0</v>
      </c>
      <c r="C930">
        <v>461</v>
      </c>
    </row>
    <row r="931" spans="1:3" x14ac:dyDescent="0.25">
      <c r="A931">
        <v>16</v>
      </c>
      <c r="B931">
        <v>0</v>
      </c>
      <c r="C931">
        <v>461</v>
      </c>
    </row>
    <row r="932" spans="1:3" x14ac:dyDescent="0.25">
      <c r="A932">
        <v>14</v>
      </c>
      <c r="B932">
        <v>0</v>
      </c>
      <c r="C932">
        <v>461</v>
      </c>
    </row>
    <row r="933" spans="1:3" x14ac:dyDescent="0.25">
      <c r="A933">
        <v>15</v>
      </c>
      <c r="B933">
        <v>0</v>
      </c>
      <c r="C933">
        <v>497</v>
      </c>
    </row>
    <row r="934" spans="1:3" x14ac:dyDescent="0.25">
      <c r="A934">
        <v>17</v>
      </c>
      <c r="B934">
        <v>0</v>
      </c>
      <c r="C934">
        <v>497</v>
      </c>
    </row>
    <row r="935" spans="1:3" x14ac:dyDescent="0.25">
      <c r="A935">
        <v>16</v>
      </c>
      <c r="B935">
        <v>0</v>
      </c>
      <c r="C935">
        <v>497</v>
      </c>
    </row>
    <row r="936" spans="1:3" x14ac:dyDescent="0.25">
      <c r="A936">
        <v>23</v>
      </c>
      <c r="B936">
        <v>0</v>
      </c>
      <c r="C936">
        <v>497</v>
      </c>
    </row>
    <row r="937" spans="1:3" x14ac:dyDescent="0.25">
      <c r="A937">
        <v>21</v>
      </c>
      <c r="B937">
        <v>0</v>
      </c>
      <c r="C937">
        <v>497</v>
      </c>
    </row>
    <row r="938" spans="1:3" x14ac:dyDescent="0.25">
      <c r="A938">
        <v>16</v>
      </c>
      <c r="B938">
        <v>0</v>
      </c>
      <c r="C938">
        <v>497</v>
      </c>
    </row>
    <row r="939" spans="1:3" x14ac:dyDescent="0.25">
      <c r="A939">
        <v>16</v>
      </c>
      <c r="B939">
        <v>0</v>
      </c>
      <c r="C939">
        <v>497</v>
      </c>
    </row>
    <row r="940" spans="1:3" x14ac:dyDescent="0.25">
      <c r="A940">
        <v>19</v>
      </c>
      <c r="B940">
        <v>0</v>
      </c>
      <c r="C940">
        <v>497</v>
      </c>
    </row>
    <row r="941" spans="1:3" x14ac:dyDescent="0.25">
      <c r="A941">
        <v>15</v>
      </c>
      <c r="B941">
        <v>0</v>
      </c>
      <c r="C941">
        <v>497</v>
      </c>
    </row>
    <row r="942" spans="1:3" x14ac:dyDescent="0.25">
      <c r="A942">
        <v>20</v>
      </c>
      <c r="B942">
        <v>0</v>
      </c>
      <c r="C942">
        <v>478</v>
      </c>
    </row>
    <row r="943" spans="1:3" x14ac:dyDescent="0.25">
      <c r="A943">
        <v>16</v>
      </c>
      <c r="B943">
        <v>0</v>
      </c>
      <c r="C943">
        <v>478</v>
      </c>
    </row>
    <row r="944" spans="1:3" x14ac:dyDescent="0.25">
      <c r="A944">
        <v>19</v>
      </c>
      <c r="B944">
        <v>0</v>
      </c>
      <c r="C944">
        <v>478</v>
      </c>
    </row>
    <row r="945" spans="1:3" x14ac:dyDescent="0.25">
      <c r="A945">
        <v>20</v>
      </c>
      <c r="B945">
        <v>0</v>
      </c>
      <c r="C945">
        <v>478</v>
      </c>
    </row>
    <row r="946" spans="1:3" x14ac:dyDescent="0.25">
      <c r="A946">
        <v>17</v>
      </c>
      <c r="B946">
        <v>0</v>
      </c>
      <c r="C946">
        <v>478</v>
      </c>
    </row>
    <row r="947" spans="1:3" x14ac:dyDescent="0.25">
      <c r="A947">
        <v>16</v>
      </c>
      <c r="B947">
        <v>0</v>
      </c>
      <c r="C947">
        <v>478</v>
      </c>
    </row>
    <row r="948" spans="1:3" x14ac:dyDescent="0.25">
      <c r="A948">
        <v>13</v>
      </c>
      <c r="B948">
        <v>0</v>
      </c>
      <c r="C948">
        <v>478</v>
      </c>
    </row>
    <row r="949" spans="1:3" x14ac:dyDescent="0.25">
      <c r="A949">
        <v>12</v>
      </c>
      <c r="B949">
        <v>0</v>
      </c>
      <c r="C949">
        <v>478</v>
      </c>
    </row>
    <row r="950" spans="1:3" x14ac:dyDescent="0.25">
      <c r="A950">
        <v>14</v>
      </c>
      <c r="B950">
        <v>0</v>
      </c>
      <c r="C950">
        <v>478</v>
      </c>
    </row>
    <row r="951" spans="1:3" x14ac:dyDescent="0.25">
      <c r="A951">
        <v>15</v>
      </c>
      <c r="B951">
        <v>0</v>
      </c>
      <c r="C951">
        <v>460</v>
      </c>
    </row>
    <row r="952" spans="1:3" x14ac:dyDescent="0.25">
      <c r="A952">
        <v>18</v>
      </c>
      <c r="B952">
        <v>0</v>
      </c>
      <c r="C952">
        <v>460</v>
      </c>
    </row>
    <row r="953" spans="1:3" x14ac:dyDescent="0.25">
      <c r="A953">
        <v>22</v>
      </c>
      <c r="B953">
        <v>0</v>
      </c>
      <c r="C953">
        <v>460</v>
      </c>
    </row>
    <row r="954" spans="1:3" x14ac:dyDescent="0.25">
      <c r="A954">
        <v>17</v>
      </c>
      <c r="B954">
        <v>0</v>
      </c>
      <c r="C954">
        <v>460</v>
      </c>
    </row>
    <row r="955" spans="1:3" x14ac:dyDescent="0.25">
      <c r="A955">
        <v>20</v>
      </c>
      <c r="B955">
        <v>0</v>
      </c>
      <c r="C955">
        <v>460</v>
      </c>
    </row>
    <row r="956" spans="1:3" x14ac:dyDescent="0.25">
      <c r="A956">
        <v>19</v>
      </c>
      <c r="B956">
        <v>0</v>
      </c>
      <c r="C956">
        <v>460</v>
      </c>
    </row>
    <row r="957" spans="1:3" x14ac:dyDescent="0.25">
      <c r="A957">
        <v>19</v>
      </c>
      <c r="B957">
        <v>0</v>
      </c>
      <c r="C957">
        <v>460</v>
      </c>
    </row>
    <row r="958" spans="1:3" x14ac:dyDescent="0.25">
      <c r="A958">
        <v>15</v>
      </c>
      <c r="B958">
        <v>0</v>
      </c>
      <c r="C958">
        <v>460</v>
      </c>
    </row>
    <row r="959" spans="1:3" x14ac:dyDescent="0.25">
      <c r="A959">
        <v>18</v>
      </c>
      <c r="B959">
        <v>0</v>
      </c>
      <c r="C959">
        <v>460</v>
      </c>
    </row>
    <row r="960" spans="1:3" x14ac:dyDescent="0.25">
      <c r="A960">
        <v>16</v>
      </c>
      <c r="B960">
        <v>0</v>
      </c>
      <c r="C960">
        <v>514</v>
      </c>
    </row>
    <row r="961" spans="1:3" x14ac:dyDescent="0.25">
      <c r="A961">
        <v>20</v>
      </c>
      <c r="B961">
        <v>0</v>
      </c>
      <c r="C961">
        <v>514</v>
      </c>
    </row>
    <row r="962" spans="1:3" x14ac:dyDescent="0.25">
      <c r="A962">
        <v>16</v>
      </c>
      <c r="B962">
        <v>0</v>
      </c>
      <c r="C962">
        <v>514</v>
      </c>
    </row>
    <row r="963" spans="1:3" x14ac:dyDescent="0.25">
      <c r="A963">
        <v>16</v>
      </c>
      <c r="B963">
        <v>0</v>
      </c>
      <c r="C963">
        <v>514</v>
      </c>
    </row>
    <row r="964" spans="1:3" x14ac:dyDescent="0.25">
      <c r="A964">
        <v>18</v>
      </c>
      <c r="B964">
        <v>0</v>
      </c>
      <c r="C964">
        <v>514</v>
      </c>
    </row>
    <row r="965" spans="1:3" x14ac:dyDescent="0.25">
      <c r="A965">
        <v>13</v>
      </c>
      <c r="B965">
        <v>0</v>
      </c>
      <c r="C965">
        <v>514</v>
      </c>
    </row>
    <row r="966" spans="1:3" x14ac:dyDescent="0.25">
      <c r="A966">
        <v>14</v>
      </c>
      <c r="B966">
        <v>0</v>
      </c>
      <c r="C966">
        <v>514</v>
      </c>
    </row>
    <row r="967" spans="1:3" x14ac:dyDescent="0.25">
      <c r="A967">
        <v>17</v>
      </c>
      <c r="B967">
        <v>0</v>
      </c>
      <c r="C967">
        <v>514</v>
      </c>
    </row>
    <row r="968" spans="1:3" x14ac:dyDescent="0.25">
      <c r="A968">
        <v>16</v>
      </c>
      <c r="B968">
        <v>0</v>
      </c>
      <c r="C968">
        <v>514</v>
      </c>
    </row>
    <row r="969" spans="1:3" x14ac:dyDescent="0.25">
      <c r="A969">
        <v>16</v>
      </c>
      <c r="B969">
        <v>0</v>
      </c>
      <c r="C969">
        <v>490</v>
      </c>
    </row>
    <row r="970" spans="1:3" x14ac:dyDescent="0.25">
      <c r="A970">
        <v>21</v>
      </c>
      <c r="B970">
        <v>0</v>
      </c>
      <c r="C970">
        <v>490</v>
      </c>
    </row>
    <row r="971" spans="1:3" x14ac:dyDescent="0.25">
      <c r="A971">
        <v>15</v>
      </c>
      <c r="B971">
        <v>0</v>
      </c>
      <c r="C971">
        <v>490</v>
      </c>
    </row>
    <row r="972" spans="1:3" x14ac:dyDescent="0.25">
      <c r="A972">
        <v>14</v>
      </c>
      <c r="B972">
        <v>0</v>
      </c>
      <c r="C972">
        <v>490</v>
      </c>
    </row>
    <row r="973" spans="1:3" x14ac:dyDescent="0.25">
      <c r="A973">
        <v>16</v>
      </c>
      <c r="B973">
        <v>0</v>
      </c>
      <c r="C973">
        <v>490</v>
      </c>
    </row>
    <row r="974" spans="1:3" x14ac:dyDescent="0.25">
      <c r="A974">
        <v>20</v>
      </c>
      <c r="B974">
        <v>0</v>
      </c>
      <c r="C974">
        <v>490</v>
      </c>
    </row>
    <row r="975" spans="1:3" x14ac:dyDescent="0.25">
      <c r="A975">
        <v>16</v>
      </c>
      <c r="B975">
        <v>0</v>
      </c>
      <c r="C975">
        <v>490</v>
      </c>
    </row>
    <row r="976" spans="1:3" x14ac:dyDescent="0.25">
      <c r="A976">
        <v>15</v>
      </c>
      <c r="B976">
        <v>0</v>
      </c>
      <c r="C976">
        <v>490</v>
      </c>
    </row>
    <row r="977" spans="1:3" x14ac:dyDescent="0.25">
      <c r="A977">
        <v>17</v>
      </c>
      <c r="B977">
        <v>0</v>
      </c>
      <c r="C977">
        <v>490</v>
      </c>
    </row>
    <row r="978" spans="1:3" x14ac:dyDescent="0.25">
      <c r="A978">
        <v>19</v>
      </c>
      <c r="B978">
        <v>0</v>
      </c>
      <c r="C978">
        <v>458</v>
      </c>
    </row>
    <row r="979" spans="1:3" x14ac:dyDescent="0.25">
      <c r="A979">
        <v>15</v>
      </c>
      <c r="B979">
        <v>0</v>
      </c>
      <c r="C979">
        <v>458</v>
      </c>
    </row>
    <row r="980" spans="1:3" x14ac:dyDescent="0.25">
      <c r="A980">
        <v>13</v>
      </c>
      <c r="B980">
        <v>0</v>
      </c>
      <c r="C980">
        <v>458</v>
      </c>
    </row>
    <row r="981" spans="1:3" x14ac:dyDescent="0.25">
      <c r="A981">
        <v>14</v>
      </c>
      <c r="B981">
        <v>0</v>
      </c>
      <c r="C981">
        <v>458</v>
      </c>
    </row>
    <row r="982" spans="1:3" x14ac:dyDescent="0.25">
      <c r="A982">
        <v>14</v>
      </c>
      <c r="B982">
        <v>0</v>
      </c>
      <c r="C982">
        <v>458</v>
      </c>
    </row>
    <row r="983" spans="1:3" x14ac:dyDescent="0.25">
      <c r="A983">
        <v>16</v>
      </c>
      <c r="B983">
        <v>0</v>
      </c>
      <c r="C983">
        <v>458</v>
      </c>
    </row>
    <row r="984" spans="1:3" x14ac:dyDescent="0.25">
      <c r="A984">
        <v>15</v>
      </c>
      <c r="B984">
        <v>0</v>
      </c>
      <c r="C984">
        <v>458</v>
      </c>
    </row>
    <row r="985" spans="1:3" x14ac:dyDescent="0.25">
      <c r="A985">
        <v>14</v>
      </c>
      <c r="B985">
        <v>0</v>
      </c>
      <c r="C985">
        <v>458</v>
      </c>
    </row>
    <row r="986" spans="1:3" x14ac:dyDescent="0.25">
      <c r="A986">
        <v>19</v>
      </c>
      <c r="B986">
        <v>0</v>
      </c>
      <c r="C986">
        <v>458</v>
      </c>
    </row>
    <row r="987" spans="1:3" x14ac:dyDescent="0.25">
      <c r="A987">
        <v>14</v>
      </c>
      <c r="B987">
        <v>0</v>
      </c>
      <c r="C987">
        <v>498</v>
      </c>
    </row>
    <row r="988" spans="1:3" x14ac:dyDescent="0.25">
      <c r="A988">
        <v>16</v>
      </c>
      <c r="B988">
        <v>0</v>
      </c>
      <c r="C988">
        <v>498</v>
      </c>
    </row>
    <row r="989" spans="1:3" x14ac:dyDescent="0.25">
      <c r="A989">
        <v>17</v>
      </c>
      <c r="B989">
        <v>0</v>
      </c>
      <c r="C989">
        <v>498</v>
      </c>
    </row>
    <row r="990" spans="1:3" x14ac:dyDescent="0.25">
      <c r="A990">
        <v>20</v>
      </c>
      <c r="B990">
        <v>0</v>
      </c>
      <c r="C990">
        <v>498</v>
      </c>
    </row>
    <row r="991" spans="1:3" x14ac:dyDescent="0.25">
      <c r="A991">
        <v>20</v>
      </c>
      <c r="B991">
        <v>0</v>
      </c>
      <c r="C991">
        <v>498</v>
      </c>
    </row>
    <row r="992" spans="1:3" x14ac:dyDescent="0.25">
      <c r="A992">
        <v>16</v>
      </c>
      <c r="B992">
        <v>0</v>
      </c>
      <c r="C992">
        <v>498</v>
      </c>
    </row>
    <row r="993" spans="1:3" x14ac:dyDescent="0.25">
      <c r="A993">
        <v>18</v>
      </c>
      <c r="B993">
        <v>0</v>
      </c>
      <c r="C993">
        <v>498</v>
      </c>
    </row>
    <row r="994" spans="1:3" x14ac:dyDescent="0.25">
      <c r="A994">
        <v>21</v>
      </c>
      <c r="B994">
        <v>0</v>
      </c>
      <c r="C994">
        <v>498</v>
      </c>
    </row>
    <row r="995" spans="1:3" x14ac:dyDescent="0.25">
      <c r="A995">
        <v>15</v>
      </c>
      <c r="B995">
        <v>0</v>
      </c>
      <c r="C995">
        <v>498</v>
      </c>
    </row>
    <row r="996" spans="1:3" x14ac:dyDescent="0.25">
      <c r="A996">
        <v>12</v>
      </c>
      <c r="B996">
        <v>0</v>
      </c>
      <c r="C996">
        <v>448</v>
      </c>
    </row>
    <row r="997" spans="1:3" x14ac:dyDescent="0.25">
      <c r="A997">
        <v>16</v>
      </c>
      <c r="B997">
        <v>0</v>
      </c>
      <c r="C997">
        <v>448</v>
      </c>
    </row>
    <row r="998" spans="1:3" x14ac:dyDescent="0.25">
      <c r="A998">
        <v>14</v>
      </c>
      <c r="B998">
        <v>0</v>
      </c>
      <c r="C998">
        <v>448</v>
      </c>
    </row>
    <row r="999" spans="1:3" x14ac:dyDescent="0.25">
      <c r="A999">
        <v>15</v>
      </c>
      <c r="B999">
        <v>0</v>
      </c>
      <c r="C999">
        <v>448</v>
      </c>
    </row>
    <row r="1000" spans="1:3" x14ac:dyDescent="0.25">
      <c r="A1000">
        <v>16</v>
      </c>
      <c r="B1000">
        <v>0</v>
      </c>
      <c r="C1000">
        <v>448</v>
      </c>
    </row>
    <row r="1001" spans="1:3" x14ac:dyDescent="0.25">
      <c r="A1001">
        <v>15</v>
      </c>
      <c r="B1001">
        <v>0</v>
      </c>
      <c r="C1001">
        <v>448</v>
      </c>
    </row>
    <row r="1002" spans="1:3" x14ac:dyDescent="0.25">
      <c r="A1002">
        <v>21</v>
      </c>
      <c r="B1002">
        <v>0</v>
      </c>
      <c r="C1002">
        <v>448</v>
      </c>
    </row>
    <row r="1003" spans="1:3" x14ac:dyDescent="0.25">
      <c r="A1003">
        <v>15</v>
      </c>
      <c r="B1003">
        <v>0</v>
      </c>
      <c r="C1003">
        <v>448</v>
      </c>
    </row>
    <row r="1004" spans="1:3" x14ac:dyDescent="0.25">
      <c r="A1004">
        <v>17</v>
      </c>
      <c r="B1004">
        <v>0</v>
      </c>
      <c r="C1004">
        <v>416</v>
      </c>
    </row>
    <row r="1005" spans="1:3" x14ac:dyDescent="0.25">
      <c r="A1005">
        <v>18</v>
      </c>
      <c r="B1005">
        <v>0</v>
      </c>
      <c r="C1005">
        <v>416</v>
      </c>
    </row>
    <row r="1006" spans="1:3" x14ac:dyDescent="0.25">
      <c r="A1006">
        <v>18</v>
      </c>
      <c r="B1006">
        <v>0</v>
      </c>
      <c r="C1006">
        <v>416</v>
      </c>
    </row>
    <row r="1007" spans="1:3" x14ac:dyDescent="0.25">
      <c r="A1007">
        <v>18</v>
      </c>
      <c r="B1007">
        <v>0</v>
      </c>
      <c r="C1007">
        <v>416</v>
      </c>
    </row>
    <row r="1008" spans="1:3" x14ac:dyDescent="0.25">
      <c r="A1008">
        <v>15</v>
      </c>
      <c r="B1008">
        <v>0</v>
      </c>
      <c r="C1008">
        <v>416</v>
      </c>
    </row>
    <row r="1009" spans="1:3" x14ac:dyDescent="0.25">
      <c r="A1009">
        <v>19</v>
      </c>
      <c r="B1009">
        <v>0</v>
      </c>
      <c r="C1009">
        <v>416</v>
      </c>
    </row>
    <row r="1010" spans="1:3" x14ac:dyDescent="0.25">
      <c r="A1010">
        <v>19</v>
      </c>
      <c r="B1010">
        <v>0</v>
      </c>
      <c r="C1010">
        <v>416</v>
      </c>
    </row>
    <row r="1011" spans="1:3" x14ac:dyDescent="0.25">
      <c r="A1011">
        <v>13</v>
      </c>
      <c r="B1011">
        <v>0</v>
      </c>
      <c r="C1011">
        <v>416</v>
      </c>
    </row>
    <row r="1012" spans="1:3" x14ac:dyDescent="0.25">
      <c r="A1012">
        <v>15</v>
      </c>
      <c r="B1012">
        <v>0</v>
      </c>
      <c r="C1012">
        <v>416</v>
      </c>
    </row>
    <row r="1013" spans="1:3" x14ac:dyDescent="0.25">
      <c r="A1013">
        <v>15</v>
      </c>
      <c r="B1013">
        <v>0</v>
      </c>
      <c r="C1013">
        <v>435</v>
      </c>
    </row>
    <row r="1014" spans="1:3" x14ac:dyDescent="0.25">
      <c r="A1014">
        <v>15</v>
      </c>
      <c r="B1014">
        <v>0</v>
      </c>
      <c r="C1014">
        <v>435</v>
      </c>
    </row>
    <row r="1015" spans="1:3" x14ac:dyDescent="0.25">
      <c r="A1015">
        <v>16</v>
      </c>
      <c r="B1015">
        <v>0</v>
      </c>
      <c r="C1015">
        <v>435</v>
      </c>
    </row>
    <row r="1016" spans="1:3" x14ac:dyDescent="0.25">
      <c r="A1016">
        <v>14</v>
      </c>
      <c r="B1016">
        <v>0</v>
      </c>
      <c r="C1016">
        <v>435</v>
      </c>
    </row>
    <row r="1017" spans="1:3" x14ac:dyDescent="0.25">
      <c r="A1017">
        <v>19</v>
      </c>
      <c r="B1017">
        <v>0</v>
      </c>
      <c r="C1017">
        <v>435</v>
      </c>
    </row>
    <row r="1018" spans="1:3" x14ac:dyDescent="0.25">
      <c r="A1018">
        <v>21</v>
      </c>
      <c r="B1018">
        <v>0</v>
      </c>
      <c r="C1018">
        <v>435</v>
      </c>
    </row>
    <row r="1019" spans="1:3" x14ac:dyDescent="0.25">
      <c r="A1019">
        <v>18</v>
      </c>
      <c r="B1019">
        <v>0</v>
      </c>
      <c r="C1019">
        <v>435</v>
      </c>
    </row>
    <row r="1020" spans="1:3" x14ac:dyDescent="0.25">
      <c r="A1020">
        <v>20</v>
      </c>
      <c r="B1020">
        <v>0</v>
      </c>
      <c r="C1020">
        <v>435</v>
      </c>
    </row>
    <row r="1021" spans="1:3" x14ac:dyDescent="0.25">
      <c r="A1021">
        <v>18</v>
      </c>
      <c r="B1021">
        <v>0</v>
      </c>
      <c r="C1021">
        <v>477</v>
      </c>
    </row>
    <row r="1022" spans="1:3" x14ac:dyDescent="0.25">
      <c r="A1022">
        <v>16</v>
      </c>
      <c r="B1022">
        <v>0</v>
      </c>
      <c r="C1022">
        <v>477</v>
      </c>
    </row>
    <row r="1023" spans="1:3" x14ac:dyDescent="0.25">
      <c r="A1023">
        <v>18</v>
      </c>
      <c r="B1023">
        <v>0</v>
      </c>
      <c r="C1023">
        <v>477</v>
      </c>
    </row>
    <row r="1024" spans="1:3" x14ac:dyDescent="0.25">
      <c r="A1024">
        <v>19</v>
      </c>
      <c r="B1024">
        <v>0</v>
      </c>
      <c r="C1024">
        <v>477</v>
      </c>
    </row>
    <row r="1025" spans="1:3" x14ac:dyDescent="0.25">
      <c r="A1025">
        <v>19</v>
      </c>
      <c r="B1025">
        <v>0</v>
      </c>
      <c r="C1025">
        <v>477</v>
      </c>
    </row>
    <row r="1026" spans="1:3" x14ac:dyDescent="0.25">
      <c r="A1026">
        <v>17</v>
      </c>
      <c r="B1026">
        <v>0</v>
      </c>
      <c r="C1026">
        <v>477</v>
      </c>
    </row>
    <row r="1027" spans="1:3" x14ac:dyDescent="0.25">
      <c r="A1027">
        <v>16</v>
      </c>
      <c r="B1027">
        <v>0</v>
      </c>
      <c r="C1027">
        <v>477</v>
      </c>
    </row>
    <row r="1028" spans="1:3" x14ac:dyDescent="0.25">
      <c r="A1028">
        <v>14</v>
      </c>
      <c r="B1028">
        <v>0</v>
      </c>
      <c r="C1028">
        <v>477</v>
      </c>
    </row>
    <row r="1029" spans="1:3" x14ac:dyDescent="0.25">
      <c r="A1029">
        <v>16</v>
      </c>
      <c r="B1029">
        <v>0</v>
      </c>
      <c r="C1029">
        <v>477</v>
      </c>
    </row>
    <row r="1030" spans="1:3" x14ac:dyDescent="0.25">
      <c r="A1030">
        <v>17</v>
      </c>
      <c r="B1030">
        <v>0</v>
      </c>
      <c r="C1030">
        <v>508</v>
      </c>
    </row>
    <row r="1031" spans="1:3" x14ac:dyDescent="0.25">
      <c r="A1031">
        <v>19</v>
      </c>
      <c r="B1031">
        <v>0</v>
      </c>
      <c r="C1031">
        <v>508</v>
      </c>
    </row>
    <row r="1032" spans="1:3" x14ac:dyDescent="0.25">
      <c r="A1032">
        <v>15</v>
      </c>
      <c r="B1032">
        <v>0</v>
      </c>
      <c r="C1032">
        <v>508</v>
      </c>
    </row>
    <row r="1033" spans="1:3" x14ac:dyDescent="0.25">
      <c r="A1033">
        <v>16</v>
      </c>
      <c r="B1033">
        <v>0</v>
      </c>
      <c r="C1033">
        <v>508</v>
      </c>
    </row>
    <row r="1034" spans="1:3" x14ac:dyDescent="0.25">
      <c r="A1034">
        <v>19</v>
      </c>
      <c r="B1034">
        <v>0</v>
      </c>
      <c r="C1034">
        <v>508</v>
      </c>
    </row>
    <row r="1035" spans="1:3" x14ac:dyDescent="0.25">
      <c r="A1035">
        <v>21</v>
      </c>
      <c r="B1035">
        <v>0</v>
      </c>
      <c r="C1035">
        <v>508</v>
      </c>
    </row>
    <row r="1036" spans="1:3" x14ac:dyDescent="0.25">
      <c r="A1036">
        <v>18</v>
      </c>
      <c r="B1036">
        <v>0</v>
      </c>
      <c r="C1036">
        <v>508</v>
      </c>
    </row>
    <row r="1037" spans="1:3" x14ac:dyDescent="0.25">
      <c r="A1037">
        <v>18</v>
      </c>
      <c r="B1037">
        <v>0</v>
      </c>
      <c r="C1037">
        <v>508</v>
      </c>
    </row>
    <row r="1038" spans="1:3" x14ac:dyDescent="0.25">
      <c r="A1038">
        <v>15</v>
      </c>
      <c r="B1038">
        <v>0</v>
      </c>
      <c r="C1038">
        <v>508</v>
      </c>
    </row>
    <row r="1039" spans="1:3" x14ac:dyDescent="0.25">
      <c r="A1039">
        <v>16</v>
      </c>
      <c r="B1039">
        <v>0</v>
      </c>
      <c r="C1039">
        <v>458</v>
      </c>
    </row>
    <row r="1040" spans="1:3" x14ac:dyDescent="0.25">
      <c r="A1040">
        <v>17</v>
      </c>
      <c r="B1040">
        <v>0</v>
      </c>
      <c r="C1040">
        <v>458</v>
      </c>
    </row>
    <row r="1041" spans="1:3" x14ac:dyDescent="0.25">
      <c r="A1041">
        <v>12</v>
      </c>
      <c r="B1041">
        <v>0</v>
      </c>
      <c r="C1041">
        <v>458</v>
      </c>
    </row>
    <row r="1042" spans="1:3" x14ac:dyDescent="0.25">
      <c r="A1042">
        <v>12</v>
      </c>
      <c r="B1042">
        <v>0</v>
      </c>
      <c r="C1042">
        <v>458</v>
      </c>
    </row>
    <row r="1043" spans="1:3" x14ac:dyDescent="0.25">
      <c r="A1043">
        <v>17</v>
      </c>
      <c r="B1043">
        <v>0</v>
      </c>
      <c r="C1043">
        <v>458</v>
      </c>
    </row>
    <row r="1044" spans="1:3" x14ac:dyDescent="0.25">
      <c r="A1044">
        <v>17</v>
      </c>
      <c r="B1044">
        <v>0</v>
      </c>
      <c r="C1044">
        <v>458</v>
      </c>
    </row>
    <row r="1045" spans="1:3" x14ac:dyDescent="0.25">
      <c r="A1045">
        <v>14</v>
      </c>
      <c r="B1045">
        <v>0</v>
      </c>
      <c r="C1045">
        <v>458</v>
      </c>
    </row>
    <row r="1046" spans="1:3" x14ac:dyDescent="0.25">
      <c r="A1046">
        <v>18</v>
      </c>
      <c r="B1046">
        <v>0</v>
      </c>
      <c r="C1046">
        <v>458</v>
      </c>
    </row>
    <row r="1047" spans="1:3" x14ac:dyDescent="0.25">
      <c r="A1047">
        <v>16</v>
      </c>
      <c r="B1047">
        <v>0</v>
      </c>
      <c r="C1047">
        <v>458</v>
      </c>
    </row>
    <row r="1048" spans="1:3" x14ac:dyDescent="0.25">
      <c r="A1048">
        <v>18</v>
      </c>
      <c r="B1048">
        <v>0</v>
      </c>
      <c r="C1048">
        <v>510</v>
      </c>
    </row>
    <row r="1049" spans="1:3" x14ac:dyDescent="0.25">
      <c r="A1049">
        <v>16</v>
      </c>
      <c r="B1049">
        <v>0</v>
      </c>
      <c r="C1049">
        <v>510</v>
      </c>
    </row>
    <row r="1050" spans="1:3" x14ac:dyDescent="0.25">
      <c r="A1050">
        <v>16</v>
      </c>
      <c r="B1050">
        <v>0</v>
      </c>
      <c r="C1050">
        <v>510</v>
      </c>
    </row>
    <row r="1051" spans="1:3" x14ac:dyDescent="0.25">
      <c r="A1051">
        <v>20</v>
      </c>
      <c r="B1051">
        <v>0</v>
      </c>
      <c r="C1051">
        <v>510</v>
      </c>
    </row>
    <row r="1052" spans="1:3" x14ac:dyDescent="0.25">
      <c r="A1052">
        <v>14</v>
      </c>
      <c r="B1052">
        <v>0</v>
      </c>
      <c r="C1052">
        <v>510</v>
      </c>
    </row>
    <row r="1053" spans="1:3" x14ac:dyDescent="0.25">
      <c r="A1053">
        <v>18</v>
      </c>
      <c r="B1053">
        <v>0</v>
      </c>
      <c r="C1053">
        <v>510</v>
      </c>
    </row>
    <row r="1054" spans="1:3" x14ac:dyDescent="0.25">
      <c r="A1054">
        <v>16</v>
      </c>
      <c r="B1054">
        <v>0</v>
      </c>
      <c r="C1054">
        <v>510</v>
      </c>
    </row>
    <row r="1055" spans="1:3" x14ac:dyDescent="0.25">
      <c r="A1055">
        <v>18</v>
      </c>
      <c r="B1055">
        <v>0</v>
      </c>
      <c r="C1055">
        <v>510</v>
      </c>
    </row>
    <row r="1056" spans="1:3" x14ac:dyDescent="0.25">
      <c r="A1056">
        <v>13</v>
      </c>
      <c r="B1056">
        <v>0</v>
      </c>
      <c r="C1056">
        <v>510</v>
      </c>
    </row>
    <row r="1057" spans="1:3" x14ac:dyDescent="0.25">
      <c r="A1057">
        <v>16</v>
      </c>
      <c r="B1057">
        <v>0</v>
      </c>
      <c r="C1057">
        <v>491</v>
      </c>
    </row>
    <row r="1058" spans="1:3" x14ac:dyDescent="0.25">
      <c r="A1058">
        <v>18</v>
      </c>
      <c r="B1058">
        <v>0</v>
      </c>
      <c r="C1058">
        <v>491</v>
      </c>
    </row>
    <row r="1059" spans="1:3" x14ac:dyDescent="0.25">
      <c r="A1059">
        <v>20</v>
      </c>
      <c r="B1059">
        <v>0</v>
      </c>
      <c r="C1059">
        <v>491</v>
      </c>
    </row>
    <row r="1060" spans="1:3" x14ac:dyDescent="0.25">
      <c r="A1060">
        <v>21</v>
      </c>
      <c r="B1060">
        <v>0</v>
      </c>
      <c r="C1060">
        <v>491</v>
      </c>
    </row>
    <row r="1061" spans="1:3" x14ac:dyDescent="0.25">
      <c r="A1061">
        <v>16</v>
      </c>
      <c r="B1061">
        <v>0</v>
      </c>
      <c r="C1061">
        <v>491</v>
      </c>
    </row>
    <row r="1062" spans="1:3" x14ac:dyDescent="0.25">
      <c r="A1062">
        <v>15</v>
      </c>
      <c r="B1062">
        <v>0</v>
      </c>
      <c r="C1062">
        <v>491</v>
      </c>
    </row>
    <row r="1063" spans="1:3" x14ac:dyDescent="0.25">
      <c r="A1063">
        <v>16</v>
      </c>
      <c r="B1063">
        <v>0</v>
      </c>
      <c r="C1063">
        <v>491</v>
      </c>
    </row>
    <row r="1064" spans="1:3" x14ac:dyDescent="0.25">
      <c r="A1064">
        <v>19</v>
      </c>
      <c r="B1064">
        <v>0</v>
      </c>
      <c r="C1064">
        <v>491</v>
      </c>
    </row>
    <row r="1065" spans="1:3" x14ac:dyDescent="0.25">
      <c r="A1065">
        <v>19</v>
      </c>
      <c r="B1065">
        <v>0</v>
      </c>
      <c r="C1065">
        <v>498</v>
      </c>
    </row>
    <row r="1066" spans="1:3" x14ac:dyDescent="0.25">
      <c r="A1066">
        <v>12</v>
      </c>
      <c r="B1066">
        <v>0</v>
      </c>
      <c r="C1066">
        <v>498</v>
      </c>
    </row>
    <row r="1067" spans="1:3" x14ac:dyDescent="0.25">
      <c r="A1067">
        <v>22</v>
      </c>
      <c r="B1067">
        <v>0</v>
      </c>
      <c r="C1067">
        <v>498</v>
      </c>
    </row>
    <row r="1068" spans="1:3" x14ac:dyDescent="0.25">
      <c r="A1068">
        <v>16</v>
      </c>
      <c r="B1068">
        <v>0</v>
      </c>
      <c r="C1068">
        <v>498</v>
      </c>
    </row>
    <row r="1069" spans="1:3" x14ac:dyDescent="0.25">
      <c r="A1069">
        <v>17</v>
      </c>
      <c r="B1069">
        <v>0</v>
      </c>
      <c r="C1069">
        <v>498</v>
      </c>
    </row>
    <row r="1070" spans="1:3" x14ac:dyDescent="0.25">
      <c r="A1070">
        <v>18</v>
      </c>
      <c r="B1070">
        <v>0</v>
      </c>
      <c r="C1070">
        <v>498</v>
      </c>
    </row>
    <row r="1071" spans="1:3" x14ac:dyDescent="0.25">
      <c r="A1071">
        <v>14</v>
      </c>
      <c r="B1071">
        <v>0</v>
      </c>
      <c r="C1071">
        <v>498</v>
      </c>
    </row>
    <row r="1072" spans="1:3" x14ac:dyDescent="0.25">
      <c r="A1072">
        <v>15</v>
      </c>
      <c r="B1072">
        <v>0</v>
      </c>
      <c r="C1072">
        <v>498</v>
      </c>
    </row>
    <row r="1073" spans="1:3" x14ac:dyDescent="0.25">
      <c r="A1073">
        <v>14</v>
      </c>
      <c r="B1073">
        <v>0</v>
      </c>
      <c r="C1073">
        <v>498</v>
      </c>
    </row>
    <row r="1074" spans="1:3" x14ac:dyDescent="0.25">
      <c r="A1074">
        <v>17</v>
      </c>
      <c r="B1074">
        <v>0</v>
      </c>
      <c r="C1074">
        <v>493</v>
      </c>
    </row>
    <row r="1075" spans="1:3" x14ac:dyDescent="0.25">
      <c r="A1075">
        <v>21</v>
      </c>
      <c r="B1075">
        <v>0</v>
      </c>
      <c r="C1075">
        <v>493</v>
      </c>
    </row>
    <row r="1076" spans="1:3" x14ac:dyDescent="0.25">
      <c r="A1076">
        <v>13</v>
      </c>
      <c r="B1076">
        <v>0</v>
      </c>
      <c r="C1076">
        <v>493</v>
      </c>
    </row>
    <row r="1077" spans="1:3" x14ac:dyDescent="0.25">
      <c r="A1077">
        <v>13</v>
      </c>
      <c r="B1077">
        <v>0</v>
      </c>
      <c r="C1077">
        <v>493</v>
      </c>
    </row>
    <row r="1078" spans="1:3" x14ac:dyDescent="0.25">
      <c r="A1078">
        <v>14</v>
      </c>
      <c r="B1078">
        <v>0</v>
      </c>
      <c r="C1078">
        <v>493</v>
      </c>
    </row>
    <row r="1079" spans="1:3" x14ac:dyDescent="0.25">
      <c r="A1079">
        <v>15</v>
      </c>
      <c r="B1079">
        <v>0</v>
      </c>
      <c r="C1079">
        <v>493</v>
      </c>
    </row>
    <row r="1080" spans="1:3" x14ac:dyDescent="0.25">
      <c r="A1080">
        <v>17</v>
      </c>
      <c r="B1080">
        <v>0</v>
      </c>
      <c r="C1080">
        <v>493</v>
      </c>
    </row>
    <row r="1081" spans="1:3" x14ac:dyDescent="0.25">
      <c r="A1081">
        <v>17</v>
      </c>
      <c r="B1081">
        <v>0</v>
      </c>
      <c r="C1081">
        <v>493</v>
      </c>
    </row>
    <row r="1082" spans="1:3" x14ac:dyDescent="0.25">
      <c r="A1082">
        <v>17</v>
      </c>
      <c r="B1082">
        <v>0</v>
      </c>
      <c r="C1082">
        <v>493</v>
      </c>
    </row>
    <row r="1083" spans="1:3" x14ac:dyDescent="0.25">
      <c r="A1083">
        <v>21</v>
      </c>
      <c r="B1083">
        <v>0</v>
      </c>
      <c r="C1083">
        <v>493</v>
      </c>
    </row>
    <row r="1084" spans="1:3" x14ac:dyDescent="0.25">
      <c r="A1084">
        <v>14</v>
      </c>
      <c r="B1084">
        <v>0</v>
      </c>
      <c r="C1084">
        <v>493</v>
      </c>
    </row>
    <row r="1085" spans="1:3" x14ac:dyDescent="0.25">
      <c r="A1085">
        <v>19</v>
      </c>
      <c r="B1085">
        <v>0</v>
      </c>
      <c r="C1085">
        <v>493</v>
      </c>
    </row>
    <row r="1086" spans="1:3" x14ac:dyDescent="0.25">
      <c r="A1086">
        <v>13</v>
      </c>
      <c r="B1086">
        <v>0</v>
      </c>
      <c r="C1086">
        <v>493</v>
      </c>
    </row>
    <row r="1087" spans="1:3" x14ac:dyDescent="0.25">
      <c r="A1087">
        <v>12</v>
      </c>
      <c r="B1087">
        <v>0</v>
      </c>
      <c r="C1087">
        <v>493</v>
      </c>
    </row>
    <row r="1088" spans="1:3" x14ac:dyDescent="0.25">
      <c r="A1088">
        <v>12</v>
      </c>
      <c r="B1088">
        <v>0</v>
      </c>
      <c r="C1088">
        <v>493</v>
      </c>
    </row>
    <row r="1089" spans="1:3" x14ac:dyDescent="0.25">
      <c r="A1089">
        <v>14</v>
      </c>
      <c r="B1089">
        <v>0</v>
      </c>
      <c r="C1089">
        <v>493</v>
      </c>
    </row>
    <row r="1090" spans="1:3" x14ac:dyDescent="0.25">
      <c r="A1090">
        <v>15</v>
      </c>
      <c r="B1090">
        <v>0</v>
      </c>
      <c r="C1090">
        <v>493</v>
      </c>
    </row>
    <row r="1091" spans="1:3" x14ac:dyDescent="0.25">
      <c r="A1091">
        <v>20</v>
      </c>
      <c r="B1091">
        <v>0</v>
      </c>
      <c r="C1091">
        <v>493</v>
      </c>
    </row>
    <row r="1092" spans="1:3" x14ac:dyDescent="0.25">
      <c r="A1092">
        <v>16</v>
      </c>
      <c r="B1092">
        <v>0</v>
      </c>
      <c r="C1092">
        <v>451</v>
      </c>
    </row>
    <row r="1093" spans="1:3" x14ac:dyDescent="0.25">
      <c r="A1093">
        <v>14</v>
      </c>
      <c r="B1093">
        <v>0</v>
      </c>
      <c r="C1093">
        <v>451</v>
      </c>
    </row>
    <row r="1094" spans="1:3" x14ac:dyDescent="0.25">
      <c r="A1094">
        <v>16</v>
      </c>
      <c r="B1094">
        <v>0</v>
      </c>
      <c r="C1094">
        <v>451</v>
      </c>
    </row>
    <row r="1095" spans="1:3" x14ac:dyDescent="0.25">
      <c r="A1095">
        <v>14</v>
      </c>
      <c r="B1095">
        <v>0</v>
      </c>
      <c r="C1095">
        <v>451</v>
      </c>
    </row>
    <row r="1096" spans="1:3" x14ac:dyDescent="0.25">
      <c r="A1096">
        <v>18</v>
      </c>
      <c r="B1096">
        <v>0</v>
      </c>
      <c r="C1096">
        <v>451</v>
      </c>
    </row>
    <row r="1097" spans="1:3" x14ac:dyDescent="0.25">
      <c r="A1097">
        <v>20</v>
      </c>
      <c r="B1097">
        <v>0</v>
      </c>
      <c r="C1097">
        <v>451</v>
      </c>
    </row>
    <row r="1098" spans="1:3" x14ac:dyDescent="0.25">
      <c r="A1098">
        <v>15</v>
      </c>
      <c r="B1098">
        <v>0</v>
      </c>
      <c r="C1098">
        <v>451</v>
      </c>
    </row>
    <row r="1099" spans="1:3" x14ac:dyDescent="0.25">
      <c r="A1099">
        <v>19</v>
      </c>
      <c r="B1099">
        <v>0</v>
      </c>
      <c r="C1099">
        <v>451</v>
      </c>
    </row>
    <row r="1100" spans="1:3" x14ac:dyDescent="0.25">
      <c r="A1100">
        <v>19</v>
      </c>
      <c r="B1100">
        <v>0</v>
      </c>
      <c r="C1100">
        <v>492</v>
      </c>
    </row>
    <row r="1101" spans="1:3" x14ac:dyDescent="0.25">
      <c r="A1101">
        <v>16</v>
      </c>
      <c r="B1101">
        <v>0</v>
      </c>
      <c r="C1101">
        <v>492</v>
      </c>
    </row>
    <row r="1102" spans="1:3" x14ac:dyDescent="0.25">
      <c r="A1102">
        <v>18</v>
      </c>
      <c r="B1102">
        <v>0</v>
      </c>
      <c r="C1102">
        <v>492</v>
      </c>
    </row>
    <row r="1103" spans="1:3" x14ac:dyDescent="0.25">
      <c r="A1103">
        <v>13</v>
      </c>
      <c r="B1103">
        <v>0</v>
      </c>
      <c r="C1103">
        <v>492</v>
      </c>
    </row>
    <row r="1104" spans="1:3" x14ac:dyDescent="0.25">
      <c r="A1104">
        <v>19</v>
      </c>
      <c r="B1104">
        <v>0</v>
      </c>
      <c r="C1104">
        <v>492</v>
      </c>
    </row>
    <row r="1105" spans="1:3" x14ac:dyDescent="0.25">
      <c r="A1105">
        <v>18</v>
      </c>
      <c r="B1105">
        <v>0</v>
      </c>
      <c r="C1105">
        <v>492</v>
      </c>
    </row>
    <row r="1106" spans="1:3" x14ac:dyDescent="0.25">
      <c r="A1106">
        <v>21</v>
      </c>
      <c r="B1106">
        <v>0</v>
      </c>
      <c r="C1106">
        <v>492</v>
      </c>
    </row>
    <row r="1107" spans="1:3" x14ac:dyDescent="0.25">
      <c r="A1107">
        <v>17</v>
      </c>
      <c r="B1107">
        <v>0</v>
      </c>
      <c r="C1107">
        <v>492</v>
      </c>
    </row>
    <row r="1108" spans="1:3" x14ac:dyDescent="0.25">
      <c r="A1108">
        <v>18</v>
      </c>
      <c r="B1108">
        <v>0</v>
      </c>
      <c r="C1108">
        <v>485</v>
      </c>
    </row>
    <row r="1109" spans="1:3" x14ac:dyDescent="0.25">
      <c r="A1109">
        <v>17</v>
      </c>
      <c r="B1109">
        <v>0</v>
      </c>
      <c r="C1109">
        <v>485</v>
      </c>
    </row>
    <row r="1110" spans="1:3" x14ac:dyDescent="0.25">
      <c r="A1110">
        <v>18</v>
      </c>
      <c r="B1110">
        <v>0</v>
      </c>
      <c r="C1110">
        <v>485</v>
      </c>
    </row>
    <row r="1111" spans="1:3" x14ac:dyDescent="0.25">
      <c r="A1111">
        <v>19</v>
      </c>
      <c r="B1111">
        <v>0</v>
      </c>
      <c r="C1111">
        <v>485</v>
      </c>
    </row>
    <row r="1112" spans="1:3" x14ac:dyDescent="0.25">
      <c r="A1112">
        <v>18</v>
      </c>
      <c r="B1112">
        <v>0</v>
      </c>
      <c r="C1112">
        <v>485</v>
      </c>
    </row>
    <row r="1113" spans="1:3" x14ac:dyDescent="0.25">
      <c r="A1113">
        <v>17</v>
      </c>
      <c r="B1113">
        <v>0</v>
      </c>
      <c r="C1113">
        <v>485</v>
      </c>
    </row>
    <row r="1114" spans="1:3" x14ac:dyDescent="0.25">
      <c r="A1114">
        <v>16</v>
      </c>
      <c r="B1114">
        <v>0</v>
      </c>
      <c r="C1114">
        <v>485</v>
      </c>
    </row>
    <row r="1115" spans="1:3" x14ac:dyDescent="0.25">
      <c r="A1115">
        <v>17</v>
      </c>
      <c r="B1115">
        <v>0</v>
      </c>
      <c r="C1115">
        <v>485</v>
      </c>
    </row>
    <row r="1116" spans="1:3" x14ac:dyDescent="0.25">
      <c r="A1116">
        <v>14</v>
      </c>
      <c r="B1116">
        <v>0</v>
      </c>
      <c r="C1116">
        <v>485</v>
      </c>
    </row>
    <row r="1117" spans="1:3" x14ac:dyDescent="0.25">
      <c r="A1117">
        <v>13</v>
      </c>
      <c r="B1117">
        <v>0</v>
      </c>
      <c r="C1117">
        <v>483</v>
      </c>
    </row>
    <row r="1118" spans="1:3" x14ac:dyDescent="0.25">
      <c r="A1118">
        <v>15</v>
      </c>
      <c r="B1118">
        <v>0</v>
      </c>
      <c r="C1118">
        <v>483</v>
      </c>
    </row>
    <row r="1119" spans="1:3" x14ac:dyDescent="0.25">
      <c r="A1119">
        <v>16</v>
      </c>
      <c r="B1119">
        <v>0</v>
      </c>
      <c r="C1119">
        <v>483</v>
      </c>
    </row>
    <row r="1120" spans="1:3" x14ac:dyDescent="0.25">
      <c r="A1120">
        <v>14</v>
      </c>
      <c r="B1120">
        <v>0</v>
      </c>
      <c r="C1120">
        <v>483</v>
      </c>
    </row>
    <row r="1121" spans="1:3" x14ac:dyDescent="0.25">
      <c r="A1121">
        <v>16</v>
      </c>
      <c r="B1121">
        <v>0</v>
      </c>
      <c r="C1121">
        <v>483</v>
      </c>
    </row>
    <row r="1122" spans="1:3" x14ac:dyDescent="0.25">
      <c r="A1122">
        <v>14</v>
      </c>
      <c r="B1122">
        <v>0</v>
      </c>
      <c r="C1122">
        <v>483</v>
      </c>
    </row>
    <row r="1123" spans="1:3" x14ac:dyDescent="0.25">
      <c r="A1123">
        <v>22</v>
      </c>
      <c r="B1123">
        <v>0</v>
      </c>
      <c r="C1123">
        <v>483</v>
      </c>
    </row>
    <row r="1124" spans="1:3" x14ac:dyDescent="0.25">
      <c r="A1124">
        <v>14</v>
      </c>
      <c r="B1124">
        <v>0</v>
      </c>
      <c r="C1124">
        <v>483</v>
      </c>
    </row>
    <row r="1125" spans="1:3" x14ac:dyDescent="0.25">
      <c r="A1125">
        <v>16</v>
      </c>
      <c r="B1125">
        <v>0</v>
      </c>
      <c r="C1125">
        <v>483</v>
      </c>
    </row>
    <row r="1126" spans="1:3" x14ac:dyDescent="0.25">
      <c r="A1126">
        <v>18</v>
      </c>
      <c r="B1126">
        <v>0</v>
      </c>
      <c r="C1126">
        <v>462</v>
      </c>
    </row>
    <row r="1127" spans="1:3" x14ac:dyDescent="0.25">
      <c r="A1127">
        <v>17</v>
      </c>
      <c r="B1127">
        <v>0</v>
      </c>
      <c r="C1127">
        <v>462</v>
      </c>
    </row>
    <row r="1128" spans="1:3" x14ac:dyDescent="0.25">
      <c r="A1128">
        <v>17</v>
      </c>
      <c r="B1128">
        <v>0</v>
      </c>
      <c r="C1128">
        <v>462</v>
      </c>
    </row>
    <row r="1129" spans="1:3" x14ac:dyDescent="0.25">
      <c r="A1129">
        <v>19</v>
      </c>
      <c r="B1129">
        <v>0</v>
      </c>
      <c r="C1129">
        <v>462</v>
      </c>
    </row>
    <row r="1130" spans="1:3" x14ac:dyDescent="0.25">
      <c r="A1130">
        <v>16</v>
      </c>
      <c r="B1130">
        <v>0</v>
      </c>
      <c r="C1130">
        <v>462</v>
      </c>
    </row>
    <row r="1131" spans="1:3" x14ac:dyDescent="0.25">
      <c r="A1131">
        <v>16</v>
      </c>
      <c r="B1131">
        <v>0</v>
      </c>
      <c r="C1131">
        <v>462</v>
      </c>
    </row>
    <row r="1132" spans="1:3" x14ac:dyDescent="0.25">
      <c r="A1132">
        <v>12</v>
      </c>
      <c r="B1132">
        <v>0</v>
      </c>
      <c r="C1132">
        <v>462</v>
      </c>
    </row>
    <row r="1133" spans="1:3" x14ac:dyDescent="0.25">
      <c r="A1133">
        <v>20</v>
      </c>
      <c r="B1133">
        <v>0</v>
      </c>
      <c r="C1133">
        <v>462</v>
      </c>
    </row>
    <row r="1134" spans="1:3" x14ac:dyDescent="0.25">
      <c r="A1134">
        <v>16</v>
      </c>
      <c r="B1134">
        <v>0</v>
      </c>
      <c r="C1134">
        <v>462</v>
      </c>
    </row>
    <row r="1135" spans="1:3" x14ac:dyDescent="0.25">
      <c r="A1135">
        <v>15</v>
      </c>
      <c r="B1135">
        <v>0</v>
      </c>
      <c r="C1135">
        <v>519</v>
      </c>
    </row>
    <row r="1136" spans="1:3" x14ac:dyDescent="0.25">
      <c r="A1136">
        <v>15</v>
      </c>
      <c r="B1136">
        <v>0</v>
      </c>
      <c r="C1136">
        <v>519</v>
      </c>
    </row>
    <row r="1137" spans="1:3" x14ac:dyDescent="0.25">
      <c r="A1137">
        <v>16</v>
      </c>
      <c r="B1137">
        <v>0</v>
      </c>
      <c r="C1137">
        <v>519</v>
      </c>
    </row>
    <row r="1138" spans="1:3" x14ac:dyDescent="0.25">
      <c r="A1138">
        <v>17</v>
      </c>
      <c r="B1138">
        <v>0</v>
      </c>
      <c r="C1138">
        <v>519</v>
      </c>
    </row>
    <row r="1139" spans="1:3" x14ac:dyDescent="0.25">
      <c r="A1139">
        <v>21</v>
      </c>
      <c r="B1139">
        <v>0</v>
      </c>
      <c r="C1139">
        <v>519</v>
      </c>
    </row>
    <row r="1140" spans="1:3" x14ac:dyDescent="0.25">
      <c r="A1140">
        <v>18</v>
      </c>
      <c r="B1140">
        <v>0</v>
      </c>
      <c r="C1140">
        <v>519</v>
      </c>
    </row>
    <row r="1141" spans="1:3" x14ac:dyDescent="0.25">
      <c r="A1141">
        <v>15</v>
      </c>
      <c r="B1141">
        <v>0</v>
      </c>
      <c r="C1141">
        <v>519</v>
      </c>
    </row>
    <row r="1142" spans="1:3" x14ac:dyDescent="0.25">
      <c r="A1142">
        <v>15</v>
      </c>
      <c r="B1142">
        <v>0</v>
      </c>
      <c r="C1142">
        <v>519</v>
      </c>
    </row>
    <row r="1143" spans="1:3" x14ac:dyDescent="0.25">
      <c r="A1143">
        <v>16</v>
      </c>
      <c r="B1143">
        <v>0</v>
      </c>
      <c r="C1143">
        <v>519</v>
      </c>
    </row>
    <row r="1144" spans="1:3" x14ac:dyDescent="0.25">
      <c r="A1144">
        <v>18</v>
      </c>
      <c r="B1144">
        <v>0</v>
      </c>
      <c r="C1144">
        <v>490</v>
      </c>
    </row>
    <row r="1145" spans="1:3" x14ac:dyDescent="0.25">
      <c r="A1145">
        <v>18</v>
      </c>
      <c r="B1145">
        <v>0</v>
      </c>
      <c r="C1145">
        <v>490</v>
      </c>
    </row>
    <row r="1146" spans="1:3" x14ac:dyDescent="0.25">
      <c r="A1146">
        <v>15</v>
      </c>
      <c r="B1146">
        <v>0</v>
      </c>
      <c r="C1146">
        <v>490</v>
      </c>
    </row>
    <row r="1147" spans="1:3" x14ac:dyDescent="0.25">
      <c r="A1147">
        <v>17</v>
      </c>
      <c r="B1147">
        <v>0</v>
      </c>
      <c r="C1147">
        <v>490</v>
      </c>
    </row>
    <row r="1148" spans="1:3" x14ac:dyDescent="0.25">
      <c r="A1148">
        <v>15</v>
      </c>
      <c r="B1148">
        <v>0</v>
      </c>
      <c r="C1148">
        <v>490</v>
      </c>
    </row>
    <row r="1149" spans="1:3" x14ac:dyDescent="0.25">
      <c r="A1149">
        <v>19</v>
      </c>
      <c r="B1149">
        <v>0</v>
      </c>
      <c r="C1149">
        <v>490</v>
      </c>
    </row>
    <row r="1150" spans="1:3" x14ac:dyDescent="0.25">
      <c r="A1150">
        <v>15</v>
      </c>
      <c r="B1150">
        <v>0</v>
      </c>
      <c r="C1150">
        <v>490</v>
      </c>
    </row>
    <row r="1151" spans="1:3" x14ac:dyDescent="0.25">
      <c r="A1151">
        <v>15</v>
      </c>
      <c r="B1151">
        <v>0</v>
      </c>
      <c r="C1151">
        <v>490</v>
      </c>
    </row>
    <row r="1152" spans="1:3" x14ac:dyDescent="0.25">
      <c r="A1152">
        <v>16</v>
      </c>
      <c r="B1152">
        <v>0</v>
      </c>
      <c r="C1152">
        <v>445</v>
      </c>
    </row>
    <row r="1153" spans="1:3" x14ac:dyDescent="0.25">
      <c r="A1153">
        <v>19</v>
      </c>
      <c r="B1153">
        <v>0</v>
      </c>
      <c r="C1153">
        <v>445</v>
      </c>
    </row>
    <row r="1154" spans="1:3" x14ac:dyDescent="0.25">
      <c r="A1154">
        <v>18</v>
      </c>
      <c r="B1154">
        <v>0</v>
      </c>
      <c r="C1154">
        <v>445</v>
      </c>
    </row>
    <row r="1155" spans="1:3" x14ac:dyDescent="0.25">
      <c r="A1155">
        <v>20</v>
      </c>
      <c r="B1155">
        <v>0</v>
      </c>
      <c r="C1155">
        <v>445</v>
      </c>
    </row>
    <row r="1156" spans="1:3" x14ac:dyDescent="0.25">
      <c r="A1156">
        <v>16</v>
      </c>
      <c r="B1156">
        <v>0</v>
      </c>
      <c r="C1156">
        <v>445</v>
      </c>
    </row>
    <row r="1157" spans="1:3" x14ac:dyDescent="0.25">
      <c r="A1157">
        <v>16</v>
      </c>
      <c r="B1157">
        <v>0</v>
      </c>
      <c r="C1157">
        <v>445</v>
      </c>
    </row>
    <row r="1158" spans="1:3" x14ac:dyDescent="0.25">
      <c r="A1158">
        <v>17</v>
      </c>
      <c r="B1158">
        <v>0</v>
      </c>
      <c r="C1158">
        <v>445</v>
      </c>
    </row>
    <row r="1159" spans="1:3" x14ac:dyDescent="0.25">
      <c r="A1159">
        <v>15</v>
      </c>
      <c r="B1159">
        <v>0</v>
      </c>
      <c r="C1159">
        <v>445</v>
      </c>
    </row>
    <row r="1160" spans="1:3" x14ac:dyDescent="0.25">
      <c r="A1160">
        <v>19</v>
      </c>
      <c r="B1160">
        <v>0</v>
      </c>
      <c r="C1160">
        <v>564</v>
      </c>
    </row>
    <row r="1161" spans="1:3" x14ac:dyDescent="0.25">
      <c r="A1161">
        <v>16</v>
      </c>
      <c r="B1161">
        <v>0</v>
      </c>
      <c r="C1161">
        <v>564</v>
      </c>
    </row>
    <row r="1162" spans="1:3" x14ac:dyDescent="0.25">
      <c r="A1162">
        <v>15</v>
      </c>
      <c r="B1162">
        <v>0</v>
      </c>
      <c r="C1162">
        <v>564</v>
      </c>
    </row>
    <row r="1163" spans="1:3" x14ac:dyDescent="0.25">
      <c r="A1163">
        <v>17</v>
      </c>
      <c r="B1163">
        <v>0</v>
      </c>
      <c r="C1163">
        <v>564</v>
      </c>
    </row>
    <row r="1164" spans="1:3" x14ac:dyDescent="0.25">
      <c r="A1164">
        <v>15</v>
      </c>
      <c r="B1164">
        <v>0</v>
      </c>
      <c r="C1164">
        <v>564</v>
      </c>
    </row>
    <row r="1165" spans="1:3" x14ac:dyDescent="0.25">
      <c r="A1165">
        <v>16</v>
      </c>
      <c r="B1165">
        <v>0</v>
      </c>
      <c r="C1165">
        <v>564</v>
      </c>
    </row>
    <row r="1166" spans="1:3" x14ac:dyDescent="0.25">
      <c r="A1166">
        <v>15</v>
      </c>
      <c r="B1166">
        <v>0</v>
      </c>
      <c r="C1166">
        <v>564</v>
      </c>
    </row>
    <row r="1167" spans="1:3" x14ac:dyDescent="0.25">
      <c r="A1167">
        <v>16</v>
      </c>
      <c r="B1167">
        <v>0</v>
      </c>
      <c r="C1167">
        <v>564</v>
      </c>
    </row>
    <row r="1168" spans="1:3" x14ac:dyDescent="0.25">
      <c r="A1168">
        <v>16</v>
      </c>
      <c r="B1168">
        <v>0</v>
      </c>
      <c r="C1168">
        <v>564</v>
      </c>
    </row>
    <row r="1169" spans="1:3" x14ac:dyDescent="0.25">
      <c r="A1169">
        <v>17</v>
      </c>
      <c r="B1169">
        <v>0</v>
      </c>
      <c r="C1169">
        <v>511</v>
      </c>
    </row>
    <row r="1170" spans="1:3" x14ac:dyDescent="0.25">
      <c r="A1170">
        <v>19</v>
      </c>
      <c r="B1170">
        <v>0</v>
      </c>
      <c r="C1170">
        <v>511</v>
      </c>
    </row>
    <row r="1171" spans="1:3" x14ac:dyDescent="0.25">
      <c r="A1171">
        <v>42</v>
      </c>
      <c r="B1171">
        <v>0</v>
      </c>
      <c r="C1171">
        <v>511</v>
      </c>
    </row>
    <row r="1172" spans="1:3" x14ac:dyDescent="0.25">
      <c r="A1172">
        <v>17</v>
      </c>
      <c r="B1172">
        <v>0</v>
      </c>
      <c r="C1172">
        <v>511</v>
      </c>
    </row>
    <row r="1173" spans="1:3" x14ac:dyDescent="0.25">
      <c r="A1173">
        <v>17</v>
      </c>
      <c r="B1173">
        <v>0</v>
      </c>
      <c r="C1173">
        <v>511</v>
      </c>
    </row>
    <row r="1174" spans="1:3" x14ac:dyDescent="0.25">
      <c r="A1174">
        <v>14</v>
      </c>
      <c r="B1174">
        <v>0</v>
      </c>
      <c r="C1174">
        <v>511</v>
      </c>
    </row>
    <row r="1175" spans="1:3" x14ac:dyDescent="0.25">
      <c r="A1175">
        <v>16</v>
      </c>
      <c r="B1175">
        <v>0</v>
      </c>
      <c r="C1175">
        <v>511</v>
      </c>
    </row>
    <row r="1176" spans="1:3" x14ac:dyDescent="0.25">
      <c r="A1176">
        <v>15</v>
      </c>
      <c r="B1176">
        <v>0</v>
      </c>
      <c r="C1176">
        <v>511</v>
      </c>
    </row>
    <row r="1177" spans="1:3" x14ac:dyDescent="0.25">
      <c r="A1177">
        <v>16</v>
      </c>
      <c r="B1177">
        <v>0</v>
      </c>
      <c r="C1177">
        <v>558</v>
      </c>
    </row>
    <row r="1178" spans="1:3" x14ac:dyDescent="0.25">
      <c r="A1178">
        <v>18</v>
      </c>
      <c r="B1178">
        <v>0</v>
      </c>
      <c r="C1178">
        <v>558</v>
      </c>
    </row>
    <row r="1179" spans="1:3" x14ac:dyDescent="0.25">
      <c r="A1179">
        <v>17</v>
      </c>
      <c r="B1179">
        <v>0</v>
      </c>
      <c r="C1179">
        <v>558</v>
      </c>
    </row>
    <row r="1180" spans="1:3" x14ac:dyDescent="0.25">
      <c r="A1180">
        <v>18</v>
      </c>
      <c r="B1180">
        <v>0</v>
      </c>
      <c r="C1180">
        <v>558</v>
      </c>
    </row>
    <row r="1181" spans="1:3" x14ac:dyDescent="0.25">
      <c r="A1181">
        <v>17</v>
      </c>
      <c r="B1181">
        <v>0</v>
      </c>
      <c r="C1181">
        <v>558</v>
      </c>
    </row>
    <row r="1182" spans="1:3" x14ac:dyDescent="0.25">
      <c r="A1182">
        <v>15</v>
      </c>
      <c r="B1182">
        <v>0</v>
      </c>
      <c r="C1182">
        <v>558</v>
      </c>
    </row>
    <row r="1183" spans="1:3" x14ac:dyDescent="0.25">
      <c r="A1183">
        <v>19</v>
      </c>
      <c r="B1183">
        <v>0</v>
      </c>
      <c r="C1183">
        <v>558</v>
      </c>
    </row>
    <row r="1184" spans="1:3" x14ac:dyDescent="0.25">
      <c r="A1184">
        <v>17</v>
      </c>
      <c r="B1184">
        <v>0</v>
      </c>
      <c r="C1184">
        <v>558</v>
      </c>
    </row>
    <row r="1185" spans="1:3" x14ac:dyDescent="0.25">
      <c r="A1185">
        <v>17</v>
      </c>
      <c r="B1185">
        <v>0</v>
      </c>
      <c r="C1185">
        <v>584</v>
      </c>
    </row>
    <row r="1186" spans="1:3" x14ac:dyDescent="0.25">
      <c r="A1186">
        <v>21</v>
      </c>
      <c r="B1186">
        <v>0</v>
      </c>
      <c r="C1186">
        <v>584</v>
      </c>
    </row>
    <row r="1187" spans="1:3" x14ac:dyDescent="0.25">
      <c r="A1187">
        <v>18</v>
      </c>
      <c r="B1187">
        <v>0</v>
      </c>
      <c r="C1187">
        <v>584</v>
      </c>
    </row>
    <row r="1188" spans="1:3" x14ac:dyDescent="0.25">
      <c r="A1188">
        <v>13</v>
      </c>
      <c r="B1188">
        <v>0</v>
      </c>
      <c r="C1188">
        <v>584</v>
      </c>
    </row>
    <row r="1189" spans="1:3" x14ac:dyDescent="0.25">
      <c r="A1189">
        <v>18</v>
      </c>
      <c r="B1189">
        <v>0</v>
      </c>
      <c r="C1189">
        <v>584</v>
      </c>
    </row>
    <row r="1190" spans="1:3" x14ac:dyDescent="0.25">
      <c r="A1190">
        <v>14</v>
      </c>
      <c r="B1190">
        <v>0</v>
      </c>
      <c r="C1190">
        <v>584</v>
      </c>
    </row>
    <row r="1191" spans="1:3" x14ac:dyDescent="0.25">
      <c r="A1191">
        <v>16</v>
      </c>
      <c r="B1191">
        <v>0</v>
      </c>
      <c r="C1191">
        <v>584</v>
      </c>
    </row>
    <row r="1192" spans="1:3" x14ac:dyDescent="0.25">
      <c r="A1192">
        <v>16</v>
      </c>
      <c r="B1192">
        <v>0</v>
      </c>
      <c r="C1192">
        <v>584</v>
      </c>
    </row>
    <row r="1193" spans="1:3" x14ac:dyDescent="0.25">
      <c r="A1193">
        <v>21</v>
      </c>
      <c r="B1193">
        <v>0</v>
      </c>
      <c r="C1193">
        <v>582</v>
      </c>
    </row>
    <row r="1194" spans="1:3" x14ac:dyDescent="0.25">
      <c r="A1194">
        <v>20</v>
      </c>
      <c r="B1194">
        <v>0</v>
      </c>
      <c r="C1194">
        <v>582</v>
      </c>
    </row>
    <row r="1195" spans="1:3" x14ac:dyDescent="0.25">
      <c r="A1195">
        <v>18</v>
      </c>
      <c r="B1195">
        <v>0</v>
      </c>
      <c r="C1195">
        <v>582</v>
      </c>
    </row>
    <row r="1196" spans="1:3" x14ac:dyDescent="0.25">
      <c r="A1196">
        <v>14</v>
      </c>
      <c r="B1196">
        <v>0</v>
      </c>
      <c r="C1196">
        <v>582</v>
      </c>
    </row>
    <row r="1197" spans="1:3" x14ac:dyDescent="0.25">
      <c r="A1197">
        <v>16</v>
      </c>
      <c r="B1197">
        <v>0</v>
      </c>
      <c r="C1197">
        <v>582</v>
      </c>
    </row>
    <row r="1198" spans="1:3" x14ac:dyDescent="0.25">
      <c r="A1198">
        <v>44</v>
      </c>
      <c r="B1198">
        <v>0</v>
      </c>
      <c r="C1198">
        <v>582</v>
      </c>
    </row>
    <row r="1199" spans="1:3" x14ac:dyDescent="0.25">
      <c r="A1199">
        <v>19</v>
      </c>
      <c r="B1199">
        <v>0</v>
      </c>
      <c r="C1199">
        <v>582</v>
      </c>
    </row>
    <row r="1200" spans="1:3" x14ac:dyDescent="0.25">
      <c r="A1200">
        <v>17</v>
      </c>
      <c r="B1200">
        <v>0</v>
      </c>
      <c r="C1200">
        <v>615</v>
      </c>
    </row>
    <row r="1201" spans="1:3" x14ac:dyDescent="0.25">
      <c r="A1201">
        <v>16</v>
      </c>
      <c r="B1201">
        <v>0</v>
      </c>
      <c r="C1201">
        <v>615</v>
      </c>
    </row>
    <row r="1202" spans="1:3" x14ac:dyDescent="0.25">
      <c r="A1202">
        <v>15</v>
      </c>
      <c r="B1202">
        <v>0</v>
      </c>
      <c r="C1202">
        <v>615</v>
      </c>
    </row>
    <row r="1203" spans="1:3" x14ac:dyDescent="0.25">
      <c r="A1203">
        <v>14</v>
      </c>
      <c r="B1203">
        <v>0</v>
      </c>
      <c r="C1203">
        <v>615</v>
      </c>
    </row>
    <row r="1204" spans="1:3" x14ac:dyDescent="0.25">
      <c r="A1204">
        <v>18</v>
      </c>
      <c r="B1204">
        <v>0</v>
      </c>
      <c r="C1204">
        <v>615</v>
      </c>
    </row>
    <row r="1205" spans="1:3" x14ac:dyDescent="0.25">
      <c r="A1205">
        <v>13</v>
      </c>
      <c r="B1205">
        <v>0</v>
      </c>
      <c r="C1205">
        <v>615</v>
      </c>
    </row>
    <row r="1206" spans="1:3" x14ac:dyDescent="0.25">
      <c r="A1206">
        <v>14</v>
      </c>
      <c r="B1206">
        <v>0</v>
      </c>
      <c r="C1206">
        <v>615</v>
      </c>
    </row>
    <row r="1207" spans="1:3" x14ac:dyDescent="0.25">
      <c r="A1207">
        <v>15</v>
      </c>
      <c r="B1207">
        <v>0</v>
      </c>
      <c r="C1207">
        <v>615</v>
      </c>
    </row>
    <row r="1208" spans="1:3" x14ac:dyDescent="0.25">
      <c r="A1208">
        <v>19</v>
      </c>
      <c r="B1208">
        <v>0</v>
      </c>
      <c r="C1208">
        <v>615</v>
      </c>
    </row>
    <row r="1209" spans="1:3" x14ac:dyDescent="0.25">
      <c r="A1209">
        <v>16</v>
      </c>
      <c r="B1209">
        <v>0</v>
      </c>
      <c r="C1209">
        <v>524</v>
      </c>
    </row>
    <row r="1210" spans="1:3" x14ac:dyDescent="0.25">
      <c r="A1210">
        <v>15</v>
      </c>
      <c r="B1210">
        <v>0</v>
      </c>
      <c r="C1210">
        <v>524</v>
      </c>
    </row>
    <row r="1211" spans="1:3" x14ac:dyDescent="0.25">
      <c r="A1211">
        <v>16</v>
      </c>
      <c r="B1211">
        <v>0</v>
      </c>
      <c r="C1211">
        <v>524</v>
      </c>
    </row>
    <row r="1212" spans="1:3" x14ac:dyDescent="0.25">
      <c r="A1212">
        <v>16</v>
      </c>
      <c r="B1212">
        <v>0</v>
      </c>
      <c r="C1212">
        <v>524</v>
      </c>
    </row>
    <row r="1213" spans="1:3" x14ac:dyDescent="0.25">
      <c r="A1213">
        <v>15</v>
      </c>
      <c r="B1213">
        <v>0</v>
      </c>
      <c r="C1213">
        <v>524</v>
      </c>
    </row>
    <row r="1214" spans="1:3" x14ac:dyDescent="0.25">
      <c r="A1214">
        <v>17</v>
      </c>
      <c r="B1214">
        <v>0</v>
      </c>
      <c r="C1214">
        <v>524</v>
      </c>
    </row>
    <row r="1215" spans="1:3" x14ac:dyDescent="0.25">
      <c r="A1215">
        <v>27</v>
      </c>
      <c r="B1215">
        <v>0</v>
      </c>
      <c r="C1215">
        <v>524</v>
      </c>
    </row>
    <row r="1216" spans="1:3" x14ac:dyDescent="0.25">
      <c r="A1216">
        <v>20</v>
      </c>
      <c r="B1216">
        <v>0</v>
      </c>
      <c r="C1216">
        <v>524</v>
      </c>
    </row>
    <row r="1217" spans="1:3" x14ac:dyDescent="0.25">
      <c r="A1217">
        <v>13</v>
      </c>
      <c r="B1217">
        <v>0</v>
      </c>
      <c r="C1217">
        <v>524</v>
      </c>
    </row>
    <row r="1218" spans="1:3" x14ac:dyDescent="0.25">
      <c r="A1218">
        <v>15</v>
      </c>
      <c r="B1218">
        <v>0</v>
      </c>
      <c r="C1218">
        <v>487</v>
      </c>
    </row>
    <row r="1219" spans="1:3" x14ac:dyDescent="0.25">
      <c r="A1219">
        <v>17</v>
      </c>
      <c r="B1219">
        <v>0</v>
      </c>
      <c r="C1219">
        <v>487</v>
      </c>
    </row>
    <row r="1220" spans="1:3" x14ac:dyDescent="0.25">
      <c r="A1220">
        <v>15</v>
      </c>
      <c r="B1220">
        <v>0</v>
      </c>
      <c r="C1220">
        <v>487</v>
      </c>
    </row>
    <row r="1221" spans="1:3" x14ac:dyDescent="0.25">
      <c r="A1221">
        <v>12</v>
      </c>
      <c r="B1221">
        <v>0</v>
      </c>
      <c r="C1221">
        <v>487</v>
      </c>
    </row>
    <row r="1222" spans="1:3" x14ac:dyDescent="0.25">
      <c r="A1222">
        <v>15</v>
      </c>
      <c r="B1222">
        <v>0</v>
      </c>
      <c r="C1222">
        <v>487</v>
      </c>
    </row>
    <row r="1223" spans="1:3" x14ac:dyDescent="0.25">
      <c r="A1223">
        <v>16</v>
      </c>
      <c r="B1223">
        <v>0</v>
      </c>
      <c r="C1223">
        <v>487</v>
      </c>
    </row>
    <row r="1224" spans="1:3" x14ac:dyDescent="0.25">
      <c r="A1224">
        <v>15</v>
      </c>
      <c r="B1224">
        <v>0</v>
      </c>
      <c r="C1224">
        <v>487</v>
      </c>
    </row>
    <row r="1225" spans="1:3" x14ac:dyDescent="0.25">
      <c r="A1225">
        <v>21</v>
      </c>
      <c r="B1225">
        <v>0</v>
      </c>
      <c r="C1225">
        <v>487</v>
      </c>
    </row>
    <row r="1226" spans="1:3" x14ac:dyDescent="0.25">
      <c r="A1226">
        <v>17</v>
      </c>
      <c r="B1226">
        <v>0</v>
      </c>
      <c r="C1226">
        <v>487</v>
      </c>
    </row>
    <row r="1227" spans="1:3" x14ac:dyDescent="0.25">
      <c r="A1227">
        <v>16</v>
      </c>
      <c r="B1227">
        <v>0</v>
      </c>
      <c r="C1227">
        <v>503</v>
      </c>
    </row>
    <row r="1228" spans="1:3" x14ac:dyDescent="0.25">
      <c r="A1228">
        <v>18</v>
      </c>
      <c r="B1228">
        <v>0</v>
      </c>
      <c r="C1228">
        <v>503</v>
      </c>
    </row>
    <row r="1229" spans="1:3" x14ac:dyDescent="0.25">
      <c r="A1229">
        <v>13</v>
      </c>
      <c r="B1229">
        <v>0</v>
      </c>
      <c r="C1229">
        <v>503</v>
      </c>
    </row>
    <row r="1230" spans="1:3" x14ac:dyDescent="0.25">
      <c r="A1230">
        <v>19</v>
      </c>
      <c r="B1230">
        <v>0</v>
      </c>
      <c r="C1230">
        <v>503</v>
      </c>
    </row>
    <row r="1231" spans="1:3" x14ac:dyDescent="0.25">
      <c r="A1231">
        <v>16</v>
      </c>
      <c r="B1231">
        <v>0</v>
      </c>
      <c r="C1231">
        <v>503</v>
      </c>
    </row>
    <row r="1232" spans="1:3" x14ac:dyDescent="0.25">
      <c r="A1232">
        <v>18</v>
      </c>
      <c r="B1232">
        <v>0</v>
      </c>
      <c r="C1232">
        <v>503</v>
      </c>
    </row>
    <row r="1233" spans="1:3" x14ac:dyDescent="0.25">
      <c r="A1233">
        <v>14</v>
      </c>
      <c r="B1233">
        <v>0</v>
      </c>
      <c r="C1233">
        <v>503</v>
      </c>
    </row>
    <row r="1234" spans="1:3" x14ac:dyDescent="0.25">
      <c r="A1234">
        <v>23</v>
      </c>
      <c r="B1234">
        <v>0</v>
      </c>
      <c r="C1234">
        <v>503</v>
      </c>
    </row>
    <row r="1235" spans="1:3" x14ac:dyDescent="0.25">
      <c r="A1235">
        <v>20</v>
      </c>
      <c r="B1235">
        <v>0</v>
      </c>
      <c r="C1235">
        <v>530</v>
      </c>
    </row>
    <row r="1236" spans="1:3" x14ac:dyDescent="0.25">
      <c r="A1236">
        <v>16</v>
      </c>
      <c r="B1236">
        <v>0</v>
      </c>
      <c r="C1236">
        <v>530</v>
      </c>
    </row>
    <row r="1237" spans="1:3" x14ac:dyDescent="0.25">
      <c r="A1237">
        <v>17</v>
      </c>
      <c r="B1237">
        <v>0</v>
      </c>
      <c r="C1237">
        <v>530</v>
      </c>
    </row>
    <row r="1238" spans="1:3" x14ac:dyDescent="0.25">
      <c r="A1238">
        <v>21</v>
      </c>
      <c r="B1238">
        <v>0</v>
      </c>
      <c r="C1238">
        <v>530</v>
      </c>
    </row>
    <row r="1239" spans="1:3" x14ac:dyDescent="0.25">
      <c r="A1239">
        <v>20</v>
      </c>
      <c r="B1239">
        <v>0</v>
      </c>
      <c r="C1239">
        <v>530</v>
      </c>
    </row>
    <row r="1240" spans="1:3" x14ac:dyDescent="0.25">
      <c r="A1240">
        <v>16</v>
      </c>
      <c r="B1240">
        <v>0</v>
      </c>
      <c r="C1240">
        <v>530</v>
      </c>
    </row>
    <row r="1241" spans="1:3" x14ac:dyDescent="0.25">
      <c r="A1241">
        <v>18</v>
      </c>
      <c r="B1241">
        <v>0</v>
      </c>
      <c r="C1241">
        <v>530</v>
      </c>
    </row>
    <row r="1242" spans="1:3" x14ac:dyDescent="0.25">
      <c r="A1242">
        <v>17</v>
      </c>
      <c r="B1242">
        <v>0</v>
      </c>
      <c r="C1242">
        <v>530</v>
      </c>
    </row>
    <row r="1243" spans="1:3" x14ac:dyDescent="0.25">
      <c r="A1243">
        <v>14</v>
      </c>
      <c r="B1243">
        <v>0</v>
      </c>
      <c r="C1243">
        <v>584</v>
      </c>
    </row>
    <row r="1244" spans="1:3" x14ac:dyDescent="0.25">
      <c r="A1244">
        <v>17</v>
      </c>
      <c r="B1244">
        <v>0</v>
      </c>
      <c r="C1244">
        <v>584</v>
      </c>
    </row>
    <row r="1245" spans="1:3" x14ac:dyDescent="0.25">
      <c r="A1245">
        <v>15</v>
      </c>
      <c r="B1245">
        <v>0</v>
      </c>
      <c r="C1245">
        <v>584</v>
      </c>
    </row>
    <row r="1246" spans="1:3" x14ac:dyDescent="0.25">
      <c r="A1246">
        <v>15</v>
      </c>
      <c r="B1246">
        <v>0</v>
      </c>
      <c r="C1246">
        <v>584</v>
      </c>
    </row>
    <row r="1247" spans="1:3" x14ac:dyDescent="0.25">
      <c r="A1247">
        <v>21</v>
      </c>
      <c r="B1247">
        <v>0</v>
      </c>
      <c r="C1247">
        <v>584</v>
      </c>
    </row>
    <row r="1248" spans="1:3" x14ac:dyDescent="0.25">
      <c r="A1248">
        <v>74</v>
      </c>
      <c r="B1248">
        <v>0</v>
      </c>
      <c r="C1248">
        <v>584</v>
      </c>
    </row>
    <row r="1249" spans="1:3" x14ac:dyDescent="0.25">
      <c r="A1249">
        <v>18</v>
      </c>
      <c r="B1249">
        <v>0</v>
      </c>
      <c r="C1249">
        <v>584</v>
      </c>
    </row>
    <row r="1250" spans="1:3" x14ac:dyDescent="0.25">
      <c r="A1250">
        <v>13</v>
      </c>
      <c r="B1250">
        <v>0</v>
      </c>
      <c r="C1250">
        <v>584</v>
      </c>
    </row>
    <row r="1251" spans="1:3" x14ac:dyDescent="0.25">
      <c r="A1251">
        <v>19</v>
      </c>
      <c r="B1251">
        <v>0</v>
      </c>
      <c r="C1251">
        <v>584</v>
      </c>
    </row>
    <row r="1252" spans="1:3" x14ac:dyDescent="0.25">
      <c r="A1252">
        <v>15</v>
      </c>
      <c r="B1252">
        <v>0</v>
      </c>
      <c r="C1252">
        <v>490</v>
      </c>
    </row>
    <row r="1253" spans="1:3" x14ac:dyDescent="0.25">
      <c r="A1253">
        <v>14</v>
      </c>
      <c r="B1253">
        <v>0</v>
      </c>
      <c r="C1253">
        <v>490</v>
      </c>
    </row>
    <row r="1254" spans="1:3" x14ac:dyDescent="0.25">
      <c r="A1254">
        <v>18</v>
      </c>
      <c r="B1254">
        <v>0</v>
      </c>
      <c r="C1254">
        <v>490</v>
      </c>
    </row>
    <row r="1255" spans="1:3" x14ac:dyDescent="0.25">
      <c r="A1255">
        <v>16</v>
      </c>
      <c r="B1255">
        <v>0</v>
      </c>
      <c r="C1255">
        <v>490</v>
      </c>
    </row>
    <row r="1256" spans="1:3" x14ac:dyDescent="0.25">
      <c r="A1256">
        <v>21</v>
      </c>
      <c r="B1256">
        <v>0</v>
      </c>
      <c r="C1256">
        <v>490</v>
      </c>
    </row>
    <row r="1257" spans="1:3" x14ac:dyDescent="0.25">
      <c r="A1257">
        <v>18</v>
      </c>
      <c r="B1257">
        <v>0</v>
      </c>
      <c r="C1257">
        <v>490</v>
      </c>
    </row>
    <row r="1258" spans="1:3" x14ac:dyDescent="0.25">
      <c r="A1258">
        <v>18</v>
      </c>
      <c r="B1258">
        <v>0</v>
      </c>
      <c r="C1258">
        <v>490</v>
      </c>
    </row>
    <row r="1259" spans="1:3" x14ac:dyDescent="0.25">
      <c r="A1259">
        <v>16</v>
      </c>
      <c r="B1259">
        <v>0</v>
      </c>
      <c r="C1259">
        <v>490</v>
      </c>
    </row>
    <row r="1260" spans="1:3" x14ac:dyDescent="0.25">
      <c r="A1260">
        <v>18</v>
      </c>
      <c r="B1260">
        <v>0</v>
      </c>
      <c r="C1260">
        <v>483</v>
      </c>
    </row>
    <row r="1261" spans="1:3" x14ac:dyDescent="0.25">
      <c r="A1261">
        <v>15</v>
      </c>
      <c r="B1261">
        <v>0</v>
      </c>
      <c r="C1261">
        <v>483</v>
      </c>
    </row>
    <row r="1262" spans="1:3" x14ac:dyDescent="0.25">
      <c r="A1262">
        <v>14</v>
      </c>
      <c r="B1262">
        <v>0</v>
      </c>
      <c r="C1262">
        <v>483</v>
      </c>
    </row>
    <row r="1263" spans="1:3" x14ac:dyDescent="0.25">
      <c r="A1263">
        <v>17</v>
      </c>
      <c r="B1263">
        <v>0</v>
      </c>
      <c r="C1263">
        <v>483</v>
      </c>
    </row>
    <row r="1264" spans="1:3" x14ac:dyDescent="0.25">
      <c r="A1264">
        <v>21</v>
      </c>
      <c r="B1264">
        <v>0</v>
      </c>
      <c r="C1264">
        <v>483</v>
      </c>
    </row>
    <row r="1265" spans="1:3" x14ac:dyDescent="0.25">
      <c r="A1265">
        <v>15</v>
      </c>
      <c r="B1265">
        <v>0</v>
      </c>
      <c r="C1265">
        <v>483</v>
      </c>
    </row>
    <row r="1266" spans="1:3" x14ac:dyDescent="0.25">
      <c r="A1266">
        <v>14</v>
      </c>
      <c r="B1266">
        <v>0</v>
      </c>
      <c r="C1266">
        <v>483</v>
      </c>
    </row>
    <row r="1267" spans="1:3" x14ac:dyDescent="0.25">
      <c r="A1267">
        <v>15</v>
      </c>
      <c r="B1267">
        <v>0</v>
      </c>
      <c r="C1267">
        <v>483</v>
      </c>
    </row>
    <row r="1268" spans="1:3" x14ac:dyDescent="0.25">
      <c r="A1268">
        <v>15</v>
      </c>
      <c r="B1268">
        <v>0</v>
      </c>
      <c r="C1268">
        <v>483</v>
      </c>
    </row>
    <row r="1269" spans="1:3" x14ac:dyDescent="0.25">
      <c r="A1269">
        <v>16</v>
      </c>
      <c r="B1269">
        <v>0</v>
      </c>
      <c r="C1269">
        <v>491</v>
      </c>
    </row>
    <row r="1270" spans="1:3" x14ac:dyDescent="0.25">
      <c r="A1270">
        <v>18</v>
      </c>
      <c r="B1270">
        <v>0</v>
      </c>
      <c r="C1270">
        <v>491</v>
      </c>
    </row>
    <row r="1271" spans="1:3" x14ac:dyDescent="0.25">
      <c r="A1271">
        <v>19</v>
      </c>
      <c r="B1271">
        <v>0</v>
      </c>
      <c r="C1271">
        <v>491</v>
      </c>
    </row>
    <row r="1272" spans="1:3" x14ac:dyDescent="0.25">
      <c r="A1272">
        <v>18</v>
      </c>
      <c r="B1272">
        <v>0</v>
      </c>
      <c r="C1272">
        <v>491</v>
      </c>
    </row>
    <row r="1273" spans="1:3" x14ac:dyDescent="0.25">
      <c r="A1273">
        <v>21</v>
      </c>
      <c r="B1273">
        <v>0</v>
      </c>
      <c r="C1273">
        <v>491</v>
      </c>
    </row>
    <row r="1274" spans="1:3" x14ac:dyDescent="0.25">
      <c r="A1274">
        <v>13</v>
      </c>
      <c r="B1274">
        <v>0</v>
      </c>
      <c r="C1274">
        <v>491</v>
      </c>
    </row>
    <row r="1275" spans="1:3" x14ac:dyDescent="0.25">
      <c r="A1275">
        <v>15</v>
      </c>
      <c r="B1275">
        <v>0</v>
      </c>
      <c r="C1275">
        <v>491</v>
      </c>
    </row>
    <row r="1276" spans="1:3" x14ac:dyDescent="0.25">
      <c r="A1276">
        <v>15</v>
      </c>
      <c r="B1276">
        <v>0</v>
      </c>
      <c r="C1276">
        <v>491</v>
      </c>
    </row>
    <row r="1277" spans="1:3" x14ac:dyDescent="0.25">
      <c r="A1277">
        <v>16</v>
      </c>
      <c r="B1277">
        <v>0</v>
      </c>
      <c r="C1277">
        <v>491</v>
      </c>
    </row>
    <row r="1278" spans="1:3" x14ac:dyDescent="0.25">
      <c r="A1278">
        <v>13</v>
      </c>
      <c r="B1278">
        <v>0</v>
      </c>
      <c r="C1278">
        <v>472</v>
      </c>
    </row>
    <row r="1279" spans="1:3" x14ac:dyDescent="0.25">
      <c r="A1279">
        <v>15</v>
      </c>
      <c r="B1279">
        <v>0</v>
      </c>
      <c r="C1279">
        <v>472</v>
      </c>
    </row>
    <row r="1280" spans="1:3" x14ac:dyDescent="0.25">
      <c r="A1280">
        <v>17</v>
      </c>
      <c r="B1280">
        <v>0</v>
      </c>
      <c r="C1280">
        <v>472</v>
      </c>
    </row>
    <row r="1281" spans="1:3" x14ac:dyDescent="0.25">
      <c r="A1281">
        <v>18</v>
      </c>
      <c r="B1281">
        <v>0</v>
      </c>
      <c r="C1281">
        <v>472</v>
      </c>
    </row>
    <row r="1282" spans="1:3" x14ac:dyDescent="0.25">
      <c r="A1282">
        <v>19</v>
      </c>
      <c r="B1282">
        <v>0</v>
      </c>
      <c r="C1282">
        <v>472</v>
      </c>
    </row>
    <row r="1283" spans="1:3" x14ac:dyDescent="0.25">
      <c r="A1283">
        <v>14</v>
      </c>
      <c r="B1283">
        <v>0</v>
      </c>
      <c r="C1283">
        <v>472</v>
      </c>
    </row>
    <row r="1284" spans="1:3" x14ac:dyDescent="0.25">
      <c r="A1284">
        <v>15</v>
      </c>
      <c r="B1284">
        <v>0</v>
      </c>
      <c r="C1284">
        <v>472</v>
      </c>
    </row>
    <row r="1285" spans="1:3" x14ac:dyDescent="0.25">
      <c r="A1285">
        <v>14</v>
      </c>
      <c r="B1285">
        <v>0</v>
      </c>
      <c r="C1285">
        <v>472</v>
      </c>
    </row>
    <row r="1286" spans="1:3" x14ac:dyDescent="0.25">
      <c r="A1286">
        <v>17</v>
      </c>
      <c r="B1286">
        <v>0</v>
      </c>
      <c r="C1286">
        <v>472</v>
      </c>
    </row>
    <row r="1287" spans="1:3" x14ac:dyDescent="0.25">
      <c r="A1287">
        <v>14</v>
      </c>
      <c r="B1287">
        <v>0</v>
      </c>
      <c r="C1287">
        <v>512</v>
      </c>
    </row>
    <row r="1288" spans="1:3" x14ac:dyDescent="0.25">
      <c r="A1288">
        <v>14</v>
      </c>
      <c r="B1288">
        <v>0</v>
      </c>
      <c r="C1288">
        <v>512</v>
      </c>
    </row>
    <row r="1289" spans="1:3" x14ac:dyDescent="0.25">
      <c r="A1289">
        <v>20</v>
      </c>
      <c r="B1289">
        <v>0</v>
      </c>
      <c r="C1289">
        <v>512</v>
      </c>
    </row>
    <row r="1290" spans="1:3" x14ac:dyDescent="0.25">
      <c r="A1290">
        <v>16</v>
      </c>
      <c r="B1290">
        <v>0</v>
      </c>
      <c r="C1290">
        <v>512</v>
      </c>
    </row>
    <row r="1291" spans="1:3" x14ac:dyDescent="0.25">
      <c r="A1291">
        <v>18</v>
      </c>
      <c r="B1291">
        <v>0</v>
      </c>
      <c r="C1291">
        <v>512</v>
      </c>
    </row>
    <row r="1292" spans="1:3" x14ac:dyDescent="0.25">
      <c r="A1292">
        <v>20</v>
      </c>
      <c r="B1292">
        <v>0</v>
      </c>
      <c r="C1292">
        <v>512</v>
      </c>
    </row>
    <row r="1293" spans="1:3" x14ac:dyDescent="0.25">
      <c r="A1293">
        <v>16</v>
      </c>
      <c r="B1293">
        <v>0</v>
      </c>
      <c r="C1293">
        <v>512</v>
      </c>
    </row>
    <row r="1294" spans="1:3" x14ac:dyDescent="0.25">
      <c r="A1294">
        <v>13</v>
      </c>
      <c r="B1294">
        <v>0</v>
      </c>
      <c r="C1294">
        <v>512</v>
      </c>
    </row>
    <row r="1295" spans="1:3" x14ac:dyDescent="0.25">
      <c r="A1295">
        <v>14</v>
      </c>
      <c r="B1295">
        <v>0</v>
      </c>
      <c r="C1295">
        <v>512</v>
      </c>
    </row>
    <row r="1296" spans="1:3" x14ac:dyDescent="0.25">
      <c r="A1296">
        <v>16</v>
      </c>
      <c r="B1296">
        <v>0</v>
      </c>
      <c r="C1296">
        <v>502</v>
      </c>
    </row>
    <row r="1297" spans="1:3" x14ac:dyDescent="0.25">
      <c r="A1297">
        <v>21</v>
      </c>
      <c r="B1297">
        <v>0</v>
      </c>
      <c r="C1297">
        <v>502</v>
      </c>
    </row>
    <row r="1298" spans="1:3" x14ac:dyDescent="0.25">
      <c r="A1298">
        <v>20</v>
      </c>
      <c r="B1298">
        <v>0</v>
      </c>
      <c r="C1298">
        <v>502</v>
      </c>
    </row>
    <row r="1299" spans="1:3" x14ac:dyDescent="0.25">
      <c r="A1299">
        <v>21</v>
      </c>
      <c r="B1299">
        <v>0</v>
      </c>
      <c r="C1299">
        <v>502</v>
      </c>
    </row>
    <row r="1300" spans="1:3" x14ac:dyDescent="0.25">
      <c r="A1300">
        <v>18</v>
      </c>
      <c r="B1300">
        <v>0</v>
      </c>
      <c r="C1300">
        <v>502</v>
      </c>
    </row>
    <row r="1301" spans="1:3" x14ac:dyDescent="0.25">
      <c r="A1301">
        <v>20</v>
      </c>
      <c r="B1301">
        <v>0</v>
      </c>
      <c r="C1301">
        <v>502</v>
      </c>
    </row>
    <row r="1302" spans="1:3" x14ac:dyDescent="0.25">
      <c r="A1302">
        <v>14</v>
      </c>
      <c r="B1302">
        <v>0</v>
      </c>
      <c r="C1302">
        <v>502</v>
      </c>
    </row>
    <row r="1303" spans="1:3" x14ac:dyDescent="0.25">
      <c r="A1303">
        <v>15</v>
      </c>
      <c r="B1303">
        <v>0</v>
      </c>
      <c r="C1303">
        <v>502</v>
      </c>
    </row>
    <row r="1304" spans="1:3" x14ac:dyDescent="0.25">
      <c r="A1304">
        <v>17</v>
      </c>
      <c r="B1304">
        <v>0</v>
      </c>
      <c r="C1304">
        <v>591</v>
      </c>
    </row>
    <row r="1305" spans="1:3" x14ac:dyDescent="0.25">
      <c r="A1305">
        <v>17</v>
      </c>
      <c r="B1305">
        <v>0</v>
      </c>
      <c r="C1305">
        <v>591</v>
      </c>
    </row>
    <row r="1306" spans="1:3" x14ac:dyDescent="0.25">
      <c r="A1306">
        <v>14</v>
      </c>
      <c r="B1306">
        <v>0</v>
      </c>
      <c r="C1306">
        <v>591</v>
      </c>
    </row>
    <row r="1307" spans="1:3" x14ac:dyDescent="0.25">
      <c r="A1307">
        <v>21</v>
      </c>
      <c r="B1307">
        <v>0</v>
      </c>
      <c r="C1307">
        <v>591</v>
      </c>
    </row>
    <row r="1308" spans="1:3" x14ac:dyDescent="0.25">
      <c r="A1308">
        <v>16</v>
      </c>
      <c r="B1308">
        <v>0</v>
      </c>
      <c r="C1308">
        <v>591</v>
      </c>
    </row>
    <row r="1309" spans="1:3" x14ac:dyDescent="0.25">
      <c r="A1309">
        <v>14</v>
      </c>
      <c r="B1309">
        <v>0</v>
      </c>
      <c r="C1309">
        <v>591</v>
      </c>
    </row>
    <row r="1310" spans="1:3" x14ac:dyDescent="0.25">
      <c r="A1310">
        <v>16</v>
      </c>
      <c r="B1310">
        <v>0</v>
      </c>
      <c r="C1310">
        <v>591</v>
      </c>
    </row>
    <row r="1311" spans="1:3" x14ac:dyDescent="0.25">
      <c r="A1311">
        <v>18</v>
      </c>
      <c r="B1311">
        <v>0</v>
      </c>
      <c r="C1311">
        <v>591</v>
      </c>
    </row>
    <row r="1312" spans="1:3" x14ac:dyDescent="0.25">
      <c r="A1312">
        <v>19</v>
      </c>
      <c r="B1312">
        <v>0</v>
      </c>
      <c r="C1312">
        <v>565</v>
      </c>
    </row>
    <row r="1313" spans="1:3" x14ac:dyDescent="0.25">
      <c r="A1313">
        <v>15</v>
      </c>
      <c r="B1313">
        <v>0</v>
      </c>
      <c r="C1313">
        <v>565</v>
      </c>
    </row>
    <row r="1314" spans="1:3" x14ac:dyDescent="0.25">
      <c r="A1314">
        <v>18</v>
      </c>
      <c r="B1314">
        <v>0</v>
      </c>
      <c r="C1314">
        <v>565</v>
      </c>
    </row>
    <row r="1315" spans="1:3" x14ac:dyDescent="0.25">
      <c r="A1315">
        <v>17</v>
      </c>
      <c r="B1315">
        <v>0</v>
      </c>
      <c r="C1315">
        <v>565</v>
      </c>
    </row>
    <row r="1316" spans="1:3" x14ac:dyDescent="0.25">
      <c r="A1316">
        <v>18</v>
      </c>
      <c r="B1316">
        <v>0</v>
      </c>
      <c r="C1316">
        <v>565</v>
      </c>
    </row>
    <row r="1317" spans="1:3" x14ac:dyDescent="0.25">
      <c r="A1317">
        <v>19</v>
      </c>
      <c r="B1317">
        <v>0</v>
      </c>
      <c r="C1317">
        <v>565</v>
      </c>
    </row>
    <row r="1318" spans="1:3" x14ac:dyDescent="0.25">
      <c r="A1318">
        <v>16</v>
      </c>
      <c r="B1318">
        <v>0</v>
      </c>
      <c r="C1318">
        <v>565</v>
      </c>
    </row>
    <row r="1319" spans="1:3" x14ac:dyDescent="0.25">
      <c r="A1319">
        <v>14</v>
      </c>
      <c r="B1319">
        <v>0</v>
      </c>
      <c r="C1319">
        <v>565</v>
      </c>
    </row>
    <row r="1320" spans="1:3" x14ac:dyDescent="0.25">
      <c r="A1320">
        <v>21</v>
      </c>
      <c r="B1320">
        <v>0</v>
      </c>
      <c r="C1320">
        <v>565</v>
      </c>
    </row>
    <row r="1321" spans="1:3" x14ac:dyDescent="0.25">
      <c r="A1321">
        <v>20</v>
      </c>
      <c r="B1321">
        <v>0</v>
      </c>
      <c r="C1321">
        <v>536</v>
      </c>
    </row>
    <row r="1322" spans="1:3" x14ac:dyDescent="0.25">
      <c r="A1322">
        <v>15</v>
      </c>
      <c r="B1322">
        <v>0</v>
      </c>
      <c r="C1322">
        <v>536</v>
      </c>
    </row>
    <row r="1323" spans="1:3" x14ac:dyDescent="0.25">
      <c r="A1323">
        <v>15</v>
      </c>
      <c r="B1323">
        <v>0</v>
      </c>
      <c r="C1323">
        <v>536</v>
      </c>
    </row>
    <row r="1324" spans="1:3" x14ac:dyDescent="0.25">
      <c r="A1324">
        <v>15</v>
      </c>
      <c r="B1324">
        <v>0</v>
      </c>
      <c r="C1324">
        <v>536</v>
      </c>
    </row>
    <row r="1325" spans="1:3" x14ac:dyDescent="0.25">
      <c r="A1325">
        <v>17</v>
      </c>
      <c r="B1325">
        <v>0</v>
      </c>
      <c r="C1325">
        <v>536</v>
      </c>
    </row>
    <row r="1326" spans="1:3" x14ac:dyDescent="0.25">
      <c r="A1326">
        <v>15</v>
      </c>
      <c r="B1326">
        <v>0</v>
      </c>
      <c r="C1326">
        <v>536</v>
      </c>
    </row>
    <row r="1327" spans="1:3" x14ac:dyDescent="0.25">
      <c r="A1327">
        <v>15</v>
      </c>
      <c r="B1327">
        <v>0</v>
      </c>
      <c r="C1327">
        <v>536</v>
      </c>
    </row>
    <row r="1328" spans="1:3" x14ac:dyDescent="0.25">
      <c r="A1328">
        <v>27</v>
      </c>
      <c r="B1328">
        <v>0</v>
      </c>
      <c r="C1328">
        <v>536</v>
      </c>
    </row>
    <row r="1329" spans="1:3" x14ac:dyDescent="0.25">
      <c r="A1329">
        <v>15</v>
      </c>
      <c r="B1329">
        <v>0</v>
      </c>
      <c r="C1329">
        <v>476</v>
      </c>
    </row>
    <row r="1330" spans="1:3" x14ac:dyDescent="0.25">
      <c r="A1330">
        <v>15</v>
      </c>
      <c r="B1330">
        <v>0</v>
      </c>
      <c r="C1330">
        <v>476</v>
      </c>
    </row>
    <row r="1331" spans="1:3" x14ac:dyDescent="0.25">
      <c r="A1331">
        <v>16</v>
      </c>
      <c r="B1331">
        <v>0</v>
      </c>
      <c r="C1331">
        <v>476</v>
      </c>
    </row>
    <row r="1332" spans="1:3" x14ac:dyDescent="0.25">
      <c r="A1332">
        <v>17</v>
      </c>
      <c r="B1332">
        <v>0</v>
      </c>
      <c r="C1332">
        <v>476</v>
      </c>
    </row>
    <row r="1333" spans="1:3" x14ac:dyDescent="0.25">
      <c r="A1333">
        <v>17</v>
      </c>
      <c r="B1333">
        <v>0</v>
      </c>
      <c r="C1333">
        <v>476</v>
      </c>
    </row>
    <row r="1334" spans="1:3" x14ac:dyDescent="0.25">
      <c r="A1334">
        <v>17</v>
      </c>
      <c r="B1334">
        <v>0</v>
      </c>
      <c r="C1334">
        <v>476</v>
      </c>
    </row>
    <row r="1335" spans="1:3" x14ac:dyDescent="0.25">
      <c r="A1335">
        <v>14</v>
      </c>
      <c r="B1335">
        <v>0</v>
      </c>
      <c r="C1335">
        <v>476</v>
      </c>
    </row>
    <row r="1336" spans="1:3" x14ac:dyDescent="0.25">
      <c r="A1336">
        <v>20</v>
      </c>
      <c r="B1336">
        <v>0</v>
      </c>
      <c r="C1336">
        <v>476</v>
      </c>
    </row>
    <row r="1337" spans="1:3" x14ac:dyDescent="0.25">
      <c r="A1337">
        <v>19</v>
      </c>
      <c r="B1337">
        <v>0</v>
      </c>
      <c r="C1337">
        <v>476</v>
      </c>
    </row>
    <row r="1338" spans="1:3" x14ac:dyDescent="0.25">
      <c r="A1338">
        <v>15</v>
      </c>
      <c r="B1338">
        <v>0</v>
      </c>
      <c r="C1338">
        <v>468</v>
      </c>
    </row>
    <row r="1339" spans="1:3" x14ac:dyDescent="0.25">
      <c r="A1339">
        <v>15</v>
      </c>
      <c r="B1339">
        <v>0</v>
      </c>
      <c r="C1339">
        <v>468</v>
      </c>
    </row>
    <row r="1340" spans="1:3" x14ac:dyDescent="0.25">
      <c r="A1340">
        <v>19</v>
      </c>
      <c r="B1340">
        <v>0</v>
      </c>
      <c r="C1340">
        <v>468</v>
      </c>
    </row>
    <row r="1341" spans="1:3" x14ac:dyDescent="0.25">
      <c r="A1341">
        <v>19</v>
      </c>
      <c r="B1341">
        <v>0</v>
      </c>
      <c r="C1341">
        <v>468</v>
      </c>
    </row>
    <row r="1342" spans="1:3" x14ac:dyDescent="0.25">
      <c r="A1342">
        <v>17</v>
      </c>
      <c r="B1342">
        <v>0</v>
      </c>
      <c r="C1342">
        <v>468</v>
      </c>
    </row>
    <row r="1343" spans="1:3" x14ac:dyDescent="0.25">
      <c r="A1343">
        <v>20</v>
      </c>
      <c r="B1343">
        <v>0</v>
      </c>
      <c r="C1343">
        <v>468</v>
      </c>
    </row>
    <row r="1344" spans="1:3" x14ac:dyDescent="0.25">
      <c r="A1344">
        <v>16</v>
      </c>
      <c r="B1344">
        <v>0</v>
      </c>
      <c r="C1344">
        <v>468</v>
      </c>
    </row>
    <row r="1345" spans="1:3" x14ac:dyDescent="0.25">
      <c r="A1345">
        <v>17</v>
      </c>
      <c r="B1345">
        <v>0</v>
      </c>
      <c r="C1345">
        <v>468</v>
      </c>
    </row>
    <row r="1346" spans="1:3" x14ac:dyDescent="0.25">
      <c r="A1346">
        <v>14</v>
      </c>
      <c r="B1346">
        <v>0</v>
      </c>
      <c r="C1346">
        <v>468</v>
      </c>
    </row>
    <row r="1347" spans="1:3" x14ac:dyDescent="0.25">
      <c r="A1347">
        <v>14</v>
      </c>
      <c r="B1347">
        <v>0</v>
      </c>
      <c r="C1347">
        <v>515</v>
      </c>
    </row>
    <row r="1348" spans="1:3" x14ac:dyDescent="0.25">
      <c r="A1348">
        <v>16</v>
      </c>
      <c r="B1348">
        <v>0</v>
      </c>
      <c r="C1348">
        <v>515</v>
      </c>
    </row>
    <row r="1349" spans="1:3" x14ac:dyDescent="0.25">
      <c r="A1349">
        <v>15</v>
      </c>
      <c r="B1349">
        <v>0</v>
      </c>
      <c r="C1349">
        <v>515</v>
      </c>
    </row>
    <row r="1350" spans="1:3" x14ac:dyDescent="0.25">
      <c r="A1350">
        <v>19</v>
      </c>
      <c r="B1350">
        <v>0</v>
      </c>
      <c r="C1350">
        <v>515</v>
      </c>
    </row>
    <row r="1351" spans="1:3" x14ac:dyDescent="0.25">
      <c r="A1351">
        <v>15</v>
      </c>
      <c r="B1351">
        <v>0</v>
      </c>
      <c r="C1351">
        <v>515</v>
      </c>
    </row>
    <row r="1352" spans="1:3" x14ac:dyDescent="0.25">
      <c r="A1352">
        <v>14</v>
      </c>
      <c r="B1352">
        <v>0</v>
      </c>
      <c r="C1352">
        <v>515</v>
      </c>
    </row>
    <row r="1353" spans="1:3" x14ac:dyDescent="0.25">
      <c r="A1353">
        <v>21</v>
      </c>
      <c r="B1353">
        <v>0</v>
      </c>
      <c r="C1353">
        <v>515</v>
      </c>
    </row>
    <row r="1354" spans="1:3" x14ac:dyDescent="0.25">
      <c r="A1354">
        <v>18</v>
      </c>
      <c r="B1354">
        <v>0</v>
      </c>
      <c r="C1354">
        <v>515</v>
      </c>
    </row>
    <row r="1355" spans="1:3" x14ac:dyDescent="0.25">
      <c r="A1355">
        <v>23</v>
      </c>
      <c r="B1355">
        <v>0</v>
      </c>
      <c r="C1355">
        <v>515</v>
      </c>
    </row>
    <row r="1356" spans="1:3" x14ac:dyDescent="0.25">
      <c r="A1356">
        <v>18</v>
      </c>
      <c r="B1356">
        <v>0</v>
      </c>
      <c r="C1356">
        <v>446</v>
      </c>
    </row>
    <row r="1357" spans="1:3" x14ac:dyDescent="0.25">
      <c r="A1357">
        <v>12</v>
      </c>
      <c r="B1357">
        <v>0</v>
      </c>
      <c r="C1357">
        <v>446</v>
      </c>
    </row>
    <row r="1358" spans="1:3" x14ac:dyDescent="0.25">
      <c r="A1358">
        <v>13</v>
      </c>
      <c r="B1358">
        <v>0</v>
      </c>
      <c r="C1358">
        <v>446</v>
      </c>
    </row>
    <row r="1359" spans="1:3" x14ac:dyDescent="0.25">
      <c r="A1359">
        <v>16</v>
      </c>
      <c r="B1359">
        <v>0</v>
      </c>
      <c r="C1359">
        <v>446</v>
      </c>
    </row>
    <row r="1360" spans="1:3" x14ac:dyDescent="0.25">
      <c r="A1360">
        <v>21</v>
      </c>
      <c r="B1360">
        <v>0</v>
      </c>
      <c r="C1360">
        <v>446</v>
      </c>
    </row>
    <row r="1361" spans="1:3" x14ac:dyDescent="0.25">
      <c r="A1361">
        <v>18</v>
      </c>
      <c r="B1361">
        <v>0</v>
      </c>
      <c r="C1361">
        <v>446</v>
      </c>
    </row>
    <row r="1362" spans="1:3" x14ac:dyDescent="0.25">
      <c r="A1362">
        <v>12</v>
      </c>
      <c r="B1362">
        <v>0</v>
      </c>
      <c r="C1362">
        <v>446</v>
      </c>
    </row>
    <row r="1363" spans="1:3" x14ac:dyDescent="0.25">
      <c r="A1363">
        <v>14</v>
      </c>
      <c r="B1363">
        <v>0</v>
      </c>
      <c r="C1363">
        <v>446</v>
      </c>
    </row>
    <row r="1364" spans="1:3" x14ac:dyDescent="0.25">
      <c r="A1364">
        <v>17</v>
      </c>
      <c r="B1364">
        <v>0</v>
      </c>
      <c r="C1364">
        <v>446</v>
      </c>
    </row>
    <row r="1365" spans="1:3" x14ac:dyDescent="0.25">
      <c r="A1365">
        <v>15</v>
      </c>
      <c r="B1365">
        <v>0</v>
      </c>
      <c r="C1365">
        <v>519</v>
      </c>
    </row>
    <row r="1366" spans="1:3" x14ac:dyDescent="0.25">
      <c r="A1366">
        <v>18</v>
      </c>
      <c r="B1366">
        <v>0</v>
      </c>
      <c r="C1366">
        <v>519</v>
      </c>
    </row>
    <row r="1367" spans="1:3" x14ac:dyDescent="0.25">
      <c r="A1367">
        <v>17</v>
      </c>
      <c r="B1367">
        <v>0</v>
      </c>
      <c r="C1367">
        <v>519</v>
      </c>
    </row>
    <row r="1368" spans="1:3" x14ac:dyDescent="0.25">
      <c r="A1368">
        <v>15</v>
      </c>
      <c r="B1368">
        <v>0</v>
      </c>
      <c r="C1368">
        <v>519</v>
      </c>
    </row>
    <row r="1369" spans="1:3" x14ac:dyDescent="0.25">
      <c r="A1369">
        <v>19</v>
      </c>
      <c r="B1369">
        <v>0</v>
      </c>
      <c r="C1369">
        <v>519</v>
      </c>
    </row>
    <row r="1370" spans="1:3" x14ac:dyDescent="0.25">
      <c r="A1370">
        <v>18</v>
      </c>
      <c r="B1370">
        <v>0</v>
      </c>
      <c r="C1370">
        <v>519</v>
      </c>
    </row>
    <row r="1371" spans="1:3" x14ac:dyDescent="0.25">
      <c r="A1371">
        <v>17</v>
      </c>
      <c r="B1371">
        <v>0</v>
      </c>
      <c r="C1371">
        <v>519</v>
      </c>
    </row>
    <row r="1372" spans="1:3" x14ac:dyDescent="0.25">
      <c r="A1372">
        <v>16</v>
      </c>
      <c r="B1372">
        <v>0</v>
      </c>
      <c r="C1372">
        <v>519</v>
      </c>
    </row>
    <row r="1373" spans="1:3" x14ac:dyDescent="0.25">
      <c r="A1373">
        <v>14</v>
      </c>
      <c r="B1373">
        <v>0</v>
      </c>
      <c r="C1373">
        <v>519</v>
      </c>
    </row>
    <row r="1374" spans="1:3" x14ac:dyDescent="0.25">
      <c r="A1374">
        <v>13</v>
      </c>
      <c r="B1374">
        <v>0</v>
      </c>
      <c r="C1374">
        <v>464</v>
      </c>
    </row>
    <row r="1375" spans="1:3" x14ac:dyDescent="0.25">
      <c r="A1375">
        <v>14</v>
      </c>
      <c r="B1375">
        <v>0</v>
      </c>
      <c r="C1375">
        <v>464</v>
      </c>
    </row>
    <row r="1376" spans="1:3" x14ac:dyDescent="0.25">
      <c r="A1376">
        <v>14</v>
      </c>
      <c r="B1376">
        <v>0</v>
      </c>
      <c r="C1376">
        <v>464</v>
      </c>
    </row>
    <row r="1377" spans="1:3" x14ac:dyDescent="0.25">
      <c r="A1377">
        <v>17</v>
      </c>
      <c r="B1377">
        <v>0</v>
      </c>
      <c r="C1377">
        <v>464</v>
      </c>
    </row>
    <row r="1378" spans="1:3" x14ac:dyDescent="0.25">
      <c r="A1378">
        <v>21</v>
      </c>
      <c r="B1378">
        <v>0</v>
      </c>
      <c r="C1378">
        <v>464</v>
      </c>
    </row>
    <row r="1379" spans="1:3" x14ac:dyDescent="0.25">
      <c r="A1379">
        <v>17</v>
      </c>
      <c r="B1379">
        <v>0</v>
      </c>
      <c r="C1379">
        <v>464</v>
      </c>
    </row>
    <row r="1380" spans="1:3" x14ac:dyDescent="0.25">
      <c r="A1380">
        <v>16</v>
      </c>
      <c r="B1380">
        <v>0</v>
      </c>
      <c r="C1380">
        <v>464</v>
      </c>
    </row>
    <row r="1381" spans="1:3" x14ac:dyDescent="0.25">
      <c r="A1381">
        <v>17</v>
      </c>
      <c r="B1381">
        <v>0</v>
      </c>
      <c r="C1381">
        <v>464</v>
      </c>
    </row>
    <row r="1382" spans="1:3" x14ac:dyDescent="0.25">
      <c r="A1382">
        <v>15</v>
      </c>
      <c r="B1382">
        <v>0</v>
      </c>
      <c r="C1382">
        <v>464</v>
      </c>
    </row>
    <row r="1383" spans="1:3" x14ac:dyDescent="0.25">
      <c r="A1383">
        <v>16</v>
      </c>
      <c r="B1383">
        <v>0</v>
      </c>
      <c r="C1383">
        <v>437</v>
      </c>
    </row>
    <row r="1384" spans="1:3" x14ac:dyDescent="0.25">
      <c r="A1384">
        <v>15</v>
      </c>
      <c r="B1384">
        <v>0</v>
      </c>
      <c r="C1384">
        <v>437</v>
      </c>
    </row>
    <row r="1385" spans="1:3" x14ac:dyDescent="0.25">
      <c r="A1385">
        <v>16</v>
      </c>
      <c r="B1385">
        <v>0</v>
      </c>
      <c r="C1385">
        <v>437</v>
      </c>
    </row>
    <row r="1386" spans="1:3" x14ac:dyDescent="0.25">
      <c r="A1386">
        <v>20</v>
      </c>
      <c r="B1386">
        <v>0</v>
      </c>
      <c r="C1386">
        <v>437</v>
      </c>
    </row>
    <row r="1387" spans="1:3" x14ac:dyDescent="0.25">
      <c r="A1387">
        <v>21</v>
      </c>
      <c r="B1387">
        <v>0</v>
      </c>
      <c r="C1387">
        <v>437</v>
      </c>
    </row>
    <row r="1388" spans="1:3" x14ac:dyDescent="0.25">
      <c r="A1388">
        <v>18</v>
      </c>
      <c r="B1388">
        <v>0</v>
      </c>
      <c r="C1388">
        <v>437</v>
      </c>
    </row>
    <row r="1389" spans="1:3" x14ac:dyDescent="0.25">
      <c r="A1389">
        <v>18</v>
      </c>
      <c r="B1389">
        <v>0</v>
      </c>
      <c r="C1389">
        <v>437</v>
      </c>
    </row>
    <row r="1390" spans="1:3" x14ac:dyDescent="0.25">
      <c r="A1390">
        <v>19</v>
      </c>
      <c r="B1390">
        <v>0</v>
      </c>
      <c r="C1390">
        <v>437</v>
      </c>
    </row>
    <row r="1391" spans="1:3" x14ac:dyDescent="0.25">
      <c r="A1391">
        <v>16</v>
      </c>
      <c r="B1391">
        <v>0</v>
      </c>
      <c r="C1391">
        <v>437</v>
      </c>
    </row>
    <row r="1392" spans="1:3" x14ac:dyDescent="0.25">
      <c r="A1392">
        <v>15</v>
      </c>
      <c r="B1392">
        <v>0</v>
      </c>
      <c r="C1392">
        <v>522</v>
      </c>
    </row>
    <row r="1393" spans="1:3" x14ac:dyDescent="0.25">
      <c r="A1393">
        <v>14</v>
      </c>
      <c r="B1393">
        <v>0</v>
      </c>
      <c r="C1393">
        <v>522</v>
      </c>
    </row>
    <row r="1394" spans="1:3" x14ac:dyDescent="0.25">
      <c r="A1394">
        <v>19</v>
      </c>
      <c r="B1394">
        <v>0</v>
      </c>
      <c r="C1394">
        <v>522</v>
      </c>
    </row>
    <row r="1395" spans="1:3" x14ac:dyDescent="0.25">
      <c r="A1395">
        <v>19</v>
      </c>
      <c r="B1395">
        <v>0</v>
      </c>
      <c r="C1395">
        <v>522</v>
      </c>
    </row>
    <row r="1396" spans="1:3" x14ac:dyDescent="0.25">
      <c r="A1396">
        <v>15</v>
      </c>
      <c r="B1396">
        <v>0</v>
      </c>
      <c r="C1396">
        <v>522</v>
      </c>
    </row>
    <row r="1397" spans="1:3" x14ac:dyDescent="0.25">
      <c r="A1397">
        <v>17</v>
      </c>
      <c r="B1397">
        <v>0</v>
      </c>
      <c r="C1397">
        <v>522</v>
      </c>
    </row>
    <row r="1398" spans="1:3" x14ac:dyDescent="0.25">
      <c r="A1398">
        <v>16</v>
      </c>
      <c r="B1398">
        <v>0</v>
      </c>
      <c r="C1398">
        <v>522</v>
      </c>
    </row>
    <row r="1399" spans="1:3" x14ac:dyDescent="0.25">
      <c r="A1399">
        <v>18</v>
      </c>
      <c r="B1399">
        <v>0</v>
      </c>
      <c r="C1399">
        <v>522</v>
      </c>
    </row>
    <row r="1400" spans="1:3" x14ac:dyDescent="0.25">
      <c r="A1400">
        <v>18</v>
      </c>
      <c r="B1400">
        <v>0</v>
      </c>
      <c r="C1400">
        <v>522</v>
      </c>
    </row>
    <row r="1401" spans="1:3" x14ac:dyDescent="0.25">
      <c r="A1401">
        <v>15</v>
      </c>
      <c r="B1401">
        <v>0</v>
      </c>
      <c r="C1401">
        <v>502</v>
      </c>
    </row>
    <row r="1402" spans="1:3" x14ac:dyDescent="0.25">
      <c r="A1402">
        <v>17</v>
      </c>
      <c r="B1402">
        <v>0</v>
      </c>
      <c r="C1402">
        <v>502</v>
      </c>
    </row>
    <row r="1403" spans="1:3" x14ac:dyDescent="0.25">
      <c r="A1403">
        <v>18</v>
      </c>
      <c r="B1403">
        <v>0</v>
      </c>
      <c r="C1403">
        <v>502</v>
      </c>
    </row>
    <row r="1404" spans="1:3" x14ac:dyDescent="0.25">
      <c r="A1404">
        <v>14</v>
      </c>
      <c r="B1404">
        <v>0</v>
      </c>
      <c r="C1404">
        <v>502</v>
      </c>
    </row>
    <row r="1405" spans="1:3" x14ac:dyDescent="0.25">
      <c r="A1405">
        <v>15</v>
      </c>
      <c r="B1405">
        <v>0</v>
      </c>
      <c r="C1405">
        <v>502</v>
      </c>
    </row>
    <row r="1406" spans="1:3" x14ac:dyDescent="0.25">
      <c r="A1406">
        <v>14</v>
      </c>
      <c r="B1406">
        <v>0</v>
      </c>
      <c r="C1406">
        <v>502</v>
      </c>
    </row>
    <row r="1407" spans="1:3" x14ac:dyDescent="0.25">
      <c r="A1407">
        <v>18</v>
      </c>
      <c r="B1407">
        <v>0</v>
      </c>
      <c r="C1407">
        <v>502</v>
      </c>
    </row>
    <row r="1408" spans="1:3" x14ac:dyDescent="0.25">
      <c r="A1408">
        <v>14</v>
      </c>
      <c r="B1408">
        <v>0</v>
      </c>
      <c r="C1408">
        <v>502</v>
      </c>
    </row>
    <row r="1409" spans="1:3" x14ac:dyDescent="0.25">
      <c r="A1409">
        <v>15</v>
      </c>
      <c r="B1409">
        <v>0</v>
      </c>
      <c r="C1409">
        <v>502</v>
      </c>
    </row>
    <row r="1410" spans="1:3" x14ac:dyDescent="0.25">
      <c r="A1410">
        <v>14</v>
      </c>
      <c r="B1410">
        <v>0</v>
      </c>
      <c r="C1410">
        <v>464</v>
      </c>
    </row>
    <row r="1411" spans="1:3" x14ac:dyDescent="0.25">
      <c r="A1411">
        <v>16</v>
      </c>
      <c r="B1411">
        <v>0</v>
      </c>
      <c r="C1411">
        <v>464</v>
      </c>
    </row>
    <row r="1412" spans="1:3" x14ac:dyDescent="0.25">
      <c r="A1412">
        <v>20</v>
      </c>
      <c r="B1412">
        <v>0</v>
      </c>
      <c r="C1412">
        <v>464</v>
      </c>
    </row>
    <row r="1413" spans="1:3" x14ac:dyDescent="0.25">
      <c r="A1413">
        <v>14</v>
      </c>
      <c r="B1413">
        <v>0</v>
      </c>
      <c r="C1413">
        <v>464</v>
      </c>
    </row>
    <row r="1414" spans="1:3" x14ac:dyDescent="0.25">
      <c r="A1414">
        <v>15</v>
      </c>
      <c r="B1414">
        <v>0</v>
      </c>
      <c r="C1414">
        <v>464</v>
      </c>
    </row>
    <row r="1415" spans="1:3" x14ac:dyDescent="0.25">
      <c r="A1415">
        <v>16</v>
      </c>
      <c r="B1415">
        <v>0</v>
      </c>
      <c r="C1415">
        <v>464</v>
      </c>
    </row>
    <row r="1416" spans="1:3" x14ac:dyDescent="0.25">
      <c r="A1416">
        <v>18</v>
      </c>
      <c r="B1416">
        <v>0</v>
      </c>
      <c r="C1416">
        <v>464</v>
      </c>
    </row>
    <row r="1417" spans="1:3" x14ac:dyDescent="0.25">
      <c r="A1417">
        <v>17</v>
      </c>
      <c r="B1417">
        <v>0</v>
      </c>
      <c r="C1417">
        <v>464</v>
      </c>
    </row>
    <row r="1418" spans="1:3" x14ac:dyDescent="0.25">
      <c r="A1418">
        <v>14</v>
      </c>
      <c r="B1418">
        <v>0</v>
      </c>
      <c r="C1418">
        <v>464</v>
      </c>
    </row>
    <row r="1419" spans="1:3" x14ac:dyDescent="0.25">
      <c r="A1419">
        <v>15</v>
      </c>
      <c r="B1419">
        <v>0</v>
      </c>
      <c r="C1419">
        <v>467</v>
      </c>
    </row>
    <row r="1420" spans="1:3" x14ac:dyDescent="0.25">
      <c r="A1420">
        <v>19</v>
      </c>
      <c r="B1420">
        <v>0</v>
      </c>
      <c r="C1420">
        <v>467</v>
      </c>
    </row>
    <row r="1421" spans="1:3" x14ac:dyDescent="0.25">
      <c r="A1421">
        <v>14</v>
      </c>
      <c r="B1421">
        <v>0</v>
      </c>
      <c r="C1421">
        <v>467</v>
      </c>
    </row>
    <row r="1422" spans="1:3" x14ac:dyDescent="0.25">
      <c r="A1422">
        <v>18</v>
      </c>
      <c r="B1422">
        <v>0</v>
      </c>
      <c r="C1422">
        <v>467</v>
      </c>
    </row>
    <row r="1423" spans="1:3" x14ac:dyDescent="0.25">
      <c r="A1423">
        <v>16</v>
      </c>
      <c r="B1423">
        <v>0</v>
      </c>
      <c r="C1423">
        <v>467</v>
      </c>
    </row>
    <row r="1424" spans="1:3" x14ac:dyDescent="0.25">
      <c r="A1424">
        <v>16</v>
      </c>
      <c r="B1424">
        <v>0</v>
      </c>
      <c r="C1424">
        <v>467</v>
      </c>
    </row>
    <row r="1425" spans="1:3" x14ac:dyDescent="0.25">
      <c r="A1425">
        <v>18</v>
      </c>
      <c r="B1425">
        <v>0</v>
      </c>
      <c r="C1425">
        <v>467</v>
      </c>
    </row>
    <row r="1426" spans="1:3" x14ac:dyDescent="0.25">
      <c r="A1426">
        <v>14</v>
      </c>
      <c r="B1426">
        <v>0</v>
      </c>
      <c r="C1426">
        <v>467</v>
      </c>
    </row>
    <row r="1427" spans="1:3" x14ac:dyDescent="0.25">
      <c r="A1427">
        <v>18</v>
      </c>
      <c r="B1427">
        <v>0</v>
      </c>
      <c r="C1427">
        <v>467</v>
      </c>
    </row>
    <row r="1428" spans="1:3" x14ac:dyDescent="0.25">
      <c r="A1428">
        <v>22</v>
      </c>
      <c r="B1428">
        <v>0</v>
      </c>
      <c r="C1428">
        <v>466</v>
      </c>
    </row>
    <row r="1429" spans="1:3" x14ac:dyDescent="0.25">
      <c r="A1429">
        <v>19</v>
      </c>
      <c r="B1429">
        <v>0</v>
      </c>
      <c r="C1429">
        <v>466</v>
      </c>
    </row>
    <row r="1430" spans="1:3" x14ac:dyDescent="0.25">
      <c r="A1430">
        <v>18</v>
      </c>
      <c r="B1430">
        <v>0</v>
      </c>
      <c r="C1430">
        <v>466</v>
      </c>
    </row>
    <row r="1431" spans="1:3" x14ac:dyDescent="0.25">
      <c r="A1431">
        <v>16</v>
      </c>
      <c r="B1431">
        <v>0</v>
      </c>
      <c r="C1431">
        <v>466</v>
      </c>
    </row>
    <row r="1432" spans="1:3" x14ac:dyDescent="0.25">
      <c r="A1432">
        <v>12</v>
      </c>
      <c r="B1432">
        <v>0</v>
      </c>
      <c r="C1432">
        <v>466</v>
      </c>
    </row>
    <row r="1433" spans="1:3" x14ac:dyDescent="0.25">
      <c r="A1433">
        <v>14</v>
      </c>
      <c r="B1433">
        <v>0</v>
      </c>
      <c r="C1433">
        <v>466</v>
      </c>
    </row>
    <row r="1434" spans="1:3" x14ac:dyDescent="0.25">
      <c r="A1434">
        <v>16</v>
      </c>
      <c r="B1434">
        <v>0</v>
      </c>
      <c r="C1434">
        <v>466</v>
      </c>
    </row>
    <row r="1435" spans="1:3" x14ac:dyDescent="0.25">
      <c r="A1435">
        <v>19</v>
      </c>
      <c r="B1435">
        <v>0</v>
      </c>
      <c r="C1435">
        <v>466</v>
      </c>
    </row>
    <row r="1436" spans="1:3" x14ac:dyDescent="0.25">
      <c r="A1436">
        <v>18</v>
      </c>
      <c r="B1436">
        <v>0</v>
      </c>
      <c r="C1436">
        <v>466</v>
      </c>
    </row>
    <row r="1437" spans="1:3" x14ac:dyDescent="0.25">
      <c r="A1437">
        <v>21</v>
      </c>
      <c r="B1437">
        <v>0</v>
      </c>
      <c r="C1437">
        <v>452</v>
      </c>
    </row>
    <row r="1438" spans="1:3" x14ac:dyDescent="0.25">
      <c r="A1438">
        <v>16</v>
      </c>
      <c r="B1438">
        <v>0</v>
      </c>
      <c r="C1438">
        <v>452</v>
      </c>
    </row>
    <row r="1439" spans="1:3" x14ac:dyDescent="0.25">
      <c r="A1439">
        <v>20</v>
      </c>
      <c r="B1439">
        <v>0</v>
      </c>
      <c r="C1439">
        <v>452</v>
      </c>
    </row>
    <row r="1440" spans="1:3" x14ac:dyDescent="0.25">
      <c r="A1440">
        <v>17</v>
      </c>
      <c r="B1440">
        <v>0</v>
      </c>
      <c r="C1440">
        <v>452</v>
      </c>
    </row>
    <row r="1441" spans="1:3" x14ac:dyDescent="0.25">
      <c r="A1441">
        <v>18</v>
      </c>
      <c r="B1441">
        <v>0</v>
      </c>
      <c r="C1441">
        <v>452</v>
      </c>
    </row>
    <row r="1442" spans="1:3" x14ac:dyDescent="0.25">
      <c r="A1442">
        <v>16</v>
      </c>
      <c r="B1442">
        <v>0</v>
      </c>
      <c r="C1442">
        <v>452</v>
      </c>
    </row>
    <row r="1443" spans="1:3" x14ac:dyDescent="0.25">
      <c r="A1443">
        <v>15</v>
      </c>
      <c r="B1443">
        <v>0</v>
      </c>
      <c r="C1443">
        <v>452</v>
      </c>
    </row>
    <row r="1444" spans="1:3" x14ac:dyDescent="0.25">
      <c r="A1444">
        <v>15</v>
      </c>
      <c r="B1444">
        <v>0</v>
      </c>
      <c r="C1444">
        <v>452</v>
      </c>
    </row>
    <row r="1445" spans="1:3" x14ac:dyDescent="0.25">
      <c r="A1445">
        <v>20</v>
      </c>
      <c r="B1445">
        <v>0</v>
      </c>
      <c r="C1445">
        <v>452</v>
      </c>
    </row>
    <row r="1446" spans="1:3" x14ac:dyDescent="0.25">
      <c r="A1446">
        <v>18</v>
      </c>
      <c r="B1446">
        <v>0</v>
      </c>
      <c r="C1446">
        <v>463</v>
      </c>
    </row>
    <row r="1447" spans="1:3" x14ac:dyDescent="0.25">
      <c r="A1447">
        <v>12</v>
      </c>
      <c r="B1447">
        <v>0</v>
      </c>
      <c r="C1447">
        <v>463</v>
      </c>
    </row>
    <row r="1448" spans="1:3" x14ac:dyDescent="0.25">
      <c r="A1448">
        <v>12</v>
      </c>
      <c r="B1448">
        <v>0</v>
      </c>
      <c r="C1448">
        <v>463</v>
      </c>
    </row>
    <row r="1449" spans="1:3" x14ac:dyDescent="0.25">
      <c r="A1449">
        <v>18</v>
      </c>
      <c r="B1449">
        <v>0</v>
      </c>
      <c r="C1449">
        <v>463</v>
      </c>
    </row>
    <row r="1450" spans="1:3" x14ac:dyDescent="0.25">
      <c r="A1450">
        <v>18</v>
      </c>
      <c r="B1450">
        <v>0</v>
      </c>
      <c r="C1450">
        <v>463</v>
      </c>
    </row>
    <row r="1451" spans="1:3" x14ac:dyDescent="0.25">
      <c r="A1451">
        <v>16</v>
      </c>
      <c r="B1451">
        <v>0</v>
      </c>
      <c r="C1451">
        <v>463</v>
      </c>
    </row>
    <row r="1452" spans="1:3" x14ac:dyDescent="0.25">
      <c r="A1452">
        <v>16</v>
      </c>
      <c r="B1452">
        <v>0</v>
      </c>
      <c r="C1452">
        <v>463</v>
      </c>
    </row>
    <row r="1453" spans="1:3" x14ac:dyDescent="0.25">
      <c r="A1453">
        <v>20</v>
      </c>
      <c r="B1453">
        <v>0</v>
      </c>
      <c r="C1453">
        <v>463</v>
      </c>
    </row>
    <row r="1454" spans="1:3" x14ac:dyDescent="0.25">
      <c r="A1454">
        <v>21</v>
      </c>
      <c r="B1454">
        <v>0</v>
      </c>
      <c r="C1454">
        <v>463</v>
      </c>
    </row>
    <row r="1455" spans="1:3" x14ac:dyDescent="0.25">
      <c r="A1455">
        <v>14</v>
      </c>
      <c r="B1455">
        <v>0</v>
      </c>
      <c r="C1455">
        <v>500</v>
      </c>
    </row>
    <row r="1456" spans="1:3" x14ac:dyDescent="0.25">
      <c r="A1456">
        <v>20</v>
      </c>
      <c r="B1456">
        <v>0</v>
      </c>
      <c r="C1456">
        <v>500</v>
      </c>
    </row>
    <row r="1457" spans="1:3" x14ac:dyDescent="0.25">
      <c r="A1457">
        <v>14</v>
      </c>
      <c r="B1457">
        <v>0</v>
      </c>
      <c r="C1457">
        <v>500</v>
      </c>
    </row>
    <row r="1458" spans="1:3" x14ac:dyDescent="0.25">
      <c r="A1458">
        <v>13</v>
      </c>
      <c r="B1458">
        <v>0</v>
      </c>
      <c r="C1458">
        <v>500</v>
      </c>
    </row>
    <row r="1459" spans="1:3" x14ac:dyDescent="0.25">
      <c r="A1459">
        <v>15</v>
      </c>
      <c r="B1459">
        <v>0</v>
      </c>
      <c r="C1459">
        <v>500</v>
      </c>
    </row>
    <row r="1460" spans="1:3" x14ac:dyDescent="0.25">
      <c r="A1460">
        <v>18</v>
      </c>
      <c r="B1460">
        <v>0</v>
      </c>
      <c r="C1460">
        <v>500</v>
      </c>
    </row>
    <row r="1461" spans="1:3" x14ac:dyDescent="0.25">
      <c r="A1461">
        <v>20</v>
      </c>
      <c r="B1461">
        <v>0</v>
      </c>
      <c r="C1461">
        <v>500</v>
      </c>
    </row>
    <row r="1462" spans="1:3" x14ac:dyDescent="0.25">
      <c r="A1462">
        <v>21</v>
      </c>
      <c r="B1462">
        <v>0</v>
      </c>
      <c r="C1462">
        <v>500</v>
      </c>
    </row>
    <row r="1463" spans="1:3" x14ac:dyDescent="0.25">
      <c r="A1463">
        <v>15</v>
      </c>
      <c r="B1463">
        <v>0</v>
      </c>
      <c r="C1463">
        <v>500</v>
      </c>
    </row>
    <row r="1464" spans="1:3" x14ac:dyDescent="0.25">
      <c r="A1464">
        <v>17</v>
      </c>
      <c r="B1464">
        <v>0</v>
      </c>
      <c r="C1464">
        <v>386</v>
      </c>
    </row>
    <row r="1465" spans="1:3" x14ac:dyDescent="0.25">
      <c r="A1465">
        <v>15</v>
      </c>
      <c r="B1465">
        <v>0</v>
      </c>
      <c r="C1465">
        <v>386</v>
      </c>
    </row>
    <row r="1466" spans="1:3" x14ac:dyDescent="0.25">
      <c r="A1466">
        <v>17</v>
      </c>
      <c r="B1466">
        <v>0</v>
      </c>
      <c r="C1466">
        <v>386</v>
      </c>
    </row>
    <row r="1467" spans="1:3" x14ac:dyDescent="0.25">
      <c r="A1467">
        <v>13</v>
      </c>
      <c r="B1467">
        <v>0</v>
      </c>
      <c r="C1467">
        <v>386</v>
      </c>
    </row>
    <row r="1468" spans="1:3" x14ac:dyDescent="0.25">
      <c r="A1468">
        <v>16</v>
      </c>
      <c r="B1468">
        <v>0</v>
      </c>
      <c r="C1468">
        <v>386</v>
      </c>
    </row>
    <row r="1469" spans="1:3" x14ac:dyDescent="0.25">
      <c r="A1469">
        <v>16</v>
      </c>
      <c r="B1469">
        <v>0</v>
      </c>
      <c r="C1469">
        <v>386</v>
      </c>
    </row>
    <row r="1470" spans="1:3" x14ac:dyDescent="0.25">
      <c r="A1470">
        <v>19</v>
      </c>
      <c r="B1470">
        <v>0</v>
      </c>
      <c r="C1470">
        <v>386</v>
      </c>
    </row>
    <row r="1471" spans="1:3" x14ac:dyDescent="0.25">
      <c r="A1471">
        <v>16</v>
      </c>
      <c r="B1471">
        <v>0</v>
      </c>
      <c r="C1471">
        <v>386</v>
      </c>
    </row>
    <row r="1472" spans="1:3" x14ac:dyDescent="0.25">
      <c r="A1472">
        <v>15</v>
      </c>
      <c r="B1472">
        <v>0</v>
      </c>
      <c r="C1472">
        <v>386</v>
      </c>
    </row>
    <row r="1473" spans="1:3" x14ac:dyDescent="0.25">
      <c r="A1473">
        <v>19</v>
      </c>
      <c r="B1473">
        <v>0</v>
      </c>
      <c r="C1473">
        <v>483</v>
      </c>
    </row>
    <row r="1474" spans="1:3" x14ac:dyDescent="0.25">
      <c r="A1474">
        <v>17</v>
      </c>
      <c r="B1474">
        <v>0</v>
      </c>
      <c r="C1474">
        <v>483</v>
      </c>
    </row>
    <row r="1475" spans="1:3" x14ac:dyDescent="0.25">
      <c r="A1475">
        <v>16</v>
      </c>
      <c r="B1475">
        <v>0</v>
      </c>
      <c r="C1475">
        <v>483</v>
      </c>
    </row>
    <row r="1476" spans="1:3" x14ac:dyDescent="0.25">
      <c r="A1476">
        <v>16</v>
      </c>
      <c r="B1476">
        <v>0</v>
      </c>
      <c r="C1476">
        <v>483</v>
      </c>
    </row>
    <row r="1477" spans="1:3" x14ac:dyDescent="0.25">
      <c r="A1477">
        <v>16</v>
      </c>
      <c r="B1477">
        <v>0</v>
      </c>
      <c r="C1477">
        <v>483</v>
      </c>
    </row>
    <row r="1478" spans="1:3" x14ac:dyDescent="0.25">
      <c r="A1478">
        <v>18</v>
      </c>
      <c r="B1478">
        <v>0</v>
      </c>
      <c r="C1478">
        <v>483</v>
      </c>
    </row>
    <row r="1479" spans="1:3" x14ac:dyDescent="0.25">
      <c r="A1479">
        <v>20</v>
      </c>
      <c r="B1479">
        <v>0</v>
      </c>
      <c r="C1479">
        <v>483</v>
      </c>
    </row>
    <row r="1480" spans="1:3" x14ac:dyDescent="0.25">
      <c r="A1480">
        <v>15</v>
      </c>
      <c r="B1480">
        <v>0</v>
      </c>
      <c r="C1480">
        <v>483</v>
      </c>
    </row>
    <row r="1481" spans="1:3" x14ac:dyDescent="0.25">
      <c r="A1481">
        <v>15</v>
      </c>
      <c r="B1481">
        <v>0</v>
      </c>
      <c r="C1481">
        <v>483</v>
      </c>
    </row>
    <row r="1482" spans="1:3" x14ac:dyDescent="0.25">
      <c r="A1482">
        <v>15</v>
      </c>
      <c r="B1482">
        <v>0</v>
      </c>
      <c r="C1482">
        <v>500</v>
      </c>
    </row>
    <row r="1483" spans="1:3" x14ac:dyDescent="0.25">
      <c r="A1483">
        <v>12</v>
      </c>
      <c r="B1483">
        <v>0</v>
      </c>
      <c r="C1483">
        <v>500</v>
      </c>
    </row>
    <row r="1484" spans="1:3" x14ac:dyDescent="0.25">
      <c r="A1484">
        <v>18</v>
      </c>
      <c r="B1484">
        <v>0</v>
      </c>
      <c r="C1484">
        <v>500</v>
      </c>
    </row>
    <row r="1485" spans="1:3" x14ac:dyDescent="0.25">
      <c r="A1485">
        <v>13</v>
      </c>
      <c r="B1485">
        <v>0</v>
      </c>
      <c r="C1485">
        <v>500</v>
      </c>
    </row>
    <row r="1486" spans="1:3" x14ac:dyDescent="0.25">
      <c r="A1486">
        <v>17</v>
      </c>
      <c r="B1486">
        <v>0</v>
      </c>
      <c r="C1486">
        <v>500</v>
      </c>
    </row>
    <row r="1487" spans="1:3" x14ac:dyDescent="0.25">
      <c r="A1487">
        <v>21</v>
      </c>
      <c r="B1487">
        <v>0</v>
      </c>
      <c r="C1487">
        <v>500</v>
      </c>
    </row>
    <row r="1488" spans="1:3" x14ac:dyDescent="0.25">
      <c r="A1488">
        <v>22</v>
      </c>
      <c r="B1488">
        <v>0</v>
      </c>
      <c r="C1488">
        <v>500</v>
      </c>
    </row>
    <row r="1489" spans="1:3" x14ac:dyDescent="0.25">
      <c r="A1489">
        <v>18</v>
      </c>
      <c r="B1489">
        <v>0</v>
      </c>
      <c r="C1489">
        <v>500</v>
      </c>
    </row>
    <row r="1490" spans="1:3" x14ac:dyDescent="0.25">
      <c r="A1490">
        <v>17</v>
      </c>
      <c r="B1490">
        <v>0</v>
      </c>
      <c r="C1490">
        <v>622</v>
      </c>
    </row>
    <row r="1491" spans="1:3" x14ac:dyDescent="0.25">
      <c r="A1491">
        <v>17</v>
      </c>
      <c r="B1491">
        <v>0</v>
      </c>
      <c r="C1491">
        <v>622</v>
      </c>
    </row>
    <row r="1492" spans="1:3" x14ac:dyDescent="0.25">
      <c r="A1492">
        <v>16</v>
      </c>
      <c r="B1492">
        <v>0</v>
      </c>
      <c r="C1492">
        <v>622</v>
      </c>
    </row>
    <row r="1493" spans="1:3" x14ac:dyDescent="0.25">
      <c r="A1493">
        <v>18</v>
      </c>
      <c r="B1493">
        <v>0</v>
      </c>
      <c r="C1493">
        <v>622</v>
      </c>
    </row>
    <row r="1494" spans="1:3" x14ac:dyDescent="0.25">
      <c r="A1494">
        <v>22</v>
      </c>
      <c r="B1494">
        <v>0</v>
      </c>
      <c r="C1494">
        <v>622</v>
      </c>
    </row>
    <row r="1495" spans="1:3" x14ac:dyDescent="0.25">
      <c r="A1495">
        <v>19</v>
      </c>
      <c r="B1495">
        <v>0</v>
      </c>
      <c r="C1495">
        <v>622</v>
      </c>
    </row>
    <row r="1496" spans="1:3" x14ac:dyDescent="0.25">
      <c r="A1496">
        <v>16</v>
      </c>
      <c r="B1496">
        <v>0</v>
      </c>
      <c r="C1496">
        <v>622</v>
      </c>
    </row>
    <row r="1497" spans="1:3" x14ac:dyDescent="0.25">
      <c r="A1497">
        <v>17</v>
      </c>
      <c r="B1497">
        <v>0</v>
      </c>
      <c r="C1497">
        <v>622</v>
      </c>
    </row>
    <row r="1498" spans="1:3" x14ac:dyDescent="0.25">
      <c r="A1498">
        <v>18</v>
      </c>
      <c r="B1498">
        <v>0</v>
      </c>
      <c r="C1498">
        <v>585</v>
      </c>
    </row>
    <row r="1499" spans="1:3" x14ac:dyDescent="0.25">
      <c r="A1499">
        <v>16</v>
      </c>
      <c r="B1499">
        <v>0</v>
      </c>
      <c r="C1499">
        <v>585</v>
      </c>
    </row>
    <row r="1500" spans="1:3" x14ac:dyDescent="0.25">
      <c r="A1500">
        <v>21</v>
      </c>
      <c r="B1500">
        <v>0</v>
      </c>
      <c r="C1500">
        <v>585</v>
      </c>
    </row>
    <row r="1501" spans="1:3" x14ac:dyDescent="0.25">
      <c r="A1501">
        <v>15</v>
      </c>
      <c r="B1501">
        <v>0</v>
      </c>
      <c r="C1501">
        <v>585</v>
      </c>
    </row>
    <row r="1502" spans="1:3" x14ac:dyDescent="0.25">
      <c r="A1502">
        <v>20</v>
      </c>
      <c r="B1502">
        <v>0</v>
      </c>
      <c r="C1502">
        <v>585</v>
      </c>
    </row>
    <row r="1503" spans="1:3" x14ac:dyDescent="0.25">
      <c r="A1503">
        <v>16</v>
      </c>
      <c r="B1503">
        <v>0</v>
      </c>
      <c r="C1503">
        <v>585</v>
      </c>
    </row>
    <row r="1504" spans="1:3" x14ac:dyDescent="0.25">
      <c r="A1504">
        <v>17</v>
      </c>
      <c r="B1504">
        <v>0</v>
      </c>
      <c r="C1504">
        <v>585</v>
      </c>
    </row>
    <row r="1505" spans="1:3" x14ac:dyDescent="0.25">
      <c r="A1505">
        <v>14</v>
      </c>
      <c r="B1505">
        <v>0</v>
      </c>
      <c r="C1505">
        <v>585</v>
      </c>
    </row>
    <row r="1506" spans="1:3" x14ac:dyDescent="0.25">
      <c r="A1506">
        <v>16</v>
      </c>
      <c r="B1506">
        <v>0</v>
      </c>
      <c r="C1506">
        <v>585</v>
      </c>
    </row>
    <row r="1507" spans="1:3" x14ac:dyDescent="0.25">
      <c r="A1507">
        <v>16</v>
      </c>
      <c r="B1507">
        <v>0</v>
      </c>
      <c r="C1507">
        <v>585</v>
      </c>
    </row>
    <row r="1508" spans="1:3" x14ac:dyDescent="0.25">
      <c r="A1508">
        <v>18</v>
      </c>
      <c r="B1508">
        <v>0</v>
      </c>
      <c r="C1508">
        <v>585</v>
      </c>
    </row>
    <row r="1509" spans="1:3" x14ac:dyDescent="0.25">
      <c r="A1509">
        <v>22</v>
      </c>
      <c r="B1509">
        <v>0</v>
      </c>
      <c r="C1509">
        <v>585</v>
      </c>
    </row>
    <row r="1510" spans="1:3" x14ac:dyDescent="0.25">
      <c r="A1510">
        <v>18</v>
      </c>
      <c r="B1510">
        <v>0</v>
      </c>
      <c r="C1510">
        <v>585</v>
      </c>
    </row>
    <row r="1511" spans="1:3" x14ac:dyDescent="0.25">
      <c r="A1511">
        <v>15</v>
      </c>
      <c r="B1511">
        <v>0</v>
      </c>
      <c r="C1511">
        <v>585</v>
      </c>
    </row>
    <row r="1512" spans="1:3" x14ac:dyDescent="0.25">
      <c r="A1512">
        <v>18</v>
      </c>
      <c r="B1512">
        <v>0</v>
      </c>
      <c r="C1512">
        <v>585</v>
      </c>
    </row>
    <row r="1513" spans="1:3" x14ac:dyDescent="0.25">
      <c r="A1513">
        <v>17</v>
      </c>
      <c r="B1513">
        <v>0</v>
      </c>
      <c r="C1513">
        <v>585</v>
      </c>
    </row>
    <row r="1514" spans="1:3" x14ac:dyDescent="0.25">
      <c r="A1514">
        <v>15</v>
      </c>
      <c r="B1514">
        <v>0</v>
      </c>
      <c r="C1514">
        <v>569</v>
      </c>
    </row>
    <row r="1515" spans="1:3" x14ac:dyDescent="0.25">
      <c r="A1515">
        <v>16</v>
      </c>
      <c r="B1515">
        <v>0</v>
      </c>
      <c r="C1515">
        <v>569</v>
      </c>
    </row>
    <row r="1516" spans="1:3" x14ac:dyDescent="0.25">
      <c r="A1516">
        <v>17</v>
      </c>
      <c r="B1516">
        <v>0</v>
      </c>
      <c r="C1516">
        <v>569</v>
      </c>
    </row>
    <row r="1517" spans="1:3" x14ac:dyDescent="0.25">
      <c r="A1517">
        <v>21</v>
      </c>
      <c r="B1517">
        <v>0</v>
      </c>
      <c r="C1517">
        <v>569</v>
      </c>
    </row>
    <row r="1518" spans="1:3" x14ac:dyDescent="0.25">
      <c r="A1518">
        <v>18</v>
      </c>
      <c r="B1518">
        <v>0</v>
      </c>
      <c r="C1518">
        <v>569</v>
      </c>
    </row>
    <row r="1519" spans="1:3" x14ac:dyDescent="0.25">
      <c r="A1519">
        <v>17</v>
      </c>
      <c r="B1519">
        <v>0</v>
      </c>
      <c r="C1519">
        <v>569</v>
      </c>
    </row>
    <row r="1520" spans="1:3" x14ac:dyDescent="0.25">
      <c r="A1520">
        <v>17</v>
      </c>
      <c r="B1520">
        <v>0</v>
      </c>
      <c r="C1520">
        <v>569</v>
      </c>
    </row>
    <row r="1521" spans="1:3" x14ac:dyDescent="0.25">
      <c r="A1521">
        <v>17</v>
      </c>
      <c r="B1521">
        <v>0</v>
      </c>
      <c r="C1521">
        <v>569</v>
      </c>
    </row>
    <row r="1522" spans="1:3" x14ac:dyDescent="0.25">
      <c r="A1522">
        <v>14</v>
      </c>
      <c r="B1522">
        <v>0</v>
      </c>
      <c r="C1522">
        <v>569</v>
      </c>
    </row>
    <row r="1523" spans="1:3" x14ac:dyDescent="0.25">
      <c r="A1523">
        <v>18</v>
      </c>
      <c r="B1523">
        <v>0</v>
      </c>
      <c r="C1523">
        <v>499</v>
      </c>
    </row>
    <row r="1524" spans="1:3" x14ac:dyDescent="0.25">
      <c r="A1524">
        <v>20</v>
      </c>
      <c r="B1524">
        <v>0</v>
      </c>
      <c r="C1524">
        <v>499</v>
      </c>
    </row>
    <row r="1525" spans="1:3" x14ac:dyDescent="0.25">
      <c r="A1525">
        <v>20</v>
      </c>
      <c r="B1525">
        <v>0</v>
      </c>
      <c r="C1525">
        <v>499</v>
      </c>
    </row>
    <row r="1526" spans="1:3" x14ac:dyDescent="0.25">
      <c r="A1526">
        <v>16</v>
      </c>
      <c r="B1526">
        <v>0</v>
      </c>
      <c r="C1526">
        <v>499</v>
      </c>
    </row>
    <row r="1527" spans="1:3" x14ac:dyDescent="0.25">
      <c r="A1527">
        <v>14</v>
      </c>
      <c r="B1527">
        <v>0</v>
      </c>
      <c r="C1527">
        <v>499</v>
      </c>
    </row>
    <row r="1528" spans="1:3" x14ac:dyDescent="0.25">
      <c r="A1528">
        <v>16</v>
      </c>
      <c r="B1528">
        <v>0</v>
      </c>
      <c r="C1528">
        <v>499</v>
      </c>
    </row>
    <row r="1529" spans="1:3" x14ac:dyDescent="0.25">
      <c r="A1529">
        <v>14</v>
      </c>
      <c r="B1529">
        <v>0</v>
      </c>
      <c r="C1529">
        <v>499</v>
      </c>
    </row>
    <row r="1530" spans="1:3" x14ac:dyDescent="0.25">
      <c r="A1530">
        <v>15</v>
      </c>
      <c r="B1530">
        <v>0</v>
      </c>
      <c r="C1530">
        <v>499</v>
      </c>
    </row>
    <row r="1531" spans="1:3" x14ac:dyDescent="0.25">
      <c r="A1531">
        <v>18</v>
      </c>
      <c r="B1531">
        <v>0</v>
      </c>
      <c r="C1531">
        <v>499</v>
      </c>
    </row>
    <row r="1532" spans="1:3" x14ac:dyDescent="0.25">
      <c r="A1532">
        <v>14</v>
      </c>
      <c r="B1532">
        <v>0</v>
      </c>
      <c r="C1532">
        <v>510</v>
      </c>
    </row>
    <row r="1533" spans="1:3" x14ac:dyDescent="0.25">
      <c r="A1533">
        <v>19</v>
      </c>
      <c r="B1533">
        <v>0</v>
      </c>
      <c r="C1533">
        <v>510</v>
      </c>
    </row>
    <row r="1534" spans="1:3" x14ac:dyDescent="0.25">
      <c r="A1534">
        <v>21</v>
      </c>
      <c r="B1534">
        <v>0</v>
      </c>
      <c r="C1534">
        <v>510</v>
      </c>
    </row>
    <row r="1535" spans="1:3" x14ac:dyDescent="0.25">
      <c r="A1535">
        <v>19</v>
      </c>
      <c r="B1535">
        <v>0</v>
      </c>
      <c r="C1535">
        <v>510</v>
      </c>
    </row>
    <row r="1536" spans="1:3" x14ac:dyDescent="0.25">
      <c r="A1536">
        <v>16</v>
      </c>
      <c r="B1536">
        <v>0</v>
      </c>
      <c r="C1536">
        <v>510</v>
      </c>
    </row>
    <row r="1537" spans="1:3" x14ac:dyDescent="0.25">
      <c r="A1537">
        <v>15</v>
      </c>
      <c r="B1537">
        <v>0</v>
      </c>
      <c r="C1537">
        <v>510</v>
      </c>
    </row>
    <row r="1538" spans="1:3" x14ac:dyDescent="0.25">
      <c r="A1538">
        <v>14</v>
      </c>
      <c r="B1538">
        <v>0</v>
      </c>
      <c r="C1538">
        <v>510</v>
      </c>
    </row>
    <row r="1539" spans="1:3" x14ac:dyDescent="0.25">
      <c r="A1539">
        <v>12</v>
      </c>
      <c r="B1539">
        <v>0</v>
      </c>
      <c r="C1539">
        <v>510</v>
      </c>
    </row>
    <row r="1540" spans="1:3" x14ac:dyDescent="0.25">
      <c r="A1540">
        <v>17</v>
      </c>
      <c r="B1540">
        <v>0</v>
      </c>
      <c r="C1540">
        <v>510</v>
      </c>
    </row>
    <row r="1541" spans="1:3" x14ac:dyDescent="0.25">
      <c r="A1541">
        <v>23</v>
      </c>
      <c r="B1541">
        <v>0</v>
      </c>
      <c r="C1541">
        <v>534</v>
      </c>
    </row>
    <row r="1542" spans="1:3" x14ac:dyDescent="0.25">
      <c r="A1542">
        <v>21</v>
      </c>
      <c r="B1542">
        <v>0</v>
      </c>
      <c r="C1542">
        <v>534</v>
      </c>
    </row>
    <row r="1543" spans="1:3" x14ac:dyDescent="0.25">
      <c r="A1543">
        <v>19</v>
      </c>
      <c r="B1543">
        <v>0</v>
      </c>
      <c r="C1543">
        <v>534</v>
      </c>
    </row>
    <row r="1544" spans="1:3" x14ac:dyDescent="0.25">
      <c r="A1544">
        <v>18</v>
      </c>
      <c r="B1544">
        <v>0</v>
      </c>
      <c r="C1544">
        <v>534</v>
      </c>
    </row>
    <row r="1545" spans="1:3" x14ac:dyDescent="0.25">
      <c r="A1545">
        <v>19</v>
      </c>
      <c r="B1545">
        <v>0</v>
      </c>
      <c r="C1545">
        <v>534</v>
      </c>
    </row>
    <row r="1546" spans="1:3" x14ac:dyDescent="0.25">
      <c r="A1546">
        <v>16</v>
      </c>
      <c r="B1546">
        <v>0</v>
      </c>
      <c r="C1546">
        <v>534</v>
      </c>
    </row>
    <row r="1547" spans="1:3" x14ac:dyDescent="0.25">
      <c r="A1547">
        <v>15</v>
      </c>
      <c r="B1547">
        <v>0</v>
      </c>
      <c r="C1547">
        <v>534</v>
      </c>
    </row>
    <row r="1548" spans="1:3" x14ac:dyDescent="0.25">
      <c r="A1548">
        <v>16</v>
      </c>
      <c r="B1548">
        <v>0</v>
      </c>
      <c r="C1548">
        <v>534</v>
      </c>
    </row>
    <row r="1549" spans="1:3" x14ac:dyDescent="0.25">
      <c r="A1549">
        <v>17</v>
      </c>
      <c r="B1549">
        <v>0</v>
      </c>
      <c r="C1549">
        <v>534</v>
      </c>
    </row>
    <row r="1550" spans="1:3" x14ac:dyDescent="0.25">
      <c r="A1550">
        <v>19</v>
      </c>
      <c r="B1550">
        <v>0</v>
      </c>
      <c r="C1550">
        <v>456</v>
      </c>
    </row>
    <row r="1551" spans="1:3" x14ac:dyDescent="0.25">
      <c r="A1551">
        <v>17</v>
      </c>
      <c r="B1551">
        <v>0</v>
      </c>
      <c r="C1551">
        <v>456</v>
      </c>
    </row>
    <row r="1552" spans="1:3" x14ac:dyDescent="0.25">
      <c r="A1552">
        <v>16</v>
      </c>
      <c r="B1552">
        <v>0</v>
      </c>
      <c r="C1552">
        <v>456</v>
      </c>
    </row>
    <row r="1553" spans="1:3" x14ac:dyDescent="0.25">
      <c r="A1553">
        <v>18</v>
      </c>
      <c r="B1553">
        <v>0</v>
      </c>
      <c r="C1553">
        <v>456</v>
      </c>
    </row>
    <row r="1554" spans="1:3" x14ac:dyDescent="0.25">
      <c r="A1554">
        <v>13</v>
      </c>
      <c r="B1554">
        <v>0</v>
      </c>
      <c r="C1554">
        <v>456</v>
      </c>
    </row>
    <row r="1555" spans="1:3" x14ac:dyDescent="0.25">
      <c r="A1555">
        <v>15</v>
      </c>
      <c r="B1555">
        <v>0</v>
      </c>
      <c r="C1555">
        <v>456</v>
      </c>
    </row>
    <row r="1556" spans="1:3" x14ac:dyDescent="0.25">
      <c r="A1556">
        <v>14</v>
      </c>
      <c r="B1556">
        <v>0</v>
      </c>
      <c r="C1556">
        <v>456</v>
      </c>
    </row>
    <row r="1557" spans="1:3" x14ac:dyDescent="0.25">
      <c r="A1557">
        <v>17</v>
      </c>
      <c r="B1557">
        <v>0</v>
      </c>
      <c r="C1557">
        <v>456</v>
      </c>
    </row>
    <row r="1558" spans="1:3" x14ac:dyDescent="0.25">
      <c r="A1558">
        <v>18</v>
      </c>
      <c r="B1558">
        <v>0</v>
      </c>
      <c r="C1558">
        <v>456</v>
      </c>
    </row>
    <row r="1559" spans="1:3" x14ac:dyDescent="0.25">
      <c r="A1559">
        <v>18</v>
      </c>
      <c r="B1559">
        <v>0</v>
      </c>
      <c r="C1559">
        <v>506</v>
      </c>
    </row>
    <row r="1560" spans="1:3" x14ac:dyDescent="0.25">
      <c r="A1560">
        <v>16</v>
      </c>
      <c r="B1560">
        <v>0</v>
      </c>
      <c r="C1560">
        <v>506</v>
      </c>
    </row>
    <row r="1561" spans="1:3" x14ac:dyDescent="0.25">
      <c r="A1561">
        <v>18</v>
      </c>
      <c r="B1561">
        <v>0</v>
      </c>
      <c r="C1561">
        <v>506</v>
      </c>
    </row>
    <row r="1562" spans="1:3" x14ac:dyDescent="0.25">
      <c r="A1562">
        <v>16</v>
      </c>
      <c r="B1562">
        <v>0</v>
      </c>
      <c r="C1562">
        <v>506</v>
      </c>
    </row>
    <row r="1563" spans="1:3" x14ac:dyDescent="0.25">
      <c r="A1563">
        <v>16</v>
      </c>
      <c r="B1563">
        <v>0</v>
      </c>
      <c r="C1563">
        <v>506</v>
      </c>
    </row>
    <row r="1564" spans="1:3" x14ac:dyDescent="0.25">
      <c r="A1564">
        <v>19</v>
      </c>
      <c r="B1564">
        <v>0</v>
      </c>
      <c r="C1564">
        <v>506</v>
      </c>
    </row>
    <row r="1565" spans="1:3" x14ac:dyDescent="0.25">
      <c r="A1565">
        <v>18</v>
      </c>
      <c r="B1565">
        <v>0</v>
      </c>
      <c r="C1565">
        <v>506</v>
      </c>
    </row>
    <row r="1566" spans="1:3" x14ac:dyDescent="0.25">
      <c r="A1566">
        <v>16</v>
      </c>
      <c r="B1566">
        <v>0</v>
      </c>
      <c r="C1566">
        <v>506</v>
      </c>
    </row>
    <row r="1567" spans="1:3" x14ac:dyDescent="0.25">
      <c r="A1567">
        <v>17</v>
      </c>
      <c r="B1567">
        <v>0</v>
      </c>
      <c r="C1567">
        <v>506</v>
      </c>
    </row>
    <row r="1568" spans="1:3" x14ac:dyDescent="0.25">
      <c r="A1568">
        <v>13</v>
      </c>
      <c r="B1568">
        <v>0</v>
      </c>
      <c r="C1568">
        <v>472</v>
      </c>
    </row>
    <row r="1569" spans="1:3" x14ac:dyDescent="0.25">
      <c r="A1569">
        <v>15</v>
      </c>
      <c r="B1569">
        <v>0</v>
      </c>
      <c r="C1569">
        <v>472</v>
      </c>
    </row>
    <row r="1570" spans="1:3" x14ac:dyDescent="0.25">
      <c r="A1570">
        <v>18</v>
      </c>
      <c r="B1570">
        <v>0</v>
      </c>
      <c r="C1570">
        <v>472</v>
      </c>
    </row>
    <row r="1571" spans="1:3" x14ac:dyDescent="0.25">
      <c r="A1571">
        <v>17</v>
      </c>
      <c r="B1571">
        <v>0</v>
      </c>
      <c r="C1571">
        <v>472</v>
      </c>
    </row>
    <row r="1572" spans="1:3" x14ac:dyDescent="0.25">
      <c r="A1572">
        <v>16</v>
      </c>
      <c r="B1572">
        <v>0</v>
      </c>
      <c r="C1572">
        <v>472</v>
      </c>
    </row>
    <row r="1573" spans="1:3" x14ac:dyDescent="0.25">
      <c r="A1573">
        <v>18</v>
      </c>
      <c r="B1573">
        <v>0</v>
      </c>
      <c r="C1573">
        <v>472</v>
      </c>
    </row>
    <row r="1574" spans="1:3" x14ac:dyDescent="0.25">
      <c r="A1574">
        <v>23</v>
      </c>
      <c r="B1574">
        <v>0</v>
      </c>
      <c r="C1574">
        <v>472</v>
      </c>
    </row>
    <row r="1575" spans="1:3" x14ac:dyDescent="0.25">
      <c r="A1575">
        <v>21</v>
      </c>
      <c r="B1575">
        <v>0</v>
      </c>
      <c r="C1575">
        <v>472</v>
      </c>
    </row>
    <row r="1576" spans="1:3" x14ac:dyDescent="0.25">
      <c r="A1576">
        <v>16</v>
      </c>
      <c r="B1576">
        <v>0</v>
      </c>
      <c r="C1576">
        <v>472</v>
      </c>
    </row>
    <row r="1577" spans="1:3" x14ac:dyDescent="0.25">
      <c r="A1577">
        <v>18</v>
      </c>
      <c r="B1577">
        <v>0</v>
      </c>
      <c r="C1577">
        <v>442</v>
      </c>
    </row>
    <row r="1578" spans="1:3" x14ac:dyDescent="0.25">
      <c r="A1578">
        <v>14</v>
      </c>
      <c r="B1578">
        <v>0</v>
      </c>
      <c r="C1578">
        <v>442</v>
      </c>
    </row>
    <row r="1579" spans="1:3" x14ac:dyDescent="0.25">
      <c r="A1579">
        <v>15</v>
      </c>
      <c r="B1579">
        <v>0</v>
      </c>
      <c r="C1579">
        <v>442</v>
      </c>
    </row>
    <row r="1580" spans="1:3" x14ac:dyDescent="0.25">
      <c r="A1580">
        <v>20</v>
      </c>
      <c r="B1580">
        <v>0</v>
      </c>
      <c r="C1580">
        <v>442</v>
      </c>
    </row>
    <row r="1581" spans="1:3" x14ac:dyDescent="0.25">
      <c r="A1581">
        <v>15</v>
      </c>
      <c r="B1581">
        <v>0</v>
      </c>
      <c r="C1581">
        <v>442</v>
      </c>
    </row>
    <row r="1582" spans="1:3" x14ac:dyDescent="0.25">
      <c r="A1582">
        <v>16</v>
      </c>
      <c r="B1582">
        <v>0</v>
      </c>
      <c r="C1582">
        <v>442</v>
      </c>
    </row>
    <row r="1583" spans="1:3" x14ac:dyDescent="0.25">
      <c r="A1583">
        <v>20</v>
      </c>
      <c r="B1583">
        <v>0</v>
      </c>
      <c r="C1583">
        <v>442</v>
      </c>
    </row>
    <row r="1584" spans="1:3" x14ac:dyDescent="0.25">
      <c r="A1584">
        <v>19</v>
      </c>
      <c r="B1584">
        <v>0</v>
      </c>
      <c r="C1584">
        <v>442</v>
      </c>
    </row>
    <row r="1585" spans="1:3" x14ac:dyDescent="0.25">
      <c r="A1585">
        <v>16</v>
      </c>
      <c r="B1585">
        <v>0</v>
      </c>
      <c r="C1585">
        <v>442</v>
      </c>
    </row>
    <row r="1586" spans="1:3" x14ac:dyDescent="0.25">
      <c r="A1586">
        <v>19</v>
      </c>
      <c r="B1586">
        <v>0</v>
      </c>
      <c r="C1586">
        <v>517</v>
      </c>
    </row>
    <row r="1587" spans="1:3" x14ac:dyDescent="0.25">
      <c r="A1587">
        <v>16</v>
      </c>
      <c r="B1587">
        <v>0</v>
      </c>
      <c r="C1587">
        <v>517</v>
      </c>
    </row>
    <row r="1588" spans="1:3" x14ac:dyDescent="0.25">
      <c r="A1588">
        <v>18</v>
      </c>
      <c r="B1588">
        <v>0</v>
      </c>
      <c r="C1588">
        <v>517</v>
      </c>
    </row>
    <row r="1589" spans="1:3" x14ac:dyDescent="0.25">
      <c r="A1589">
        <v>17</v>
      </c>
      <c r="B1589">
        <v>0</v>
      </c>
      <c r="C1589">
        <v>517</v>
      </c>
    </row>
    <row r="1590" spans="1:3" x14ac:dyDescent="0.25">
      <c r="A1590">
        <v>18</v>
      </c>
      <c r="B1590">
        <v>0</v>
      </c>
      <c r="C1590">
        <v>517</v>
      </c>
    </row>
    <row r="1591" spans="1:3" x14ac:dyDescent="0.25">
      <c r="A1591">
        <v>17</v>
      </c>
      <c r="B1591">
        <v>0</v>
      </c>
      <c r="C1591">
        <v>517</v>
      </c>
    </row>
    <row r="1592" spans="1:3" x14ac:dyDescent="0.25">
      <c r="A1592">
        <v>15</v>
      </c>
      <c r="B1592">
        <v>0</v>
      </c>
      <c r="C1592">
        <v>517</v>
      </c>
    </row>
    <row r="1593" spans="1:3" x14ac:dyDescent="0.25">
      <c r="A1593">
        <v>15</v>
      </c>
      <c r="B1593">
        <v>0</v>
      </c>
      <c r="C1593">
        <v>517</v>
      </c>
    </row>
    <row r="1594" spans="1:3" x14ac:dyDescent="0.25">
      <c r="A1594">
        <v>15</v>
      </c>
      <c r="B1594">
        <v>0</v>
      </c>
      <c r="C1594">
        <v>517</v>
      </c>
    </row>
    <row r="1595" spans="1:3" x14ac:dyDescent="0.25">
      <c r="A1595">
        <v>16</v>
      </c>
      <c r="B1595">
        <v>0</v>
      </c>
      <c r="C1595">
        <v>444</v>
      </c>
    </row>
    <row r="1596" spans="1:3" x14ac:dyDescent="0.25">
      <c r="A1596">
        <v>14</v>
      </c>
      <c r="B1596">
        <v>0</v>
      </c>
      <c r="C1596">
        <v>444</v>
      </c>
    </row>
    <row r="1597" spans="1:3" x14ac:dyDescent="0.25">
      <c r="A1597">
        <v>18</v>
      </c>
      <c r="B1597">
        <v>0</v>
      </c>
      <c r="C1597">
        <v>444</v>
      </c>
    </row>
    <row r="1598" spans="1:3" x14ac:dyDescent="0.25">
      <c r="A1598">
        <v>14</v>
      </c>
      <c r="B1598">
        <v>0</v>
      </c>
      <c r="C1598">
        <v>444</v>
      </c>
    </row>
    <row r="1599" spans="1:3" x14ac:dyDescent="0.25">
      <c r="A1599">
        <v>12</v>
      </c>
      <c r="B1599">
        <v>0</v>
      </c>
      <c r="C1599">
        <v>444</v>
      </c>
    </row>
    <row r="1600" spans="1:3" x14ac:dyDescent="0.25">
      <c r="A1600">
        <v>20</v>
      </c>
      <c r="B1600">
        <v>0</v>
      </c>
      <c r="C1600">
        <v>444</v>
      </c>
    </row>
    <row r="1601" spans="1:3" x14ac:dyDescent="0.25">
      <c r="A1601">
        <v>17</v>
      </c>
      <c r="B1601">
        <v>0</v>
      </c>
      <c r="C1601">
        <v>444</v>
      </c>
    </row>
    <row r="1602" spans="1:3" x14ac:dyDescent="0.25">
      <c r="A1602">
        <v>16</v>
      </c>
      <c r="B1602">
        <v>0</v>
      </c>
      <c r="C1602">
        <v>444</v>
      </c>
    </row>
    <row r="1603" spans="1:3" x14ac:dyDescent="0.25">
      <c r="A1603">
        <v>19</v>
      </c>
      <c r="B1603">
        <v>0</v>
      </c>
      <c r="C1603">
        <v>444</v>
      </c>
    </row>
    <row r="1604" spans="1:3" x14ac:dyDescent="0.25">
      <c r="A1604">
        <v>15</v>
      </c>
      <c r="B1604">
        <v>0</v>
      </c>
      <c r="C1604">
        <v>505</v>
      </c>
    </row>
    <row r="1605" spans="1:3" x14ac:dyDescent="0.25">
      <c r="A1605">
        <v>16</v>
      </c>
      <c r="B1605">
        <v>0</v>
      </c>
      <c r="C1605">
        <v>505</v>
      </c>
    </row>
    <row r="1606" spans="1:3" x14ac:dyDescent="0.25">
      <c r="A1606">
        <v>18</v>
      </c>
      <c r="B1606">
        <v>0</v>
      </c>
      <c r="C1606">
        <v>505</v>
      </c>
    </row>
    <row r="1607" spans="1:3" x14ac:dyDescent="0.25">
      <c r="A1607">
        <v>20</v>
      </c>
      <c r="B1607">
        <v>0</v>
      </c>
      <c r="C1607">
        <v>505</v>
      </c>
    </row>
    <row r="1608" spans="1:3" x14ac:dyDescent="0.25">
      <c r="A1608">
        <v>21</v>
      </c>
      <c r="B1608">
        <v>0</v>
      </c>
      <c r="C1608">
        <v>505</v>
      </c>
    </row>
    <row r="1609" spans="1:3" x14ac:dyDescent="0.25">
      <c r="A1609">
        <v>18</v>
      </c>
      <c r="B1609">
        <v>0</v>
      </c>
      <c r="C1609">
        <v>505</v>
      </c>
    </row>
    <row r="1610" spans="1:3" x14ac:dyDescent="0.25">
      <c r="A1610">
        <v>18</v>
      </c>
      <c r="B1610">
        <v>0</v>
      </c>
      <c r="C1610">
        <v>505</v>
      </c>
    </row>
    <row r="1611" spans="1:3" x14ac:dyDescent="0.25">
      <c r="A1611">
        <v>18</v>
      </c>
      <c r="B1611">
        <v>0</v>
      </c>
      <c r="C1611">
        <v>505</v>
      </c>
    </row>
    <row r="1612" spans="1:3" x14ac:dyDescent="0.25">
      <c r="A1612">
        <v>17</v>
      </c>
      <c r="B1612">
        <v>0</v>
      </c>
      <c r="C1612">
        <v>547</v>
      </c>
    </row>
    <row r="1613" spans="1:3" x14ac:dyDescent="0.25">
      <c r="A1613">
        <v>12</v>
      </c>
      <c r="B1613">
        <v>0</v>
      </c>
      <c r="C1613">
        <v>547</v>
      </c>
    </row>
    <row r="1614" spans="1:3" x14ac:dyDescent="0.25">
      <c r="A1614">
        <v>12</v>
      </c>
      <c r="B1614">
        <v>0</v>
      </c>
      <c r="C1614">
        <v>547</v>
      </c>
    </row>
    <row r="1615" spans="1:3" x14ac:dyDescent="0.25">
      <c r="A1615">
        <v>21</v>
      </c>
      <c r="B1615">
        <v>0</v>
      </c>
      <c r="C1615">
        <v>547</v>
      </c>
    </row>
    <row r="1616" spans="1:3" x14ac:dyDescent="0.25">
      <c r="A1616">
        <v>19</v>
      </c>
      <c r="B1616">
        <v>0</v>
      </c>
      <c r="C1616">
        <v>547</v>
      </c>
    </row>
    <row r="1617" spans="1:3" x14ac:dyDescent="0.25">
      <c r="A1617">
        <v>14</v>
      </c>
      <c r="B1617">
        <v>0</v>
      </c>
      <c r="C1617">
        <v>547</v>
      </c>
    </row>
    <row r="1618" spans="1:3" x14ac:dyDescent="0.25">
      <c r="A1618">
        <v>19</v>
      </c>
      <c r="B1618">
        <v>0</v>
      </c>
      <c r="C1618">
        <v>547</v>
      </c>
    </row>
    <row r="1619" spans="1:3" x14ac:dyDescent="0.25">
      <c r="A1619">
        <v>17</v>
      </c>
      <c r="B1619">
        <v>0</v>
      </c>
      <c r="C1619">
        <v>547</v>
      </c>
    </row>
    <row r="1620" spans="1:3" x14ac:dyDescent="0.25">
      <c r="A1620">
        <v>16</v>
      </c>
      <c r="B1620">
        <v>0</v>
      </c>
      <c r="C1620">
        <v>459</v>
      </c>
    </row>
    <row r="1621" spans="1:3" x14ac:dyDescent="0.25">
      <c r="A1621">
        <v>15</v>
      </c>
      <c r="B1621">
        <v>0</v>
      </c>
      <c r="C1621">
        <v>459</v>
      </c>
    </row>
    <row r="1622" spans="1:3" x14ac:dyDescent="0.25">
      <c r="A1622">
        <v>16</v>
      </c>
      <c r="B1622">
        <v>0</v>
      </c>
      <c r="C1622">
        <v>459</v>
      </c>
    </row>
    <row r="1623" spans="1:3" x14ac:dyDescent="0.25">
      <c r="A1623">
        <v>19</v>
      </c>
      <c r="B1623">
        <v>0</v>
      </c>
      <c r="C1623">
        <v>459</v>
      </c>
    </row>
    <row r="1624" spans="1:3" x14ac:dyDescent="0.25">
      <c r="A1624">
        <v>12</v>
      </c>
      <c r="B1624">
        <v>0</v>
      </c>
      <c r="C1624">
        <v>459</v>
      </c>
    </row>
    <row r="1625" spans="1:3" x14ac:dyDescent="0.25">
      <c r="A1625">
        <v>15</v>
      </c>
      <c r="B1625">
        <v>0</v>
      </c>
      <c r="C1625">
        <v>459</v>
      </c>
    </row>
    <row r="1626" spans="1:3" x14ac:dyDescent="0.25">
      <c r="A1626">
        <v>18</v>
      </c>
      <c r="B1626">
        <v>0</v>
      </c>
      <c r="C1626">
        <v>459</v>
      </c>
    </row>
    <row r="1627" spans="1:3" x14ac:dyDescent="0.25">
      <c r="A1627">
        <v>17</v>
      </c>
      <c r="B1627">
        <v>0</v>
      </c>
      <c r="C1627">
        <v>459</v>
      </c>
    </row>
    <row r="1628" spans="1:3" x14ac:dyDescent="0.25">
      <c r="A1628">
        <v>18</v>
      </c>
      <c r="B1628">
        <v>0</v>
      </c>
      <c r="C1628">
        <v>459</v>
      </c>
    </row>
    <row r="1629" spans="1:3" x14ac:dyDescent="0.25">
      <c r="A1629">
        <v>22</v>
      </c>
      <c r="B1629">
        <v>0</v>
      </c>
      <c r="C1629">
        <v>470</v>
      </c>
    </row>
    <row r="1630" spans="1:3" x14ac:dyDescent="0.25">
      <c r="A1630">
        <v>17</v>
      </c>
      <c r="B1630">
        <v>0</v>
      </c>
      <c r="C1630">
        <v>470</v>
      </c>
    </row>
    <row r="1631" spans="1:3" x14ac:dyDescent="0.25">
      <c r="A1631">
        <v>18</v>
      </c>
      <c r="B1631">
        <v>0</v>
      </c>
      <c r="C1631">
        <v>470</v>
      </c>
    </row>
    <row r="1632" spans="1:3" x14ac:dyDescent="0.25">
      <c r="A1632">
        <v>14</v>
      </c>
      <c r="B1632">
        <v>0</v>
      </c>
      <c r="C1632">
        <v>470</v>
      </c>
    </row>
    <row r="1633" spans="1:3" x14ac:dyDescent="0.25">
      <c r="A1633">
        <v>17</v>
      </c>
      <c r="B1633">
        <v>0</v>
      </c>
      <c r="C1633">
        <v>470</v>
      </c>
    </row>
    <row r="1634" spans="1:3" x14ac:dyDescent="0.25">
      <c r="A1634">
        <v>16</v>
      </c>
      <c r="B1634">
        <v>0</v>
      </c>
      <c r="C1634">
        <v>470</v>
      </c>
    </row>
    <row r="1635" spans="1:3" x14ac:dyDescent="0.25">
      <c r="A1635">
        <v>14</v>
      </c>
      <c r="B1635">
        <v>0</v>
      </c>
      <c r="C1635">
        <v>470</v>
      </c>
    </row>
    <row r="1636" spans="1:3" x14ac:dyDescent="0.25">
      <c r="A1636">
        <v>15</v>
      </c>
      <c r="B1636">
        <v>0</v>
      </c>
      <c r="C1636">
        <v>470</v>
      </c>
    </row>
    <row r="1637" spans="1:3" x14ac:dyDescent="0.25">
      <c r="A1637">
        <v>14</v>
      </c>
      <c r="B1637">
        <v>0</v>
      </c>
      <c r="C1637">
        <v>535</v>
      </c>
    </row>
    <row r="1638" spans="1:3" x14ac:dyDescent="0.25">
      <c r="A1638">
        <v>21</v>
      </c>
      <c r="B1638">
        <v>0</v>
      </c>
      <c r="C1638">
        <v>535</v>
      </c>
    </row>
    <row r="1639" spans="1:3" x14ac:dyDescent="0.25">
      <c r="A1639">
        <v>18</v>
      </c>
      <c r="B1639">
        <v>0</v>
      </c>
      <c r="C1639">
        <v>535</v>
      </c>
    </row>
    <row r="1640" spans="1:3" x14ac:dyDescent="0.25">
      <c r="A1640">
        <v>15</v>
      </c>
      <c r="B1640">
        <v>0</v>
      </c>
      <c r="C1640">
        <v>535</v>
      </c>
    </row>
    <row r="1641" spans="1:3" x14ac:dyDescent="0.25">
      <c r="A1641">
        <v>14</v>
      </c>
      <c r="B1641">
        <v>0</v>
      </c>
      <c r="C1641">
        <v>535</v>
      </c>
    </row>
    <row r="1642" spans="1:3" x14ac:dyDescent="0.25">
      <c r="A1642">
        <v>15</v>
      </c>
      <c r="B1642">
        <v>0</v>
      </c>
      <c r="C1642">
        <v>535</v>
      </c>
    </row>
    <row r="1643" spans="1:3" x14ac:dyDescent="0.25">
      <c r="A1643">
        <v>15</v>
      </c>
      <c r="B1643">
        <v>0</v>
      </c>
      <c r="C1643">
        <v>535</v>
      </c>
    </row>
    <row r="1644" spans="1:3" x14ac:dyDescent="0.25">
      <c r="A1644">
        <v>12</v>
      </c>
      <c r="B1644">
        <v>0</v>
      </c>
      <c r="C1644">
        <v>535</v>
      </c>
    </row>
    <row r="1645" spans="1:3" x14ac:dyDescent="0.25">
      <c r="A1645">
        <v>18</v>
      </c>
      <c r="B1645">
        <v>0</v>
      </c>
      <c r="C1645">
        <v>468</v>
      </c>
    </row>
    <row r="1646" spans="1:3" x14ac:dyDescent="0.25">
      <c r="A1646">
        <v>22</v>
      </c>
      <c r="B1646">
        <v>0</v>
      </c>
      <c r="C1646">
        <v>468</v>
      </c>
    </row>
    <row r="1647" spans="1:3" x14ac:dyDescent="0.25">
      <c r="A1647">
        <v>22</v>
      </c>
      <c r="B1647">
        <v>0</v>
      </c>
      <c r="C1647">
        <v>468</v>
      </c>
    </row>
    <row r="1648" spans="1:3" x14ac:dyDescent="0.25">
      <c r="A1648">
        <v>15</v>
      </c>
      <c r="B1648">
        <v>0</v>
      </c>
      <c r="C1648">
        <v>468</v>
      </c>
    </row>
    <row r="1649" spans="1:3" x14ac:dyDescent="0.25">
      <c r="A1649">
        <v>17</v>
      </c>
      <c r="B1649">
        <v>0</v>
      </c>
      <c r="C1649">
        <v>468</v>
      </c>
    </row>
    <row r="1650" spans="1:3" x14ac:dyDescent="0.25">
      <c r="A1650">
        <v>17</v>
      </c>
      <c r="B1650">
        <v>0</v>
      </c>
      <c r="C1650">
        <v>468</v>
      </c>
    </row>
    <row r="1651" spans="1:3" x14ac:dyDescent="0.25">
      <c r="A1651">
        <v>17</v>
      </c>
      <c r="B1651">
        <v>0</v>
      </c>
      <c r="C1651">
        <v>468</v>
      </c>
    </row>
    <row r="1652" spans="1:3" x14ac:dyDescent="0.25">
      <c r="A1652">
        <v>24</v>
      </c>
      <c r="B1652">
        <v>0</v>
      </c>
      <c r="C1652">
        <v>468</v>
      </c>
    </row>
    <row r="1653" spans="1:3" x14ac:dyDescent="0.25">
      <c r="A1653">
        <v>19</v>
      </c>
      <c r="B1653">
        <v>0</v>
      </c>
      <c r="C1653">
        <v>557</v>
      </c>
    </row>
    <row r="1654" spans="1:3" x14ac:dyDescent="0.25">
      <c r="A1654">
        <v>13</v>
      </c>
      <c r="B1654">
        <v>0</v>
      </c>
      <c r="C1654">
        <v>557</v>
      </c>
    </row>
    <row r="1655" spans="1:3" x14ac:dyDescent="0.25">
      <c r="A1655">
        <v>14</v>
      </c>
      <c r="B1655">
        <v>0</v>
      </c>
      <c r="C1655">
        <v>557</v>
      </c>
    </row>
    <row r="1656" spans="1:3" x14ac:dyDescent="0.25">
      <c r="A1656">
        <v>15</v>
      </c>
      <c r="B1656">
        <v>0</v>
      </c>
      <c r="C1656">
        <v>557</v>
      </c>
    </row>
    <row r="1657" spans="1:3" x14ac:dyDescent="0.25">
      <c r="A1657">
        <v>16</v>
      </c>
      <c r="B1657">
        <v>0</v>
      </c>
      <c r="C1657">
        <v>557</v>
      </c>
    </row>
    <row r="1658" spans="1:3" x14ac:dyDescent="0.25">
      <c r="A1658">
        <v>13</v>
      </c>
      <c r="B1658">
        <v>0</v>
      </c>
      <c r="C1658">
        <v>557</v>
      </c>
    </row>
    <row r="1659" spans="1:3" x14ac:dyDescent="0.25">
      <c r="A1659">
        <v>15</v>
      </c>
      <c r="B1659">
        <v>0</v>
      </c>
      <c r="C1659">
        <v>557</v>
      </c>
    </row>
    <row r="1660" spans="1:3" x14ac:dyDescent="0.25">
      <c r="A1660">
        <v>15</v>
      </c>
      <c r="B1660">
        <v>0</v>
      </c>
      <c r="C1660">
        <v>557</v>
      </c>
    </row>
    <row r="1661" spans="1:3" x14ac:dyDescent="0.25">
      <c r="A1661">
        <v>21</v>
      </c>
      <c r="B1661">
        <v>0</v>
      </c>
      <c r="C1661">
        <v>557</v>
      </c>
    </row>
    <row r="1662" spans="1:3" x14ac:dyDescent="0.25">
      <c r="A1662">
        <v>19</v>
      </c>
      <c r="B1662">
        <v>0</v>
      </c>
      <c r="C1662">
        <v>480</v>
      </c>
    </row>
    <row r="1663" spans="1:3" x14ac:dyDescent="0.25">
      <c r="A1663">
        <v>18</v>
      </c>
      <c r="B1663">
        <v>0</v>
      </c>
      <c r="C1663">
        <v>480</v>
      </c>
    </row>
    <row r="1664" spans="1:3" x14ac:dyDescent="0.25">
      <c r="A1664">
        <v>17</v>
      </c>
      <c r="B1664">
        <v>0</v>
      </c>
      <c r="C1664">
        <v>480</v>
      </c>
    </row>
    <row r="1665" spans="1:3" x14ac:dyDescent="0.25">
      <c r="A1665">
        <v>14</v>
      </c>
      <c r="B1665">
        <v>0</v>
      </c>
      <c r="C1665">
        <v>480</v>
      </c>
    </row>
    <row r="1666" spans="1:3" x14ac:dyDescent="0.25">
      <c r="A1666">
        <v>18</v>
      </c>
      <c r="B1666">
        <v>0</v>
      </c>
      <c r="C1666">
        <v>480</v>
      </c>
    </row>
    <row r="1667" spans="1:3" x14ac:dyDescent="0.25">
      <c r="A1667">
        <v>15</v>
      </c>
      <c r="B1667">
        <v>0</v>
      </c>
      <c r="C1667">
        <v>480</v>
      </c>
    </row>
    <row r="1668" spans="1:3" x14ac:dyDescent="0.25">
      <c r="A1668">
        <v>19</v>
      </c>
      <c r="B1668">
        <v>0</v>
      </c>
      <c r="C1668">
        <v>480</v>
      </c>
    </row>
    <row r="1669" spans="1:3" x14ac:dyDescent="0.25">
      <c r="A1669">
        <v>20</v>
      </c>
      <c r="B1669">
        <v>0</v>
      </c>
      <c r="C1669">
        <v>480</v>
      </c>
    </row>
    <row r="1670" spans="1:3" x14ac:dyDescent="0.25">
      <c r="A1670">
        <v>16</v>
      </c>
      <c r="B1670">
        <v>0</v>
      </c>
      <c r="C1670">
        <v>499</v>
      </c>
    </row>
    <row r="1671" spans="1:3" x14ac:dyDescent="0.25">
      <c r="A1671">
        <v>16</v>
      </c>
      <c r="B1671">
        <v>0</v>
      </c>
      <c r="C1671">
        <v>499</v>
      </c>
    </row>
    <row r="1672" spans="1:3" x14ac:dyDescent="0.25">
      <c r="A1672">
        <v>14</v>
      </c>
      <c r="B1672">
        <v>0</v>
      </c>
      <c r="C1672">
        <v>499</v>
      </c>
    </row>
    <row r="1673" spans="1:3" x14ac:dyDescent="0.25">
      <c r="A1673">
        <v>18</v>
      </c>
      <c r="B1673">
        <v>0</v>
      </c>
      <c r="C1673">
        <v>499</v>
      </c>
    </row>
    <row r="1674" spans="1:3" x14ac:dyDescent="0.25">
      <c r="A1674">
        <v>17</v>
      </c>
      <c r="B1674">
        <v>0</v>
      </c>
      <c r="C1674">
        <v>499</v>
      </c>
    </row>
    <row r="1675" spans="1:3" x14ac:dyDescent="0.25">
      <c r="A1675">
        <v>18</v>
      </c>
      <c r="B1675">
        <v>0</v>
      </c>
      <c r="C1675">
        <v>499</v>
      </c>
    </row>
    <row r="1676" spans="1:3" x14ac:dyDescent="0.25">
      <c r="A1676">
        <v>13</v>
      </c>
      <c r="B1676">
        <v>0</v>
      </c>
      <c r="C1676">
        <v>499</v>
      </c>
    </row>
    <row r="1677" spans="1:3" x14ac:dyDescent="0.25">
      <c r="A1677">
        <v>18</v>
      </c>
      <c r="B1677">
        <v>0</v>
      </c>
      <c r="C1677">
        <v>499</v>
      </c>
    </row>
    <row r="1678" spans="1:3" x14ac:dyDescent="0.25">
      <c r="A1678">
        <v>21</v>
      </c>
      <c r="B1678">
        <v>0</v>
      </c>
      <c r="C1678">
        <v>499</v>
      </c>
    </row>
    <row r="1679" spans="1:3" x14ac:dyDescent="0.25">
      <c r="A1679">
        <v>12</v>
      </c>
      <c r="B1679">
        <v>0</v>
      </c>
      <c r="C1679">
        <v>430</v>
      </c>
    </row>
    <row r="1680" spans="1:3" x14ac:dyDescent="0.25">
      <c r="A1680">
        <v>21</v>
      </c>
      <c r="B1680">
        <v>0</v>
      </c>
      <c r="C1680">
        <v>430</v>
      </c>
    </row>
    <row r="1681" spans="1:3" x14ac:dyDescent="0.25">
      <c r="A1681">
        <v>13</v>
      </c>
      <c r="B1681">
        <v>0</v>
      </c>
      <c r="C1681">
        <v>430</v>
      </c>
    </row>
    <row r="1682" spans="1:3" x14ac:dyDescent="0.25">
      <c r="A1682">
        <v>15</v>
      </c>
      <c r="B1682">
        <v>0</v>
      </c>
      <c r="C1682">
        <v>430</v>
      </c>
    </row>
    <row r="1683" spans="1:3" x14ac:dyDescent="0.25">
      <c r="A1683">
        <v>13</v>
      </c>
      <c r="B1683">
        <v>0</v>
      </c>
      <c r="C1683">
        <v>430</v>
      </c>
    </row>
    <row r="1684" spans="1:3" x14ac:dyDescent="0.25">
      <c r="A1684">
        <v>21</v>
      </c>
      <c r="B1684">
        <v>0</v>
      </c>
      <c r="C1684">
        <v>430</v>
      </c>
    </row>
    <row r="1685" spans="1:3" x14ac:dyDescent="0.25">
      <c r="A1685">
        <v>16</v>
      </c>
      <c r="B1685">
        <v>0</v>
      </c>
      <c r="C1685">
        <v>430</v>
      </c>
    </row>
    <row r="1686" spans="1:3" x14ac:dyDescent="0.25">
      <c r="A1686">
        <v>17</v>
      </c>
      <c r="B1686">
        <v>0</v>
      </c>
      <c r="C1686">
        <v>430</v>
      </c>
    </row>
    <row r="1687" spans="1:3" x14ac:dyDescent="0.25">
      <c r="A1687">
        <v>18</v>
      </c>
      <c r="B1687">
        <v>0</v>
      </c>
      <c r="C1687">
        <v>493</v>
      </c>
    </row>
    <row r="1688" spans="1:3" x14ac:dyDescent="0.25">
      <c r="A1688">
        <v>14</v>
      </c>
      <c r="B1688">
        <v>0</v>
      </c>
      <c r="C1688">
        <v>493</v>
      </c>
    </row>
    <row r="1689" spans="1:3" x14ac:dyDescent="0.25">
      <c r="A1689">
        <v>14</v>
      </c>
      <c r="B1689">
        <v>0</v>
      </c>
      <c r="C1689">
        <v>493</v>
      </c>
    </row>
    <row r="1690" spans="1:3" x14ac:dyDescent="0.25">
      <c r="A1690">
        <v>15</v>
      </c>
      <c r="B1690">
        <v>0</v>
      </c>
      <c r="C1690">
        <v>493</v>
      </c>
    </row>
    <row r="1691" spans="1:3" x14ac:dyDescent="0.25">
      <c r="A1691">
        <v>14</v>
      </c>
      <c r="B1691">
        <v>0</v>
      </c>
      <c r="C1691">
        <v>493</v>
      </c>
    </row>
    <row r="1692" spans="1:3" x14ac:dyDescent="0.25">
      <c r="A1692">
        <v>15</v>
      </c>
      <c r="B1692">
        <v>0</v>
      </c>
      <c r="C1692">
        <v>493</v>
      </c>
    </row>
    <row r="1693" spans="1:3" x14ac:dyDescent="0.25">
      <c r="A1693">
        <v>16</v>
      </c>
      <c r="B1693">
        <v>0</v>
      </c>
      <c r="C1693">
        <v>493</v>
      </c>
    </row>
    <row r="1694" spans="1:3" x14ac:dyDescent="0.25">
      <c r="A1694">
        <v>20</v>
      </c>
      <c r="B1694">
        <v>0</v>
      </c>
      <c r="C1694">
        <v>493</v>
      </c>
    </row>
    <row r="1695" spans="1:3" x14ac:dyDescent="0.25">
      <c r="A1695">
        <v>15</v>
      </c>
      <c r="B1695">
        <v>0</v>
      </c>
      <c r="C1695">
        <v>493</v>
      </c>
    </row>
    <row r="1696" spans="1:3" x14ac:dyDescent="0.25">
      <c r="A1696">
        <v>16</v>
      </c>
      <c r="B1696">
        <v>0</v>
      </c>
      <c r="C1696">
        <v>484</v>
      </c>
    </row>
    <row r="1697" spans="1:3" x14ac:dyDescent="0.25">
      <c r="A1697">
        <v>16</v>
      </c>
      <c r="B1697">
        <v>0</v>
      </c>
      <c r="C1697">
        <v>484</v>
      </c>
    </row>
    <row r="1698" spans="1:3" x14ac:dyDescent="0.25">
      <c r="A1698">
        <v>14</v>
      </c>
      <c r="B1698">
        <v>0</v>
      </c>
      <c r="C1698">
        <v>484</v>
      </c>
    </row>
    <row r="1699" spans="1:3" x14ac:dyDescent="0.25">
      <c r="A1699">
        <v>17</v>
      </c>
      <c r="B1699">
        <v>0</v>
      </c>
      <c r="C1699">
        <v>484</v>
      </c>
    </row>
    <row r="1700" spans="1:3" x14ac:dyDescent="0.25">
      <c r="A1700">
        <v>16</v>
      </c>
      <c r="B1700">
        <v>0</v>
      </c>
      <c r="C1700">
        <v>484</v>
      </c>
    </row>
    <row r="1701" spans="1:3" x14ac:dyDescent="0.25">
      <c r="A1701">
        <v>17</v>
      </c>
      <c r="B1701">
        <v>0</v>
      </c>
      <c r="C1701">
        <v>484</v>
      </c>
    </row>
    <row r="1702" spans="1:3" x14ac:dyDescent="0.25">
      <c r="A1702">
        <v>20</v>
      </c>
      <c r="B1702">
        <v>0</v>
      </c>
      <c r="C1702">
        <v>484</v>
      </c>
    </row>
    <row r="1703" spans="1:3" x14ac:dyDescent="0.25">
      <c r="A1703">
        <v>14</v>
      </c>
      <c r="B1703">
        <v>0</v>
      </c>
      <c r="C1703">
        <v>484</v>
      </c>
    </row>
    <row r="1704" spans="1:3" x14ac:dyDescent="0.25">
      <c r="A1704">
        <v>13</v>
      </c>
      <c r="B1704">
        <v>0</v>
      </c>
      <c r="C1704">
        <v>484</v>
      </c>
    </row>
    <row r="1705" spans="1:3" x14ac:dyDescent="0.25">
      <c r="A1705">
        <v>17</v>
      </c>
      <c r="B1705">
        <v>0</v>
      </c>
      <c r="C1705">
        <v>540</v>
      </c>
    </row>
    <row r="1706" spans="1:3" x14ac:dyDescent="0.25">
      <c r="A1706">
        <v>16</v>
      </c>
      <c r="B1706">
        <v>0</v>
      </c>
      <c r="C1706">
        <v>540</v>
      </c>
    </row>
    <row r="1707" spans="1:3" x14ac:dyDescent="0.25">
      <c r="A1707">
        <v>19</v>
      </c>
      <c r="B1707">
        <v>0</v>
      </c>
      <c r="C1707">
        <v>540</v>
      </c>
    </row>
    <row r="1708" spans="1:3" x14ac:dyDescent="0.25">
      <c r="A1708">
        <v>15</v>
      </c>
      <c r="B1708">
        <v>0</v>
      </c>
      <c r="C1708">
        <v>540</v>
      </c>
    </row>
    <row r="1709" spans="1:3" x14ac:dyDescent="0.25">
      <c r="A1709">
        <v>17</v>
      </c>
      <c r="B1709">
        <v>0</v>
      </c>
      <c r="C1709">
        <v>540</v>
      </c>
    </row>
    <row r="1710" spans="1:3" x14ac:dyDescent="0.25">
      <c r="A1710">
        <v>19</v>
      </c>
      <c r="B1710">
        <v>0</v>
      </c>
      <c r="C1710">
        <v>540</v>
      </c>
    </row>
    <row r="1711" spans="1:3" x14ac:dyDescent="0.25">
      <c r="A1711">
        <v>16</v>
      </c>
      <c r="B1711">
        <v>0</v>
      </c>
      <c r="C1711">
        <v>540</v>
      </c>
    </row>
    <row r="1712" spans="1:3" x14ac:dyDescent="0.25">
      <c r="A1712">
        <v>17</v>
      </c>
      <c r="B1712">
        <v>0</v>
      </c>
      <c r="C1712">
        <v>540</v>
      </c>
    </row>
    <row r="1713" spans="1:3" x14ac:dyDescent="0.25">
      <c r="A1713">
        <v>18</v>
      </c>
      <c r="B1713">
        <v>0</v>
      </c>
      <c r="C1713">
        <v>540</v>
      </c>
    </row>
    <row r="1714" spans="1:3" x14ac:dyDescent="0.25">
      <c r="A1714">
        <v>16</v>
      </c>
      <c r="B1714">
        <v>0</v>
      </c>
      <c r="C1714">
        <v>497</v>
      </c>
    </row>
    <row r="1715" spans="1:3" x14ac:dyDescent="0.25">
      <c r="A1715">
        <v>15</v>
      </c>
      <c r="B1715">
        <v>0</v>
      </c>
      <c r="C1715">
        <v>497</v>
      </c>
    </row>
    <row r="1716" spans="1:3" x14ac:dyDescent="0.25">
      <c r="A1716">
        <v>20</v>
      </c>
      <c r="B1716">
        <v>0</v>
      </c>
      <c r="C1716">
        <v>497</v>
      </c>
    </row>
    <row r="1717" spans="1:3" x14ac:dyDescent="0.25">
      <c r="A1717">
        <v>22</v>
      </c>
      <c r="B1717">
        <v>0</v>
      </c>
      <c r="C1717">
        <v>497</v>
      </c>
    </row>
    <row r="1718" spans="1:3" x14ac:dyDescent="0.25">
      <c r="A1718">
        <v>19</v>
      </c>
      <c r="B1718">
        <v>0</v>
      </c>
      <c r="C1718">
        <v>497</v>
      </c>
    </row>
    <row r="1719" spans="1:3" x14ac:dyDescent="0.25">
      <c r="A1719">
        <v>15</v>
      </c>
      <c r="B1719">
        <v>0</v>
      </c>
      <c r="C1719">
        <v>497</v>
      </c>
    </row>
    <row r="1720" spans="1:3" x14ac:dyDescent="0.25">
      <c r="A1720">
        <v>13</v>
      </c>
      <c r="B1720">
        <v>0</v>
      </c>
      <c r="C1720">
        <v>497</v>
      </c>
    </row>
    <row r="1721" spans="1:3" x14ac:dyDescent="0.25">
      <c r="A1721">
        <v>15</v>
      </c>
      <c r="B1721">
        <v>0</v>
      </c>
      <c r="C1721">
        <v>497</v>
      </c>
    </row>
    <row r="1722" spans="1:3" x14ac:dyDescent="0.25">
      <c r="A1722">
        <v>22</v>
      </c>
      <c r="B1722">
        <v>0</v>
      </c>
      <c r="C1722">
        <v>634</v>
      </c>
    </row>
    <row r="1723" spans="1:3" x14ac:dyDescent="0.25">
      <c r="A1723">
        <v>21</v>
      </c>
      <c r="B1723">
        <v>0</v>
      </c>
      <c r="C1723">
        <v>634</v>
      </c>
    </row>
    <row r="1724" spans="1:3" x14ac:dyDescent="0.25">
      <c r="A1724">
        <v>15</v>
      </c>
      <c r="B1724">
        <v>0</v>
      </c>
      <c r="C1724">
        <v>634</v>
      </c>
    </row>
    <row r="1725" spans="1:3" x14ac:dyDescent="0.25">
      <c r="A1725">
        <v>18</v>
      </c>
      <c r="B1725">
        <v>0</v>
      </c>
      <c r="C1725">
        <v>634</v>
      </c>
    </row>
    <row r="1726" spans="1:3" x14ac:dyDescent="0.25">
      <c r="A1726">
        <v>20</v>
      </c>
      <c r="B1726">
        <v>0</v>
      </c>
      <c r="C1726">
        <v>634</v>
      </c>
    </row>
    <row r="1727" spans="1:3" x14ac:dyDescent="0.25">
      <c r="A1727">
        <v>17</v>
      </c>
      <c r="B1727">
        <v>0</v>
      </c>
      <c r="C1727">
        <v>634</v>
      </c>
    </row>
    <row r="1728" spans="1:3" x14ac:dyDescent="0.25">
      <c r="A1728">
        <v>18</v>
      </c>
      <c r="B1728">
        <v>0</v>
      </c>
      <c r="C1728">
        <v>634</v>
      </c>
    </row>
    <row r="1729" spans="1:3" x14ac:dyDescent="0.25">
      <c r="A1729">
        <v>17</v>
      </c>
      <c r="B1729">
        <v>0</v>
      </c>
      <c r="C1729">
        <v>634</v>
      </c>
    </row>
    <row r="1730" spans="1:3" x14ac:dyDescent="0.25">
      <c r="A1730">
        <v>17</v>
      </c>
      <c r="B1730">
        <v>0</v>
      </c>
      <c r="C1730">
        <v>558</v>
      </c>
    </row>
    <row r="1731" spans="1:3" x14ac:dyDescent="0.25">
      <c r="A1731">
        <v>16</v>
      </c>
      <c r="B1731">
        <v>0</v>
      </c>
      <c r="C1731">
        <v>558</v>
      </c>
    </row>
    <row r="1732" spans="1:3" x14ac:dyDescent="0.25">
      <c r="A1732">
        <v>21</v>
      </c>
      <c r="B1732">
        <v>0</v>
      </c>
      <c r="C1732">
        <v>558</v>
      </c>
    </row>
    <row r="1733" spans="1:3" x14ac:dyDescent="0.25">
      <c r="A1733">
        <v>17</v>
      </c>
      <c r="B1733">
        <v>0</v>
      </c>
      <c r="C1733">
        <v>558</v>
      </c>
    </row>
    <row r="1734" spans="1:3" x14ac:dyDescent="0.25">
      <c r="A1734">
        <v>14</v>
      </c>
      <c r="B1734">
        <v>0</v>
      </c>
      <c r="C1734">
        <v>558</v>
      </c>
    </row>
    <row r="1735" spans="1:3" x14ac:dyDescent="0.25">
      <c r="A1735">
        <v>17</v>
      </c>
      <c r="B1735">
        <v>0</v>
      </c>
      <c r="C1735">
        <v>558</v>
      </c>
    </row>
    <row r="1736" spans="1:3" x14ac:dyDescent="0.25">
      <c r="A1736">
        <v>15</v>
      </c>
      <c r="B1736">
        <v>0</v>
      </c>
      <c r="C1736">
        <v>558</v>
      </c>
    </row>
    <row r="1737" spans="1:3" x14ac:dyDescent="0.25">
      <c r="A1737">
        <v>15</v>
      </c>
      <c r="B1737">
        <v>0</v>
      </c>
      <c r="C1737">
        <v>558</v>
      </c>
    </row>
    <row r="1738" spans="1:3" x14ac:dyDescent="0.25">
      <c r="A1738">
        <v>14</v>
      </c>
      <c r="B1738">
        <v>0</v>
      </c>
      <c r="C1738">
        <v>486</v>
      </c>
    </row>
    <row r="1739" spans="1:3" x14ac:dyDescent="0.25">
      <c r="A1739">
        <v>16</v>
      </c>
      <c r="B1739">
        <v>0</v>
      </c>
      <c r="C1739">
        <v>486</v>
      </c>
    </row>
    <row r="1740" spans="1:3" x14ac:dyDescent="0.25">
      <c r="A1740">
        <v>20</v>
      </c>
      <c r="B1740">
        <v>0</v>
      </c>
      <c r="C1740">
        <v>486</v>
      </c>
    </row>
    <row r="1741" spans="1:3" x14ac:dyDescent="0.25">
      <c r="A1741">
        <v>16</v>
      </c>
      <c r="B1741">
        <v>0</v>
      </c>
      <c r="C1741">
        <v>486</v>
      </c>
    </row>
    <row r="1742" spans="1:3" x14ac:dyDescent="0.25">
      <c r="A1742">
        <v>14</v>
      </c>
      <c r="B1742">
        <v>0</v>
      </c>
      <c r="C1742">
        <v>486</v>
      </c>
    </row>
    <row r="1743" spans="1:3" x14ac:dyDescent="0.25">
      <c r="A1743">
        <v>18</v>
      </c>
      <c r="B1743">
        <v>0</v>
      </c>
      <c r="C1743">
        <v>486</v>
      </c>
    </row>
    <row r="1744" spans="1:3" x14ac:dyDescent="0.25">
      <c r="A1744">
        <v>14</v>
      </c>
      <c r="B1744">
        <v>0</v>
      </c>
      <c r="C1744">
        <v>486</v>
      </c>
    </row>
    <row r="1745" spans="1:3" x14ac:dyDescent="0.25">
      <c r="A1745">
        <v>16</v>
      </c>
      <c r="B1745">
        <v>0</v>
      </c>
      <c r="C1745">
        <v>486</v>
      </c>
    </row>
    <row r="1746" spans="1:3" x14ac:dyDescent="0.25">
      <c r="A1746">
        <v>17</v>
      </c>
      <c r="B1746">
        <v>0</v>
      </c>
      <c r="C1746">
        <v>486</v>
      </c>
    </row>
    <row r="1747" spans="1:3" x14ac:dyDescent="0.25">
      <c r="A1747">
        <v>19</v>
      </c>
      <c r="B1747">
        <v>0</v>
      </c>
      <c r="C1747">
        <v>508</v>
      </c>
    </row>
    <row r="1748" spans="1:3" x14ac:dyDescent="0.25">
      <c r="A1748">
        <v>23</v>
      </c>
      <c r="B1748">
        <v>0</v>
      </c>
      <c r="C1748">
        <v>508</v>
      </c>
    </row>
    <row r="1749" spans="1:3" x14ac:dyDescent="0.25">
      <c r="A1749">
        <v>20</v>
      </c>
      <c r="B1749">
        <v>0</v>
      </c>
      <c r="C1749">
        <v>508</v>
      </c>
    </row>
    <row r="1750" spans="1:3" x14ac:dyDescent="0.25">
      <c r="A1750">
        <v>15</v>
      </c>
      <c r="B1750">
        <v>0</v>
      </c>
      <c r="C1750">
        <v>508</v>
      </c>
    </row>
    <row r="1751" spans="1:3" x14ac:dyDescent="0.25">
      <c r="A1751">
        <v>14</v>
      </c>
      <c r="B1751">
        <v>0</v>
      </c>
      <c r="C1751">
        <v>508</v>
      </c>
    </row>
    <row r="1752" spans="1:3" x14ac:dyDescent="0.25">
      <c r="A1752">
        <v>17</v>
      </c>
      <c r="B1752">
        <v>0</v>
      </c>
      <c r="C1752">
        <v>508</v>
      </c>
    </row>
    <row r="1753" spans="1:3" x14ac:dyDescent="0.25">
      <c r="A1753">
        <v>17</v>
      </c>
      <c r="B1753">
        <v>0</v>
      </c>
      <c r="C1753">
        <v>508</v>
      </c>
    </row>
    <row r="1754" spans="1:3" x14ac:dyDescent="0.25">
      <c r="A1754">
        <v>14</v>
      </c>
      <c r="B1754">
        <v>0</v>
      </c>
      <c r="C1754">
        <v>508</v>
      </c>
    </row>
    <row r="1755" spans="1:3" x14ac:dyDescent="0.25">
      <c r="A1755">
        <v>15</v>
      </c>
      <c r="B1755">
        <v>0</v>
      </c>
      <c r="C1755">
        <v>508</v>
      </c>
    </row>
    <row r="1756" spans="1:3" x14ac:dyDescent="0.25">
      <c r="A1756">
        <v>18</v>
      </c>
      <c r="B1756">
        <v>0</v>
      </c>
      <c r="C1756">
        <v>469</v>
      </c>
    </row>
    <row r="1757" spans="1:3" x14ac:dyDescent="0.25">
      <c r="A1757">
        <v>20</v>
      </c>
      <c r="B1757">
        <v>0</v>
      </c>
      <c r="C1757">
        <v>469</v>
      </c>
    </row>
    <row r="1758" spans="1:3" x14ac:dyDescent="0.25">
      <c r="A1758">
        <v>17</v>
      </c>
      <c r="B1758">
        <v>0</v>
      </c>
      <c r="C1758">
        <v>469</v>
      </c>
    </row>
    <row r="1759" spans="1:3" x14ac:dyDescent="0.25">
      <c r="A1759">
        <v>14</v>
      </c>
      <c r="B1759">
        <v>0</v>
      </c>
      <c r="C1759">
        <v>469</v>
      </c>
    </row>
    <row r="1760" spans="1:3" x14ac:dyDescent="0.25">
      <c r="A1760">
        <v>14</v>
      </c>
      <c r="B1760">
        <v>0</v>
      </c>
      <c r="C1760">
        <v>469</v>
      </c>
    </row>
    <row r="1761" spans="1:3" x14ac:dyDescent="0.25">
      <c r="A1761">
        <v>15</v>
      </c>
      <c r="B1761">
        <v>0</v>
      </c>
      <c r="C1761">
        <v>469</v>
      </c>
    </row>
    <row r="1762" spans="1:3" x14ac:dyDescent="0.25">
      <c r="A1762">
        <v>18</v>
      </c>
      <c r="B1762">
        <v>0</v>
      </c>
      <c r="C1762">
        <v>469</v>
      </c>
    </row>
    <row r="1763" spans="1:3" x14ac:dyDescent="0.25">
      <c r="A1763">
        <v>14</v>
      </c>
      <c r="B1763">
        <v>0</v>
      </c>
      <c r="C1763">
        <v>469</v>
      </c>
    </row>
    <row r="1764" spans="1:3" x14ac:dyDescent="0.25">
      <c r="A1764">
        <v>21</v>
      </c>
      <c r="B1764">
        <v>0</v>
      </c>
      <c r="C1764">
        <v>442</v>
      </c>
    </row>
    <row r="1765" spans="1:3" x14ac:dyDescent="0.25">
      <c r="A1765">
        <v>21</v>
      </c>
      <c r="B1765">
        <v>0</v>
      </c>
      <c r="C1765">
        <v>442</v>
      </c>
    </row>
    <row r="1766" spans="1:3" x14ac:dyDescent="0.25">
      <c r="A1766">
        <v>16</v>
      </c>
      <c r="B1766">
        <v>0</v>
      </c>
      <c r="C1766">
        <v>442</v>
      </c>
    </row>
    <row r="1767" spans="1:3" x14ac:dyDescent="0.25">
      <c r="A1767">
        <v>17</v>
      </c>
      <c r="B1767">
        <v>0</v>
      </c>
      <c r="C1767">
        <v>442</v>
      </c>
    </row>
    <row r="1768" spans="1:3" x14ac:dyDescent="0.25">
      <c r="A1768">
        <v>17</v>
      </c>
      <c r="B1768">
        <v>0</v>
      </c>
      <c r="C1768">
        <v>442</v>
      </c>
    </row>
    <row r="1769" spans="1:3" x14ac:dyDescent="0.25">
      <c r="A1769">
        <v>18</v>
      </c>
      <c r="B1769">
        <v>0</v>
      </c>
      <c r="C1769">
        <v>442</v>
      </c>
    </row>
    <row r="1770" spans="1:3" x14ac:dyDescent="0.25">
      <c r="A1770">
        <v>17</v>
      </c>
      <c r="B1770">
        <v>0</v>
      </c>
      <c r="C1770">
        <v>442</v>
      </c>
    </row>
    <row r="1771" spans="1:3" x14ac:dyDescent="0.25">
      <c r="A1771">
        <v>17</v>
      </c>
      <c r="B1771">
        <v>0</v>
      </c>
      <c r="C1771">
        <v>442</v>
      </c>
    </row>
    <row r="1772" spans="1:3" x14ac:dyDescent="0.25">
      <c r="A1772">
        <v>20</v>
      </c>
      <c r="B1772">
        <v>0</v>
      </c>
      <c r="C1772">
        <v>442</v>
      </c>
    </row>
    <row r="1773" spans="1:3" x14ac:dyDescent="0.25">
      <c r="A1773">
        <v>19</v>
      </c>
      <c r="B1773">
        <v>0</v>
      </c>
      <c r="C1773">
        <v>483</v>
      </c>
    </row>
    <row r="1774" spans="1:3" x14ac:dyDescent="0.25">
      <c r="A1774">
        <v>15</v>
      </c>
      <c r="B1774">
        <v>0</v>
      </c>
      <c r="C1774">
        <v>483</v>
      </c>
    </row>
    <row r="1775" spans="1:3" x14ac:dyDescent="0.25">
      <c r="A1775">
        <v>14</v>
      </c>
      <c r="B1775">
        <v>0</v>
      </c>
      <c r="C1775">
        <v>483</v>
      </c>
    </row>
    <row r="1776" spans="1:3" x14ac:dyDescent="0.25">
      <c r="A1776">
        <v>15</v>
      </c>
      <c r="B1776">
        <v>0</v>
      </c>
      <c r="C1776">
        <v>483</v>
      </c>
    </row>
    <row r="1777" spans="1:3" x14ac:dyDescent="0.25">
      <c r="A1777">
        <v>15</v>
      </c>
      <c r="B1777">
        <v>0</v>
      </c>
      <c r="C1777">
        <v>483</v>
      </c>
    </row>
    <row r="1778" spans="1:3" x14ac:dyDescent="0.25">
      <c r="A1778">
        <v>13</v>
      </c>
      <c r="B1778">
        <v>0</v>
      </c>
      <c r="C1778">
        <v>483</v>
      </c>
    </row>
    <row r="1779" spans="1:3" x14ac:dyDescent="0.25">
      <c r="A1779">
        <v>13</v>
      </c>
      <c r="B1779">
        <v>0</v>
      </c>
      <c r="C1779">
        <v>483</v>
      </c>
    </row>
    <row r="1780" spans="1:3" x14ac:dyDescent="0.25">
      <c r="A1780">
        <v>18</v>
      </c>
      <c r="B1780">
        <v>0</v>
      </c>
      <c r="C1780">
        <v>483</v>
      </c>
    </row>
    <row r="1781" spans="1:3" x14ac:dyDescent="0.25">
      <c r="A1781">
        <v>18</v>
      </c>
      <c r="B1781">
        <v>0</v>
      </c>
      <c r="C1781">
        <v>483</v>
      </c>
    </row>
    <row r="1782" spans="1:3" x14ac:dyDescent="0.25">
      <c r="A1782">
        <v>14</v>
      </c>
      <c r="B1782">
        <v>0</v>
      </c>
      <c r="C1782">
        <v>560</v>
      </c>
    </row>
    <row r="1783" spans="1:3" x14ac:dyDescent="0.25">
      <c r="A1783">
        <v>15</v>
      </c>
      <c r="B1783">
        <v>0</v>
      </c>
      <c r="C1783">
        <v>560</v>
      </c>
    </row>
    <row r="1784" spans="1:3" x14ac:dyDescent="0.25">
      <c r="A1784">
        <v>16</v>
      </c>
      <c r="B1784">
        <v>0</v>
      </c>
      <c r="C1784">
        <v>560</v>
      </c>
    </row>
    <row r="1785" spans="1:3" x14ac:dyDescent="0.25">
      <c r="A1785">
        <v>20</v>
      </c>
      <c r="B1785">
        <v>0</v>
      </c>
      <c r="C1785">
        <v>560</v>
      </c>
    </row>
    <row r="1786" spans="1:3" x14ac:dyDescent="0.25">
      <c r="A1786">
        <v>15</v>
      </c>
      <c r="B1786">
        <v>0</v>
      </c>
      <c r="C1786">
        <v>560</v>
      </c>
    </row>
    <row r="1787" spans="1:3" x14ac:dyDescent="0.25">
      <c r="A1787">
        <v>17</v>
      </c>
      <c r="B1787">
        <v>0</v>
      </c>
      <c r="C1787">
        <v>560</v>
      </c>
    </row>
    <row r="1788" spans="1:3" x14ac:dyDescent="0.25">
      <c r="A1788">
        <v>16</v>
      </c>
      <c r="B1788">
        <v>0</v>
      </c>
      <c r="C1788">
        <v>560</v>
      </c>
    </row>
    <row r="1789" spans="1:3" x14ac:dyDescent="0.25">
      <c r="A1789">
        <v>18</v>
      </c>
      <c r="B1789">
        <v>0</v>
      </c>
      <c r="C1789">
        <v>560</v>
      </c>
    </row>
    <row r="1790" spans="1:3" x14ac:dyDescent="0.25">
      <c r="A1790">
        <v>16</v>
      </c>
      <c r="B1790">
        <v>0</v>
      </c>
      <c r="C1790">
        <v>560</v>
      </c>
    </row>
    <row r="1791" spans="1:3" x14ac:dyDescent="0.25">
      <c r="A1791">
        <v>17</v>
      </c>
      <c r="B1791">
        <v>0</v>
      </c>
      <c r="C1791">
        <v>479</v>
      </c>
    </row>
    <row r="1792" spans="1:3" x14ac:dyDescent="0.25">
      <c r="A1792">
        <v>19</v>
      </c>
      <c r="B1792">
        <v>0</v>
      </c>
      <c r="C1792">
        <v>479</v>
      </c>
    </row>
    <row r="1793" spans="1:3" x14ac:dyDescent="0.25">
      <c r="A1793">
        <v>14</v>
      </c>
      <c r="B1793">
        <v>0</v>
      </c>
      <c r="C1793">
        <v>479</v>
      </c>
    </row>
    <row r="1794" spans="1:3" x14ac:dyDescent="0.25">
      <c r="A1794">
        <v>12</v>
      </c>
      <c r="B1794">
        <v>0</v>
      </c>
      <c r="C1794">
        <v>479</v>
      </c>
    </row>
    <row r="1795" spans="1:3" x14ac:dyDescent="0.25">
      <c r="A1795">
        <v>16</v>
      </c>
      <c r="B1795">
        <v>0</v>
      </c>
      <c r="C1795">
        <v>479</v>
      </c>
    </row>
    <row r="1796" spans="1:3" x14ac:dyDescent="0.25">
      <c r="A1796">
        <v>22</v>
      </c>
      <c r="B1796">
        <v>0</v>
      </c>
      <c r="C1796">
        <v>479</v>
      </c>
    </row>
    <row r="1797" spans="1:3" x14ac:dyDescent="0.25">
      <c r="A1797">
        <v>21</v>
      </c>
      <c r="B1797">
        <v>0</v>
      </c>
      <c r="C1797">
        <v>479</v>
      </c>
    </row>
    <row r="1798" spans="1:3" x14ac:dyDescent="0.25">
      <c r="A1798">
        <v>19</v>
      </c>
      <c r="B1798">
        <v>0</v>
      </c>
      <c r="C1798">
        <v>479</v>
      </c>
    </row>
    <row r="1799" spans="1:3" x14ac:dyDescent="0.25">
      <c r="A1799">
        <v>16</v>
      </c>
      <c r="B1799">
        <v>0</v>
      </c>
      <c r="C1799">
        <v>479</v>
      </c>
    </row>
    <row r="1800" spans="1:3" x14ac:dyDescent="0.25">
      <c r="A1800">
        <v>16</v>
      </c>
      <c r="B1800">
        <v>0</v>
      </c>
      <c r="C1800">
        <v>480</v>
      </c>
    </row>
    <row r="1801" spans="1:3" x14ac:dyDescent="0.25">
      <c r="A1801">
        <v>15</v>
      </c>
      <c r="B1801">
        <v>0</v>
      </c>
      <c r="C1801">
        <v>480</v>
      </c>
    </row>
    <row r="1802" spans="1:3" x14ac:dyDescent="0.25">
      <c r="A1802">
        <v>17</v>
      </c>
      <c r="B1802">
        <v>0</v>
      </c>
      <c r="C1802">
        <v>480</v>
      </c>
    </row>
    <row r="1803" spans="1:3" x14ac:dyDescent="0.25">
      <c r="A1803">
        <v>17</v>
      </c>
      <c r="B1803">
        <v>0</v>
      </c>
      <c r="C1803">
        <v>480</v>
      </c>
    </row>
    <row r="1804" spans="1:3" x14ac:dyDescent="0.25">
      <c r="A1804">
        <v>18</v>
      </c>
      <c r="B1804">
        <v>0</v>
      </c>
      <c r="C1804">
        <v>480</v>
      </c>
    </row>
    <row r="1805" spans="1:3" x14ac:dyDescent="0.25">
      <c r="A1805">
        <v>18</v>
      </c>
      <c r="B1805">
        <v>0</v>
      </c>
      <c r="C1805">
        <v>480</v>
      </c>
    </row>
    <row r="1806" spans="1:3" x14ac:dyDescent="0.25">
      <c r="A1806">
        <v>19</v>
      </c>
      <c r="B1806">
        <v>0</v>
      </c>
      <c r="C1806">
        <v>480</v>
      </c>
    </row>
    <row r="1807" spans="1:3" x14ac:dyDescent="0.25">
      <c r="A1807">
        <v>14</v>
      </c>
      <c r="B1807">
        <v>0</v>
      </c>
      <c r="C1807">
        <v>480</v>
      </c>
    </row>
    <row r="1808" spans="1:3" x14ac:dyDescent="0.25">
      <c r="A1808">
        <v>18</v>
      </c>
      <c r="B1808">
        <v>0</v>
      </c>
      <c r="C1808">
        <v>471</v>
      </c>
    </row>
    <row r="1809" spans="1:3" x14ac:dyDescent="0.25">
      <c r="A1809">
        <v>16</v>
      </c>
      <c r="B1809">
        <v>0</v>
      </c>
      <c r="C1809">
        <v>471</v>
      </c>
    </row>
    <row r="1810" spans="1:3" x14ac:dyDescent="0.25">
      <c r="A1810">
        <v>17</v>
      </c>
      <c r="B1810">
        <v>0</v>
      </c>
      <c r="C1810">
        <v>471</v>
      </c>
    </row>
    <row r="1811" spans="1:3" x14ac:dyDescent="0.25">
      <c r="A1811">
        <v>16</v>
      </c>
      <c r="B1811">
        <v>0</v>
      </c>
      <c r="C1811">
        <v>471</v>
      </c>
    </row>
    <row r="1812" spans="1:3" x14ac:dyDescent="0.25">
      <c r="A1812">
        <v>21</v>
      </c>
      <c r="B1812">
        <v>0</v>
      </c>
      <c r="C1812">
        <v>471</v>
      </c>
    </row>
    <row r="1813" spans="1:3" x14ac:dyDescent="0.25">
      <c r="A1813">
        <v>20</v>
      </c>
      <c r="B1813">
        <v>0</v>
      </c>
      <c r="C1813">
        <v>471</v>
      </c>
    </row>
    <row r="1814" spans="1:3" x14ac:dyDescent="0.25">
      <c r="A1814">
        <v>15</v>
      </c>
      <c r="B1814">
        <v>0</v>
      </c>
      <c r="C1814">
        <v>471</v>
      </c>
    </row>
    <row r="1815" spans="1:3" x14ac:dyDescent="0.25">
      <c r="A1815">
        <v>17</v>
      </c>
      <c r="B1815">
        <v>0</v>
      </c>
      <c r="C1815">
        <v>471</v>
      </c>
    </row>
    <row r="1816" spans="1:3" x14ac:dyDescent="0.25">
      <c r="A1816">
        <v>15</v>
      </c>
      <c r="B1816">
        <v>0</v>
      </c>
      <c r="C1816">
        <v>539</v>
      </c>
    </row>
    <row r="1817" spans="1:3" x14ac:dyDescent="0.25">
      <c r="A1817">
        <v>18</v>
      </c>
      <c r="B1817">
        <v>0</v>
      </c>
      <c r="C1817">
        <v>539</v>
      </c>
    </row>
    <row r="1818" spans="1:3" x14ac:dyDescent="0.25">
      <c r="A1818">
        <v>15</v>
      </c>
      <c r="B1818">
        <v>0</v>
      </c>
      <c r="C1818">
        <v>539</v>
      </c>
    </row>
    <row r="1819" spans="1:3" x14ac:dyDescent="0.25">
      <c r="A1819">
        <v>14</v>
      </c>
      <c r="B1819">
        <v>0</v>
      </c>
      <c r="C1819">
        <v>539</v>
      </c>
    </row>
    <row r="1820" spans="1:3" x14ac:dyDescent="0.25">
      <c r="A1820">
        <v>18</v>
      </c>
      <c r="B1820">
        <v>0</v>
      </c>
      <c r="C1820">
        <v>539</v>
      </c>
    </row>
    <row r="1821" spans="1:3" x14ac:dyDescent="0.25">
      <c r="A1821">
        <v>20</v>
      </c>
      <c r="B1821">
        <v>0</v>
      </c>
      <c r="C1821">
        <v>539</v>
      </c>
    </row>
    <row r="1822" spans="1:3" x14ac:dyDescent="0.25">
      <c r="A1822">
        <v>16</v>
      </c>
      <c r="B1822">
        <v>0</v>
      </c>
      <c r="C1822">
        <v>539</v>
      </c>
    </row>
    <row r="1823" spans="1:3" x14ac:dyDescent="0.25">
      <c r="A1823">
        <v>13</v>
      </c>
      <c r="B1823">
        <v>0</v>
      </c>
      <c r="C1823">
        <v>539</v>
      </c>
    </row>
    <row r="1824" spans="1:3" x14ac:dyDescent="0.25">
      <c r="A1824">
        <v>19</v>
      </c>
      <c r="B1824">
        <v>0</v>
      </c>
      <c r="C1824">
        <v>539</v>
      </c>
    </row>
    <row r="1825" spans="1:3" x14ac:dyDescent="0.25">
      <c r="A1825">
        <v>13</v>
      </c>
      <c r="B1825">
        <v>0</v>
      </c>
      <c r="C1825">
        <v>445</v>
      </c>
    </row>
    <row r="1826" spans="1:3" x14ac:dyDescent="0.25">
      <c r="A1826">
        <v>16</v>
      </c>
      <c r="B1826">
        <v>0</v>
      </c>
      <c r="C1826">
        <v>445</v>
      </c>
    </row>
    <row r="1827" spans="1:3" x14ac:dyDescent="0.25">
      <c r="A1827">
        <v>20</v>
      </c>
      <c r="B1827">
        <v>0</v>
      </c>
      <c r="C1827">
        <v>445</v>
      </c>
    </row>
    <row r="1828" spans="1:3" x14ac:dyDescent="0.25">
      <c r="A1828">
        <v>21</v>
      </c>
      <c r="B1828">
        <v>0</v>
      </c>
      <c r="C1828">
        <v>445</v>
      </c>
    </row>
    <row r="1829" spans="1:3" x14ac:dyDescent="0.25">
      <c r="A1829">
        <v>21</v>
      </c>
      <c r="B1829">
        <v>0</v>
      </c>
      <c r="C1829">
        <v>445</v>
      </c>
    </row>
    <row r="1830" spans="1:3" x14ac:dyDescent="0.25">
      <c r="A1830">
        <v>14</v>
      </c>
      <c r="B1830">
        <v>0</v>
      </c>
      <c r="C1830">
        <v>445</v>
      </c>
    </row>
    <row r="1831" spans="1:3" x14ac:dyDescent="0.25">
      <c r="A1831">
        <v>15</v>
      </c>
      <c r="B1831">
        <v>0</v>
      </c>
      <c r="C1831">
        <v>445</v>
      </c>
    </row>
    <row r="1832" spans="1:3" x14ac:dyDescent="0.25">
      <c r="A1832">
        <v>16</v>
      </c>
      <c r="B1832">
        <v>0</v>
      </c>
      <c r="C1832">
        <v>445</v>
      </c>
    </row>
    <row r="1833" spans="1:3" x14ac:dyDescent="0.25">
      <c r="A1833">
        <v>16</v>
      </c>
      <c r="B1833">
        <v>0</v>
      </c>
      <c r="C1833">
        <v>517</v>
      </c>
    </row>
    <row r="1834" spans="1:3" x14ac:dyDescent="0.25">
      <c r="A1834">
        <v>16</v>
      </c>
      <c r="B1834">
        <v>0</v>
      </c>
      <c r="C1834">
        <v>517</v>
      </c>
    </row>
    <row r="1835" spans="1:3" x14ac:dyDescent="0.25">
      <c r="A1835">
        <v>17</v>
      </c>
      <c r="B1835">
        <v>0</v>
      </c>
      <c r="C1835">
        <v>517</v>
      </c>
    </row>
    <row r="1836" spans="1:3" x14ac:dyDescent="0.25">
      <c r="A1836">
        <v>18</v>
      </c>
      <c r="B1836">
        <v>0</v>
      </c>
      <c r="C1836">
        <v>517</v>
      </c>
    </row>
    <row r="1837" spans="1:3" x14ac:dyDescent="0.25">
      <c r="A1837">
        <v>20</v>
      </c>
      <c r="B1837">
        <v>0</v>
      </c>
      <c r="C1837">
        <v>517</v>
      </c>
    </row>
    <row r="1838" spans="1:3" x14ac:dyDescent="0.25">
      <c r="A1838">
        <v>12</v>
      </c>
      <c r="B1838">
        <v>0</v>
      </c>
      <c r="C1838">
        <v>517</v>
      </c>
    </row>
    <row r="1839" spans="1:3" x14ac:dyDescent="0.25">
      <c r="A1839">
        <v>13</v>
      </c>
      <c r="B1839">
        <v>0</v>
      </c>
      <c r="C1839">
        <v>517</v>
      </c>
    </row>
    <row r="1840" spans="1:3" x14ac:dyDescent="0.25">
      <c r="A1840">
        <v>15</v>
      </c>
      <c r="B1840">
        <v>0</v>
      </c>
      <c r="C1840">
        <v>517</v>
      </c>
    </row>
    <row r="1841" spans="1:3" x14ac:dyDescent="0.25">
      <c r="A1841">
        <v>14</v>
      </c>
      <c r="B1841">
        <v>0</v>
      </c>
      <c r="C1841">
        <v>517</v>
      </c>
    </row>
    <row r="1842" spans="1:3" x14ac:dyDescent="0.25">
      <c r="A1842">
        <v>17</v>
      </c>
      <c r="B1842">
        <v>0</v>
      </c>
      <c r="C1842">
        <v>530</v>
      </c>
    </row>
    <row r="1843" spans="1:3" x14ac:dyDescent="0.25">
      <c r="A1843">
        <v>14</v>
      </c>
      <c r="B1843">
        <v>0</v>
      </c>
      <c r="C1843">
        <v>530</v>
      </c>
    </row>
    <row r="1844" spans="1:3" x14ac:dyDescent="0.25">
      <c r="A1844">
        <v>20</v>
      </c>
      <c r="B1844">
        <v>0</v>
      </c>
      <c r="C1844">
        <v>530</v>
      </c>
    </row>
    <row r="1845" spans="1:3" x14ac:dyDescent="0.25">
      <c r="A1845">
        <v>21</v>
      </c>
      <c r="B1845">
        <v>0</v>
      </c>
      <c r="C1845">
        <v>530</v>
      </c>
    </row>
    <row r="1846" spans="1:3" x14ac:dyDescent="0.25">
      <c r="A1846">
        <v>13</v>
      </c>
      <c r="B1846">
        <v>0</v>
      </c>
      <c r="C1846">
        <v>530</v>
      </c>
    </row>
    <row r="1847" spans="1:3" x14ac:dyDescent="0.25">
      <c r="A1847">
        <v>14</v>
      </c>
      <c r="B1847">
        <v>0</v>
      </c>
      <c r="C1847">
        <v>530</v>
      </c>
    </row>
    <row r="1848" spans="1:3" x14ac:dyDescent="0.25">
      <c r="A1848">
        <v>14</v>
      </c>
      <c r="B1848">
        <v>0</v>
      </c>
      <c r="C1848">
        <v>530</v>
      </c>
    </row>
    <row r="1849" spans="1:3" x14ac:dyDescent="0.25">
      <c r="A1849">
        <v>16</v>
      </c>
      <c r="B1849">
        <v>0</v>
      </c>
      <c r="C1849">
        <v>530</v>
      </c>
    </row>
    <row r="1850" spans="1:3" x14ac:dyDescent="0.25">
      <c r="A1850">
        <v>16</v>
      </c>
      <c r="B1850">
        <v>0</v>
      </c>
      <c r="C1850">
        <v>530</v>
      </c>
    </row>
    <row r="1851" spans="1:3" x14ac:dyDescent="0.25">
      <c r="A1851">
        <v>15</v>
      </c>
      <c r="B1851">
        <v>0</v>
      </c>
      <c r="C1851">
        <v>473</v>
      </c>
    </row>
    <row r="1852" spans="1:3" x14ac:dyDescent="0.25">
      <c r="A1852">
        <v>18</v>
      </c>
      <c r="B1852">
        <v>0</v>
      </c>
      <c r="C1852">
        <v>473</v>
      </c>
    </row>
    <row r="1853" spans="1:3" x14ac:dyDescent="0.25">
      <c r="A1853">
        <v>15</v>
      </c>
      <c r="B1853">
        <v>0</v>
      </c>
      <c r="C1853">
        <v>473</v>
      </c>
    </row>
    <row r="1854" spans="1:3" x14ac:dyDescent="0.25">
      <c r="A1854">
        <v>14</v>
      </c>
      <c r="B1854">
        <v>0</v>
      </c>
      <c r="C1854">
        <v>473</v>
      </c>
    </row>
    <row r="1855" spans="1:3" x14ac:dyDescent="0.25">
      <c r="A1855">
        <v>18</v>
      </c>
      <c r="B1855">
        <v>0</v>
      </c>
      <c r="C1855">
        <v>473</v>
      </c>
    </row>
    <row r="1856" spans="1:3" x14ac:dyDescent="0.25">
      <c r="A1856">
        <v>14</v>
      </c>
      <c r="B1856">
        <v>0</v>
      </c>
      <c r="C1856">
        <v>473</v>
      </c>
    </row>
    <row r="1857" spans="1:3" x14ac:dyDescent="0.25">
      <c r="A1857">
        <v>19</v>
      </c>
      <c r="B1857">
        <v>0</v>
      </c>
      <c r="C1857">
        <v>473</v>
      </c>
    </row>
    <row r="1858" spans="1:3" x14ac:dyDescent="0.25">
      <c r="A1858">
        <v>17</v>
      </c>
      <c r="B1858">
        <v>0</v>
      </c>
      <c r="C1858">
        <v>473</v>
      </c>
    </row>
    <row r="1859" spans="1:3" x14ac:dyDescent="0.25">
      <c r="A1859">
        <v>15</v>
      </c>
      <c r="B1859">
        <v>0</v>
      </c>
      <c r="C1859">
        <v>473</v>
      </c>
    </row>
    <row r="1860" spans="1:3" x14ac:dyDescent="0.25">
      <c r="A1860">
        <v>13</v>
      </c>
      <c r="B1860">
        <v>0</v>
      </c>
      <c r="C1860">
        <v>490</v>
      </c>
    </row>
    <row r="1861" spans="1:3" x14ac:dyDescent="0.25">
      <c r="A1861">
        <v>21</v>
      </c>
      <c r="B1861">
        <v>0</v>
      </c>
      <c r="C1861">
        <v>490</v>
      </c>
    </row>
    <row r="1862" spans="1:3" x14ac:dyDescent="0.25">
      <c r="A1862">
        <v>14</v>
      </c>
      <c r="B1862">
        <v>0</v>
      </c>
      <c r="C1862">
        <v>490</v>
      </c>
    </row>
    <row r="1863" spans="1:3" x14ac:dyDescent="0.25">
      <c r="A1863">
        <v>14</v>
      </c>
      <c r="B1863">
        <v>0</v>
      </c>
      <c r="C1863">
        <v>490</v>
      </c>
    </row>
    <row r="1864" spans="1:3" x14ac:dyDescent="0.25">
      <c r="A1864">
        <v>16</v>
      </c>
      <c r="B1864">
        <v>0</v>
      </c>
      <c r="C1864">
        <v>490</v>
      </c>
    </row>
    <row r="1865" spans="1:3" x14ac:dyDescent="0.25">
      <c r="A1865">
        <v>15</v>
      </c>
      <c r="B1865">
        <v>0</v>
      </c>
      <c r="C1865">
        <v>490</v>
      </c>
    </row>
    <row r="1866" spans="1:3" x14ac:dyDescent="0.25">
      <c r="A1866">
        <v>15</v>
      </c>
      <c r="B1866">
        <v>0</v>
      </c>
      <c r="C1866">
        <v>490</v>
      </c>
    </row>
    <row r="1867" spans="1:3" x14ac:dyDescent="0.25">
      <c r="A1867">
        <v>20</v>
      </c>
      <c r="B1867">
        <v>0</v>
      </c>
      <c r="C1867">
        <v>490</v>
      </c>
    </row>
    <row r="1868" spans="1:3" x14ac:dyDescent="0.25">
      <c r="A1868">
        <v>15</v>
      </c>
      <c r="B1868">
        <v>0</v>
      </c>
      <c r="C1868">
        <v>490</v>
      </c>
    </row>
    <row r="1869" spans="1:3" x14ac:dyDescent="0.25">
      <c r="A1869">
        <v>20</v>
      </c>
      <c r="B1869">
        <v>0</v>
      </c>
      <c r="C1869">
        <v>501</v>
      </c>
    </row>
    <row r="1870" spans="1:3" x14ac:dyDescent="0.25">
      <c r="A1870">
        <v>19</v>
      </c>
      <c r="B1870">
        <v>0</v>
      </c>
      <c r="C1870">
        <v>501</v>
      </c>
    </row>
    <row r="1871" spans="1:3" x14ac:dyDescent="0.25">
      <c r="A1871">
        <v>18</v>
      </c>
      <c r="B1871">
        <v>0</v>
      </c>
      <c r="C1871">
        <v>501</v>
      </c>
    </row>
    <row r="1872" spans="1:3" x14ac:dyDescent="0.25">
      <c r="A1872">
        <v>15</v>
      </c>
      <c r="B1872">
        <v>0</v>
      </c>
      <c r="C1872">
        <v>501</v>
      </c>
    </row>
    <row r="1873" spans="1:3" x14ac:dyDescent="0.25">
      <c r="A1873">
        <v>18</v>
      </c>
      <c r="B1873">
        <v>0</v>
      </c>
      <c r="C1873">
        <v>501</v>
      </c>
    </row>
    <row r="1874" spans="1:3" x14ac:dyDescent="0.25">
      <c r="A1874">
        <v>16</v>
      </c>
      <c r="B1874">
        <v>0</v>
      </c>
      <c r="C1874">
        <v>501</v>
      </c>
    </row>
    <row r="1875" spans="1:3" x14ac:dyDescent="0.25">
      <c r="A1875">
        <v>17</v>
      </c>
      <c r="B1875">
        <v>0</v>
      </c>
      <c r="C1875">
        <v>501</v>
      </c>
    </row>
    <row r="1876" spans="1:3" x14ac:dyDescent="0.25">
      <c r="A1876">
        <v>19</v>
      </c>
      <c r="B1876">
        <v>0</v>
      </c>
      <c r="C1876">
        <v>501</v>
      </c>
    </row>
    <row r="1877" spans="1:3" x14ac:dyDescent="0.25">
      <c r="A1877">
        <v>18</v>
      </c>
      <c r="B1877">
        <v>0</v>
      </c>
      <c r="C1877">
        <v>505</v>
      </c>
    </row>
    <row r="1878" spans="1:3" x14ac:dyDescent="0.25">
      <c r="A1878">
        <v>19</v>
      </c>
      <c r="B1878">
        <v>0</v>
      </c>
      <c r="C1878">
        <v>505</v>
      </c>
    </row>
    <row r="1879" spans="1:3" x14ac:dyDescent="0.25">
      <c r="A1879">
        <v>18</v>
      </c>
      <c r="B1879">
        <v>0</v>
      </c>
      <c r="C1879">
        <v>505</v>
      </c>
    </row>
    <row r="1880" spans="1:3" x14ac:dyDescent="0.25">
      <c r="A1880">
        <v>18</v>
      </c>
      <c r="B1880">
        <v>0</v>
      </c>
      <c r="C1880">
        <v>505</v>
      </c>
    </row>
    <row r="1881" spans="1:3" x14ac:dyDescent="0.25">
      <c r="A1881">
        <v>15</v>
      </c>
      <c r="B1881">
        <v>0</v>
      </c>
      <c r="C1881">
        <v>505</v>
      </c>
    </row>
    <row r="1882" spans="1:3" x14ac:dyDescent="0.25">
      <c r="A1882">
        <v>17</v>
      </c>
      <c r="B1882">
        <v>0</v>
      </c>
      <c r="C1882">
        <v>505</v>
      </c>
    </row>
    <row r="1883" spans="1:3" x14ac:dyDescent="0.25">
      <c r="A1883">
        <v>17</v>
      </c>
      <c r="B1883">
        <v>0</v>
      </c>
      <c r="C1883">
        <v>505</v>
      </c>
    </row>
    <row r="1884" spans="1:3" x14ac:dyDescent="0.25">
      <c r="A1884">
        <v>15</v>
      </c>
      <c r="B1884">
        <v>0</v>
      </c>
      <c r="C1884">
        <v>505</v>
      </c>
    </row>
    <row r="1885" spans="1:3" x14ac:dyDescent="0.25">
      <c r="A1885">
        <v>21</v>
      </c>
      <c r="B1885">
        <v>0</v>
      </c>
      <c r="C1885">
        <v>595</v>
      </c>
    </row>
    <row r="1886" spans="1:3" x14ac:dyDescent="0.25">
      <c r="A1886">
        <v>21</v>
      </c>
      <c r="B1886">
        <v>0</v>
      </c>
      <c r="C1886">
        <v>595</v>
      </c>
    </row>
    <row r="1887" spans="1:3" x14ac:dyDescent="0.25">
      <c r="A1887">
        <v>21</v>
      </c>
      <c r="B1887">
        <v>0</v>
      </c>
      <c r="C1887">
        <v>595</v>
      </c>
    </row>
    <row r="1888" spans="1:3" x14ac:dyDescent="0.25">
      <c r="A1888">
        <v>21</v>
      </c>
      <c r="B1888">
        <v>0</v>
      </c>
      <c r="C1888">
        <v>595</v>
      </c>
    </row>
    <row r="1889" spans="1:3" x14ac:dyDescent="0.25">
      <c r="A1889">
        <v>21</v>
      </c>
      <c r="B1889">
        <v>0</v>
      </c>
      <c r="C1889">
        <v>595</v>
      </c>
    </row>
    <row r="1890" spans="1:3" x14ac:dyDescent="0.25">
      <c r="A1890">
        <v>22</v>
      </c>
      <c r="B1890">
        <v>0</v>
      </c>
      <c r="C1890">
        <v>595</v>
      </c>
    </row>
    <row r="1891" spans="1:3" x14ac:dyDescent="0.25">
      <c r="A1891">
        <v>19</v>
      </c>
      <c r="B1891">
        <v>0</v>
      </c>
      <c r="C1891">
        <v>595</v>
      </c>
    </row>
    <row r="1892" spans="1:3" x14ac:dyDescent="0.25">
      <c r="A1892">
        <v>19</v>
      </c>
      <c r="B1892">
        <v>0</v>
      </c>
      <c r="C1892">
        <v>818</v>
      </c>
    </row>
    <row r="1893" spans="1:3" x14ac:dyDescent="0.25">
      <c r="A1893">
        <v>15</v>
      </c>
      <c r="B1893">
        <v>0</v>
      </c>
      <c r="C1893">
        <v>818</v>
      </c>
    </row>
    <row r="1894" spans="1:3" x14ac:dyDescent="0.25">
      <c r="A1894">
        <v>20</v>
      </c>
      <c r="B1894">
        <v>0</v>
      </c>
      <c r="C1894">
        <v>293</v>
      </c>
    </row>
    <row r="1895" spans="1:3" x14ac:dyDescent="0.25">
      <c r="A1895">
        <v>12</v>
      </c>
      <c r="B1895">
        <v>0</v>
      </c>
      <c r="C1895">
        <v>293</v>
      </c>
    </row>
    <row r="1896" spans="1:3" x14ac:dyDescent="0.25">
      <c r="A1896">
        <v>19</v>
      </c>
      <c r="B1896">
        <v>0</v>
      </c>
      <c r="C1896">
        <v>293</v>
      </c>
    </row>
    <row r="1897" spans="1:3" x14ac:dyDescent="0.25">
      <c r="A1897">
        <v>14</v>
      </c>
      <c r="B1897">
        <v>0</v>
      </c>
      <c r="C1897">
        <v>293</v>
      </c>
    </row>
    <row r="1898" spans="1:3" x14ac:dyDescent="0.25">
      <c r="A1898">
        <v>15</v>
      </c>
      <c r="B1898">
        <v>0</v>
      </c>
      <c r="C1898">
        <v>293</v>
      </c>
    </row>
    <row r="1899" spans="1:3" x14ac:dyDescent="0.25">
      <c r="A1899">
        <v>17</v>
      </c>
      <c r="B1899">
        <v>0</v>
      </c>
      <c r="C1899">
        <v>293</v>
      </c>
    </row>
    <row r="1900" spans="1:3" x14ac:dyDescent="0.25">
      <c r="A1900">
        <v>17</v>
      </c>
      <c r="B1900">
        <v>0</v>
      </c>
      <c r="C1900">
        <v>293</v>
      </c>
    </row>
    <row r="1901" spans="1:3" x14ac:dyDescent="0.25">
      <c r="A1901">
        <v>17</v>
      </c>
      <c r="B1901">
        <v>0</v>
      </c>
      <c r="C1901">
        <v>293</v>
      </c>
    </row>
    <row r="1902" spans="1:3" x14ac:dyDescent="0.25">
      <c r="A1902">
        <v>18</v>
      </c>
      <c r="B1902">
        <v>0</v>
      </c>
      <c r="C1902">
        <v>464</v>
      </c>
    </row>
    <row r="1903" spans="1:3" x14ac:dyDescent="0.25">
      <c r="A1903">
        <v>15</v>
      </c>
      <c r="B1903">
        <v>0</v>
      </c>
      <c r="C1903">
        <v>464</v>
      </c>
    </row>
    <row r="1904" spans="1:3" x14ac:dyDescent="0.25">
      <c r="A1904">
        <v>14</v>
      </c>
      <c r="B1904">
        <v>0</v>
      </c>
      <c r="C1904">
        <v>464</v>
      </c>
    </row>
    <row r="1905" spans="1:3" x14ac:dyDescent="0.25">
      <c r="A1905">
        <v>17</v>
      </c>
      <c r="B1905">
        <v>0</v>
      </c>
      <c r="C1905">
        <v>464</v>
      </c>
    </row>
    <row r="1906" spans="1:3" x14ac:dyDescent="0.25">
      <c r="A1906">
        <v>13</v>
      </c>
      <c r="B1906">
        <v>0</v>
      </c>
      <c r="C1906">
        <v>464</v>
      </c>
    </row>
    <row r="1907" spans="1:3" x14ac:dyDescent="0.25">
      <c r="A1907">
        <v>18</v>
      </c>
      <c r="B1907">
        <v>0</v>
      </c>
      <c r="C1907">
        <v>464</v>
      </c>
    </row>
    <row r="1908" spans="1:3" x14ac:dyDescent="0.25">
      <c r="A1908">
        <v>16</v>
      </c>
      <c r="B1908">
        <v>0</v>
      </c>
      <c r="C1908">
        <v>464</v>
      </c>
    </row>
    <row r="1909" spans="1:3" x14ac:dyDescent="0.25">
      <c r="A1909">
        <v>17</v>
      </c>
      <c r="B1909">
        <v>0</v>
      </c>
      <c r="C1909">
        <v>464</v>
      </c>
    </row>
    <row r="1910" spans="1:3" x14ac:dyDescent="0.25">
      <c r="A1910">
        <v>17</v>
      </c>
      <c r="B1910">
        <v>0</v>
      </c>
      <c r="C1910">
        <v>413</v>
      </c>
    </row>
    <row r="1911" spans="1:3" x14ac:dyDescent="0.25">
      <c r="A1911">
        <v>14</v>
      </c>
      <c r="B1911">
        <v>0</v>
      </c>
      <c r="C1911">
        <v>413</v>
      </c>
    </row>
    <row r="1912" spans="1:3" x14ac:dyDescent="0.25">
      <c r="A1912">
        <v>14</v>
      </c>
      <c r="B1912">
        <v>0</v>
      </c>
      <c r="C1912">
        <v>413</v>
      </c>
    </row>
    <row r="1913" spans="1:3" x14ac:dyDescent="0.25">
      <c r="A1913">
        <v>15</v>
      </c>
      <c r="B1913">
        <v>0</v>
      </c>
      <c r="C1913">
        <v>413</v>
      </c>
    </row>
    <row r="1914" spans="1:3" x14ac:dyDescent="0.25">
      <c r="A1914">
        <v>12</v>
      </c>
      <c r="B1914">
        <v>0</v>
      </c>
      <c r="C1914">
        <v>413</v>
      </c>
    </row>
    <row r="1915" spans="1:3" x14ac:dyDescent="0.25">
      <c r="A1915">
        <v>14</v>
      </c>
      <c r="B1915">
        <v>0</v>
      </c>
      <c r="C1915">
        <v>413</v>
      </c>
    </row>
    <row r="1916" spans="1:3" x14ac:dyDescent="0.25">
      <c r="A1916">
        <v>19</v>
      </c>
      <c r="B1916">
        <v>0</v>
      </c>
      <c r="C1916">
        <v>413</v>
      </c>
    </row>
    <row r="1917" spans="1:3" x14ac:dyDescent="0.25">
      <c r="A1917">
        <v>15</v>
      </c>
      <c r="B1917">
        <v>0</v>
      </c>
      <c r="C1917">
        <v>413</v>
      </c>
    </row>
    <row r="1918" spans="1:3" x14ac:dyDescent="0.25">
      <c r="A1918">
        <v>15</v>
      </c>
      <c r="B1918">
        <v>0</v>
      </c>
      <c r="C1918">
        <v>413</v>
      </c>
    </row>
    <row r="1919" spans="1:3" x14ac:dyDescent="0.25">
      <c r="A1919">
        <v>16</v>
      </c>
      <c r="B1919">
        <v>0</v>
      </c>
      <c r="C1919">
        <v>447</v>
      </c>
    </row>
    <row r="1920" spans="1:3" x14ac:dyDescent="0.25">
      <c r="A1920">
        <v>17</v>
      </c>
      <c r="B1920">
        <v>0</v>
      </c>
      <c r="C1920">
        <v>447</v>
      </c>
    </row>
    <row r="1921" spans="1:3" x14ac:dyDescent="0.25">
      <c r="A1921">
        <v>15</v>
      </c>
      <c r="B1921">
        <v>0</v>
      </c>
      <c r="C1921">
        <v>447</v>
      </c>
    </row>
    <row r="1922" spans="1:3" x14ac:dyDescent="0.25">
      <c r="A1922">
        <v>18</v>
      </c>
      <c r="B1922">
        <v>0</v>
      </c>
      <c r="C1922">
        <v>447</v>
      </c>
    </row>
    <row r="1923" spans="1:3" x14ac:dyDescent="0.25">
      <c r="A1923">
        <v>16</v>
      </c>
      <c r="B1923">
        <v>0</v>
      </c>
      <c r="C1923">
        <v>447</v>
      </c>
    </row>
    <row r="1924" spans="1:3" x14ac:dyDescent="0.25">
      <c r="A1924">
        <v>19</v>
      </c>
      <c r="B1924">
        <v>0</v>
      </c>
      <c r="C1924">
        <v>447</v>
      </c>
    </row>
    <row r="1925" spans="1:3" x14ac:dyDescent="0.25">
      <c r="A1925">
        <v>14</v>
      </c>
      <c r="B1925">
        <v>0</v>
      </c>
      <c r="C1925">
        <v>447</v>
      </c>
    </row>
    <row r="1926" spans="1:3" x14ac:dyDescent="0.25">
      <c r="A1926">
        <v>14</v>
      </c>
      <c r="B1926">
        <v>0</v>
      </c>
      <c r="C1926">
        <v>447</v>
      </c>
    </row>
    <row r="1927" spans="1:3" x14ac:dyDescent="0.25">
      <c r="A1927">
        <v>16</v>
      </c>
      <c r="B1927">
        <v>0</v>
      </c>
      <c r="C1927">
        <v>447</v>
      </c>
    </row>
    <row r="1928" spans="1:3" x14ac:dyDescent="0.25">
      <c r="A1928">
        <v>16</v>
      </c>
      <c r="B1928">
        <v>0</v>
      </c>
      <c r="C1928">
        <v>469</v>
      </c>
    </row>
    <row r="1929" spans="1:3" x14ac:dyDescent="0.25">
      <c r="A1929">
        <v>16</v>
      </c>
      <c r="B1929">
        <v>0</v>
      </c>
      <c r="C1929">
        <v>469</v>
      </c>
    </row>
    <row r="1930" spans="1:3" x14ac:dyDescent="0.25">
      <c r="A1930">
        <v>15</v>
      </c>
      <c r="B1930">
        <v>0</v>
      </c>
      <c r="C1930">
        <v>469</v>
      </c>
    </row>
    <row r="1931" spans="1:3" x14ac:dyDescent="0.25">
      <c r="A1931">
        <v>20</v>
      </c>
      <c r="B1931">
        <v>0</v>
      </c>
      <c r="C1931">
        <v>469</v>
      </c>
    </row>
    <row r="1932" spans="1:3" x14ac:dyDescent="0.25">
      <c r="A1932">
        <v>21</v>
      </c>
      <c r="B1932">
        <v>0</v>
      </c>
      <c r="C1932">
        <v>469</v>
      </c>
    </row>
    <row r="1933" spans="1:3" x14ac:dyDescent="0.25">
      <c r="A1933">
        <v>16</v>
      </c>
      <c r="B1933">
        <v>0</v>
      </c>
      <c r="C1933">
        <v>469</v>
      </c>
    </row>
    <row r="1934" spans="1:3" x14ac:dyDescent="0.25">
      <c r="A1934">
        <v>17</v>
      </c>
      <c r="B1934">
        <v>0</v>
      </c>
      <c r="C1934">
        <v>469</v>
      </c>
    </row>
    <row r="1935" spans="1:3" x14ac:dyDescent="0.25">
      <c r="A1935">
        <v>17</v>
      </c>
      <c r="B1935">
        <v>0</v>
      </c>
      <c r="C1935">
        <v>469</v>
      </c>
    </row>
    <row r="1936" spans="1:3" x14ac:dyDescent="0.25">
      <c r="A1936">
        <v>14</v>
      </c>
      <c r="B1936">
        <v>0</v>
      </c>
      <c r="C1936">
        <v>555</v>
      </c>
    </row>
    <row r="1937" spans="1:3" x14ac:dyDescent="0.25">
      <c r="A1937">
        <v>20</v>
      </c>
      <c r="B1937">
        <v>0</v>
      </c>
      <c r="C1937">
        <v>555</v>
      </c>
    </row>
    <row r="1938" spans="1:3" x14ac:dyDescent="0.25">
      <c r="A1938">
        <v>15</v>
      </c>
      <c r="B1938">
        <v>0</v>
      </c>
      <c r="C1938">
        <v>555</v>
      </c>
    </row>
    <row r="1939" spans="1:3" x14ac:dyDescent="0.25">
      <c r="A1939">
        <v>17</v>
      </c>
      <c r="B1939">
        <v>0</v>
      </c>
      <c r="C1939">
        <v>555</v>
      </c>
    </row>
    <row r="1940" spans="1:3" x14ac:dyDescent="0.25">
      <c r="A1940">
        <v>25</v>
      </c>
      <c r="B1940">
        <v>0</v>
      </c>
      <c r="C1940">
        <v>555</v>
      </c>
    </row>
    <row r="1941" spans="1:3" x14ac:dyDescent="0.25">
      <c r="A1941">
        <v>14</v>
      </c>
      <c r="B1941">
        <v>0</v>
      </c>
      <c r="C1941">
        <v>555</v>
      </c>
    </row>
    <row r="1942" spans="1:3" x14ac:dyDescent="0.25">
      <c r="A1942">
        <v>17</v>
      </c>
      <c r="B1942">
        <v>0</v>
      </c>
      <c r="C1942">
        <v>555</v>
      </c>
    </row>
    <row r="1943" spans="1:3" x14ac:dyDescent="0.25">
      <c r="A1943">
        <v>18</v>
      </c>
      <c r="B1943">
        <v>0</v>
      </c>
      <c r="C1943">
        <v>555</v>
      </c>
    </row>
    <row r="1944" spans="1:3" x14ac:dyDescent="0.25">
      <c r="A1944">
        <v>13</v>
      </c>
      <c r="B1944">
        <v>0</v>
      </c>
      <c r="C1944">
        <v>530</v>
      </c>
    </row>
    <row r="1945" spans="1:3" x14ac:dyDescent="0.25">
      <c r="A1945">
        <v>17</v>
      </c>
      <c r="B1945">
        <v>0</v>
      </c>
      <c r="C1945">
        <v>530</v>
      </c>
    </row>
    <row r="1946" spans="1:3" x14ac:dyDescent="0.25">
      <c r="A1946">
        <v>20</v>
      </c>
      <c r="B1946">
        <v>0</v>
      </c>
      <c r="C1946">
        <v>530</v>
      </c>
    </row>
    <row r="1947" spans="1:3" x14ac:dyDescent="0.25">
      <c r="A1947">
        <v>19</v>
      </c>
      <c r="B1947">
        <v>0</v>
      </c>
      <c r="C1947">
        <v>530</v>
      </c>
    </row>
    <row r="1948" spans="1:3" x14ac:dyDescent="0.25">
      <c r="A1948">
        <v>16</v>
      </c>
      <c r="B1948">
        <v>0</v>
      </c>
      <c r="C1948">
        <v>530</v>
      </c>
    </row>
    <row r="1949" spans="1:3" x14ac:dyDescent="0.25">
      <c r="A1949">
        <v>16</v>
      </c>
      <c r="B1949">
        <v>0</v>
      </c>
      <c r="C1949">
        <v>530</v>
      </c>
    </row>
    <row r="1950" spans="1:3" x14ac:dyDescent="0.25">
      <c r="A1950">
        <v>20</v>
      </c>
      <c r="B1950">
        <v>0</v>
      </c>
      <c r="C1950">
        <v>530</v>
      </c>
    </row>
    <row r="1951" spans="1:3" x14ac:dyDescent="0.25">
      <c r="A1951">
        <v>16</v>
      </c>
      <c r="B1951">
        <v>0</v>
      </c>
      <c r="C1951">
        <v>530</v>
      </c>
    </row>
    <row r="1952" spans="1:3" x14ac:dyDescent="0.25">
      <c r="A1952">
        <v>18</v>
      </c>
      <c r="B1952">
        <v>0</v>
      </c>
      <c r="C1952">
        <v>541</v>
      </c>
    </row>
    <row r="1953" spans="1:3" x14ac:dyDescent="0.25">
      <c r="A1953">
        <v>15</v>
      </c>
      <c r="B1953">
        <v>0</v>
      </c>
      <c r="C1953">
        <v>541</v>
      </c>
    </row>
    <row r="1954" spans="1:3" x14ac:dyDescent="0.25">
      <c r="A1954">
        <v>19</v>
      </c>
      <c r="B1954">
        <v>0</v>
      </c>
      <c r="C1954">
        <v>541</v>
      </c>
    </row>
    <row r="1955" spans="1:3" x14ac:dyDescent="0.25">
      <c r="A1955">
        <v>14</v>
      </c>
      <c r="B1955">
        <v>0</v>
      </c>
      <c r="C1955">
        <v>541</v>
      </c>
    </row>
    <row r="1956" spans="1:3" x14ac:dyDescent="0.25">
      <c r="A1956">
        <v>13</v>
      </c>
      <c r="B1956">
        <v>0</v>
      </c>
      <c r="C1956">
        <v>541</v>
      </c>
    </row>
    <row r="1957" spans="1:3" x14ac:dyDescent="0.25">
      <c r="A1957">
        <v>15</v>
      </c>
      <c r="B1957">
        <v>0</v>
      </c>
      <c r="C1957">
        <v>541</v>
      </c>
    </row>
    <row r="1958" spans="1:3" x14ac:dyDescent="0.25">
      <c r="A1958">
        <v>17</v>
      </c>
      <c r="B1958">
        <v>0</v>
      </c>
      <c r="C1958">
        <v>541</v>
      </c>
    </row>
    <row r="1959" spans="1:3" x14ac:dyDescent="0.25">
      <c r="A1959">
        <v>16</v>
      </c>
      <c r="B1959">
        <v>0</v>
      </c>
      <c r="C1959">
        <v>541</v>
      </c>
    </row>
    <row r="1960" spans="1:3" x14ac:dyDescent="0.25">
      <c r="A1960">
        <v>18</v>
      </c>
      <c r="B1960">
        <v>0</v>
      </c>
      <c r="C1960">
        <v>566</v>
      </c>
    </row>
    <row r="1961" spans="1:3" x14ac:dyDescent="0.25">
      <c r="A1961">
        <v>22</v>
      </c>
      <c r="B1961">
        <v>0</v>
      </c>
      <c r="C1961">
        <v>566</v>
      </c>
    </row>
    <row r="1962" spans="1:3" x14ac:dyDescent="0.25">
      <c r="A1962">
        <v>17</v>
      </c>
      <c r="B1962">
        <v>0</v>
      </c>
      <c r="C1962">
        <v>566</v>
      </c>
    </row>
    <row r="1963" spans="1:3" x14ac:dyDescent="0.25">
      <c r="A1963">
        <v>15</v>
      </c>
      <c r="B1963">
        <v>0</v>
      </c>
      <c r="C1963">
        <v>566</v>
      </c>
    </row>
    <row r="1964" spans="1:3" x14ac:dyDescent="0.25">
      <c r="A1964">
        <v>17</v>
      </c>
      <c r="B1964">
        <v>0</v>
      </c>
      <c r="C1964">
        <v>566</v>
      </c>
    </row>
    <row r="1965" spans="1:3" x14ac:dyDescent="0.25">
      <c r="A1965">
        <v>19</v>
      </c>
      <c r="B1965">
        <v>0</v>
      </c>
      <c r="C1965">
        <v>566</v>
      </c>
    </row>
    <row r="1966" spans="1:3" x14ac:dyDescent="0.25">
      <c r="A1966">
        <v>14</v>
      </c>
      <c r="B1966">
        <v>0</v>
      </c>
      <c r="C1966">
        <v>566</v>
      </c>
    </row>
    <row r="1967" spans="1:3" x14ac:dyDescent="0.25">
      <c r="A1967">
        <v>15</v>
      </c>
      <c r="B1967">
        <v>0</v>
      </c>
      <c r="C1967">
        <v>566</v>
      </c>
    </row>
    <row r="1968" spans="1:3" x14ac:dyDescent="0.25">
      <c r="A1968">
        <v>18</v>
      </c>
      <c r="B1968">
        <v>0</v>
      </c>
      <c r="C1968">
        <v>566</v>
      </c>
    </row>
    <row r="1969" spans="1:3" x14ac:dyDescent="0.25">
      <c r="A1969">
        <v>17</v>
      </c>
      <c r="B1969">
        <v>0</v>
      </c>
      <c r="C1969">
        <v>467</v>
      </c>
    </row>
    <row r="1970" spans="1:3" x14ac:dyDescent="0.25">
      <c r="A1970">
        <v>21</v>
      </c>
      <c r="B1970">
        <v>0</v>
      </c>
      <c r="C1970">
        <v>467</v>
      </c>
    </row>
    <row r="1971" spans="1:3" x14ac:dyDescent="0.25">
      <c r="A1971">
        <v>19</v>
      </c>
      <c r="B1971">
        <v>0</v>
      </c>
      <c r="C1971">
        <v>467</v>
      </c>
    </row>
    <row r="1972" spans="1:3" x14ac:dyDescent="0.25">
      <c r="A1972">
        <v>17</v>
      </c>
      <c r="B1972">
        <v>0</v>
      </c>
      <c r="C1972">
        <v>467</v>
      </c>
    </row>
    <row r="1973" spans="1:3" x14ac:dyDescent="0.25">
      <c r="A1973">
        <v>18</v>
      </c>
      <c r="B1973">
        <v>0</v>
      </c>
      <c r="C1973">
        <v>467</v>
      </c>
    </row>
    <row r="1974" spans="1:3" x14ac:dyDescent="0.25">
      <c r="A1974">
        <v>19</v>
      </c>
      <c r="B1974">
        <v>0</v>
      </c>
      <c r="C1974">
        <v>741</v>
      </c>
    </row>
    <row r="1975" spans="1:3" x14ac:dyDescent="0.25">
      <c r="A1975">
        <v>25</v>
      </c>
      <c r="B1975">
        <v>0</v>
      </c>
      <c r="C1975">
        <v>741</v>
      </c>
    </row>
    <row r="1976" spans="1:3" x14ac:dyDescent="0.25">
      <c r="A1976">
        <v>19</v>
      </c>
      <c r="B1976">
        <v>0</v>
      </c>
      <c r="C1976">
        <v>741</v>
      </c>
    </row>
    <row r="1977" spans="1:3" x14ac:dyDescent="0.25">
      <c r="A1977">
        <v>17</v>
      </c>
      <c r="B1977">
        <v>0</v>
      </c>
      <c r="C1977">
        <v>741</v>
      </c>
    </row>
    <row r="1978" spans="1:3" x14ac:dyDescent="0.25">
      <c r="A1978">
        <v>14</v>
      </c>
      <c r="B1978">
        <v>0</v>
      </c>
      <c r="C1978">
        <v>741</v>
      </c>
    </row>
    <row r="1979" spans="1:3" x14ac:dyDescent="0.25">
      <c r="A1979">
        <v>21</v>
      </c>
      <c r="B1979">
        <v>0</v>
      </c>
      <c r="C1979">
        <v>741</v>
      </c>
    </row>
    <row r="1980" spans="1:3" x14ac:dyDescent="0.25">
      <c r="A1980">
        <v>22</v>
      </c>
      <c r="B1980">
        <v>0</v>
      </c>
      <c r="C1980">
        <v>833</v>
      </c>
    </row>
    <row r="1981" spans="1:3" x14ac:dyDescent="0.25">
      <c r="A1981">
        <v>21</v>
      </c>
      <c r="B1981">
        <v>0</v>
      </c>
      <c r="C1981">
        <v>833</v>
      </c>
    </row>
    <row r="1982" spans="1:3" x14ac:dyDescent="0.25">
      <c r="A1982">
        <v>19</v>
      </c>
      <c r="B1982">
        <v>0</v>
      </c>
      <c r="C1982">
        <v>833</v>
      </c>
    </row>
    <row r="1983" spans="1:3" x14ac:dyDescent="0.25">
      <c r="A1983">
        <v>20</v>
      </c>
      <c r="B1983">
        <v>0</v>
      </c>
      <c r="C1983">
        <v>969</v>
      </c>
    </row>
    <row r="1984" spans="1:3" x14ac:dyDescent="0.25">
      <c r="A1984">
        <v>20</v>
      </c>
      <c r="B1984">
        <v>0</v>
      </c>
      <c r="C1984">
        <v>969</v>
      </c>
    </row>
    <row r="1985" spans="1:3" x14ac:dyDescent="0.25">
      <c r="A1985">
        <v>24</v>
      </c>
      <c r="B1985">
        <v>0</v>
      </c>
      <c r="C1985">
        <v>969</v>
      </c>
    </row>
    <row r="1986" spans="1:3" x14ac:dyDescent="0.25">
      <c r="A1986">
        <v>15</v>
      </c>
      <c r="B1986">
        <v>0</v>
      </c>
      <c r="C1986">
        <v>969</v>
      </c>
    </row>
    <row r="1987" spans="1:3" x14ac:dyDescent="0.25">
      <c r="A1987">
        <v>15</v>
      </c>
      <c r="B1987">
        <v>0</v>
      </c>
      <c r="C1987">
        <v>969</v>
      </c>
    </row>
    <row r="1988" spans="1:3" x14ac:dyDescent="0.25">
      <c r="A1988">
        <v>26</v>
      </c>
      <c r="B1988">
        <v>0</v>
      </c>
      <c r="C1988">
        <v>969</v>
      </c>
    </row>
    <row r="1989" spans="1:3" x14ac:dyDescent="0.25">
      <c r="A1989">
        <v>13</v>
      </c>
      <c r="B1989">
        <v>0</v>
      </c>
      <c r="C1989">
        <v>567</v>
      </c>
    </row>
    <row r="1990" spans="1:3" x14ac:dyDescent="0.25">
      <c r="A1990">
        <v>14</v>
      </c>
      <c r="B1990">
        <v>0</v>
      </c>
      <c r="C1990">
        <v>567</v>
      </c>
    </row>
    <row r="1991" spans="1:3" x14ac:dyDescent="0.25">
      <c r="A1991">
        <v>15</v>
      </c>
      <c r="B1991">
        <v>0</v>
      </c>
      <c r="C1991">
        <v>567</v>
      </c>
    </row>
    <row r="1992" spans="1:3" x14ac:dyDescent="0.25">
      <c r="A1992">
        <v>16</v>
      </c>
      <c r="B1992">
        <v>0</v>
      </c>
      <c r="C1992">
        <v>567</v>
      </c>
    </row>
    <row r="1993" spans="1:3" x14ac:dyDescent="0.25">
      <c r="A1993">
        <v>21</v>
      </c>
      <c r="B1993">
        <v>0</v>
      </c>
      <c r="C1993">
        <v>567</v>
      </c>
    </row>
    <row r="1994" spans="1:3" x14ac:dyDescent="0.25">
      <c r="A1994">
        <v>17</v>
      </c>
      <c r="B1994">
        <v>0</v>
      </c>
      <c r="C1994">
        <v>567</v>
      </c>
    </row>
    <row r="1995" spans="1:3" x14ac:dyDescent="0.25">
      <c r="A1995">
        <v>18</v>
      </c>
      <c r="B1995">
        <v>0</v>
      </c>
      <c r="C1995">
        <v>567</v>
      </c>
    </row>
    <row r="1996" spans="1:3" x14ac:dyDescent="0.25">
      <c r="A1996">
        <v>18</v>
      </c>
      <c r="B1996">
        <v>0</v>
      </c>
      <c r="C1996">
        <v>567</v>
      </c>
    </row>
    <row r="1997" spans="1:3" x14ac:dyDescent="0.25">
      <c r="A1997">
        <v>17</v>
      </c>
      <c r="B1997">
        <v>0</v>
      </c>
      <c r="C1997">
        <v>567</v>
      </c>
    </row>
    <row r="1998" spans="1:3" x14ac:dyDescent="0.25">
      <c r="A1998">
        <v>16</v>
      </c>
      <c r="B1998">
        <v>0</v>
      </c>
      <c r="C1998">
        <v>528</v>
      </c>
    </row>
    <row r="1999" spans="1:3" x14ac:dyDescent="0.25">
      <c r="A1999">
        <v>18</v>
      </c>
      <c r="B1999">
        <v>0</v>
      </c>
      <c r="C1999">
        <v>528</v>
      </c>
    </row>
    <row r="2000" spans="1:3" x14ac:dyDescent="0.25">
      <c r="A2000">
        <v>19</v>
      </c>
      <c r="B2000">
        <v>0</v>
      </c>
      <c r="C2000">
        <v>528</v>
      </c>
    </row>
    <row r="2001" spans="1:3" x14ac:dyDescent="0.25">
      <c r="A2001">
        <v>18</v>
      </c>
      <c r="B2001">
        <v>0</v>
      </c>
      <c r="C2001">
        <v>528</v>
      </c>
    </row>
    <row r="2002" spans="1:3" x14ac:dyDescent="0.25">
      <c r="A2002">
        <v>17</v>
      </c>
      <c r="B2002">
        <v>0</v>
      </c>
      <c r="C2002">
        <v>528</v>
      </c>
    </row>
    <row r="2003" spans="1:3" x14ac:dyDescent="0.25">
      <c r="A2003">
        <v>14</v>
      </c>
      <c r="B2003">
        <v>0</v>
      </c>
      <c r="C2003">
        <v>528</v>
      </c>
    </row>
    <row r="2004" spans="1:3" x14ac:dyDescent="0.25">
      <c r="A2004">
        <v>20</v>
      </c>
      <c r="B2004">
        <v>0</v>
      </c>
      <c r="C2004">
        <v>528</v>
      </c>
    </row>
    <row r="2005" spans="1:3" x14ac:dyDescent="0.25">
      <c r="A2005">
        <v>17</v>
      </c>
      <c r="B2005">
        <v>0</v>
      </c>
      <c r="C2005">
        <v>528</v>
      </c>
    </row>
    <row r="2006" spans="1:3" x14ac:dyDescent="0.25">
      <c r="A2006">
        <v>15</v>
      </c>
      <c r="B2006">
        <v>0</v>
      </c>
      <c r="C2006">
        <v>528</v>
      </c>
    </row>
    <row r="2007" spans="1:3" x14ac:dyDescent="0.25">
      <c r="A2007">
        <v>17</v>
      </c>
      <c r="B2007">
        <v>0</v>
      </c>
      <c r="C2007">
        <v>540</v>
      </c>
    </row>
    <row r="2008" spans="1:3" x14ac:dyDescent="0.25">
      <c r="A2008">
        <v>15</v>
      </c>
      <c r="B2008">
        <v>0</v>
      </c>
      <c r="C2008">
        <v>540</v>
      </c>
    </row>
    <row r="2009" spans="1:3" x14ac:dyDescent="0.25">
      <c r="A2009">
        <v>20</v>
      </c>
      <c r="B2009">
        <v>0</v>
      </c>
      <c r="C2009">
        <v>540</v>
      </c>
    </row>
    <row r="2010" spans="1:3" x14ac:dyDescent="0.25">
      <c r="A2010">
        <v>19</v>
      </c>
      <c r="B2010">
        <v>0</v>
      </c>
      <c r="C2010">
        <v>540</v>
      </c>
    </row>
    <row r="2011" spans="1:3" x14ac:dyDescent="0.25">
      <c r="A2011">
        <v>20</v>
      </c>
      <c r="B2011">
        <v>0</v>
      </c>
      <c r="C2011">
        <v>540</v>
      </c>
    </row>
    <row r="2012" spans="1:3" x14ac:dyDescent="0.25">
      <c r="A2012">
        <v>18</v>
      </c>
      <c r="B2012">
        <v>0</v>
      </c>
      <c r="C2012">
        <v>540</v>
      </c>
    </row>
    <row r="2013" spans="1:3" x14ac:dyDescent="0.25">
      <c r="A2013">
        <v>15</v>
      </c>
      <c r="B2013">
        <v>0</v>
      </c>
      <c r="C2013">
        <v>540</v>
      </c>
    </row>
    <row r="2014" spans="1:3" x14ac:dyDescent="0.25">
      <c r="A2014">
        <v>16</v>
      </c>
      <c r="B2014">
        <v>0</v>
      </c>
      <c r="C2014">
        <v>540</v>
      </c>
    </row>
    <row r="2015" spans="1:3" x14ac:dyDescent="0.25">
      <c r="A2015">
        <v>17</v>
      </c>
      <c r="B2015">
        <v>0</v>
      </c>
      <c r="C2015">
        <v>488</v>
      </c>
    </row>
    <row r="2016" spans="1:3" x14ac:dyDescent="0.25">
      <c r="A2016">
        <v>14</v>
      </c>
      <c r="B2016">
        <v>0</v>
      </c>
      <c r="C2016">
        <v>488</v>
      </c>
    </row>
    <row r="2017" spans="1:3" x14ac:dyDescent="0.25">
      <c r="A2017">
        <v>15</v>
      </c>
      <c r="B2017">
        <v>0</v>
      </c>
      <c r="C2017">
        <v>488</v>
      </c>
    </row>
    <row r="2018" spans="1:3" x14ac:dyDescent="0.25">
      <c r="A2018">
        <v>14</v>
      </c>
      <c r="B2018">
        <v>0</v>
      </c>
      <c r="C2018">
        <v>488</v>
      </c>
    </row>
    <row r="2019" spans="1:3" x14ac:dyDescent="0.25">
      <c r="A2019">
        <v>16</v>
      </c>
      <c r="B2019">
        <v>0</v>
      </c>
      <c r="C2019">
        <v>488</v>
      </c>
    </row>
    <row r="2020" spans="1:3" x14ac:dyDescent="0.25">
      <c r="A2020">
        <v>17</v>
      </c>
      <c r="B2020">
        <v>0</v>
      </c>
      <c r="C2020">
        <v>488</v>
      </c>
    </row>
    <row r="2021" spans="1:3" x14ac:dyDescent="0.25">
      <c r="A2021">
        <v>14</v>
      </c>
      <c r="B2021">
        <v>0</v>
      </c>
      <c r="C2021">
        <v>488</v>
      </c>
    </row>
    <row r="2022" spans="1:3" x14ac:dyDescent="0.25">
      <c r="A2022">
        <v>21</v>
      </c>
      <c r="B2022">
        <v>0</v>
      </c>
      <c r="C2022">
        <v>488</v>
      </c>
    </row>
    <row r="2023" spans="1:3" x14ac:dyDescent="0.25">
      <c r="A2023">
        <v>15</v>
      </c>
      <c r="B2023">
        <v>0</v>
      </c>
      <c r="C2023">
        <v>480</v>
      </c>
    </row>
    <row r="2024" spans="1:3" x14ac:dyDescent="0.25">
      <c r="A2024">
        <v>19</v>
      </c>
      <c r="B2024">
        <v>0</v>
      </c>
      <c r="C2024">
        <v>480</v>
      </c>
    </row>
    <row r="2025" spans="1:3" x14ac:dyDescent="0.25">
      <c r="A2025">
        <v>15</v>
      </c>
      <c r="B2025">
        <v>0</v>
      </c>
      <c r="C2025">
        <v>480</v>
      </c>
    </row>
    <row r="2026" spans="1:3" x14ac:dyDescent="0.25">
      <c r="A2026">
        <v>17</v>
      </c>
      <c r="B2026">
        <v>0</v>
      </c>
      <c r="C2026">
        <v>480</v>
      </c>
    </row>
    <row r="2027" spans="1:3" x14ac:dyDescent="0.25">
      <c r="A2027">
        <v>21</v>
      </c>
      <c r="B2027">
        <v>0</v>
      </c>
      <c r="C2027">
        <v>480</v>
      </c>
    </row>
    <row r="2028" spans="1:3" x14ac:dyDescent="0.25">
      <c r="A2028">
        <v>17</v>
      </c>
      <c r="B2028">
        <v>0</v>
      </c>
      <c r="C2028">
        <v>480</v>
      </c>
    </row>
    <row r="2029" spans="1:3" x14ac:dyDescent="0.25">
      <c r="A2029">
        <v>19</v>
      </c>
      <c r="B2029">
        <v>0</v>
      </c>
      <c r="C2029">
        <v>480</v>
      </c>
    </row>
    <row r="2030" spans="1:3" x14ac:dyDescent="0.25">
      <c r="A2030">
        <v>19</v>
      </c>
      <c r="B2030">
        <v>0</v>
      </c>
      <c r="C2030">
        <v>480</v>
      </c>
    </row>
    <row r="2031" spans="1:3" x14ac:dyDescent="0.25">
      <c r="A2031">
        <v>20</v>
      </c>
      <c r="B2031">
        <v>0</v>
      </c>
      <c r="C2031">
        <v>655</v>
      </c>
    </row>
    <row r="2032" spans="1:3" x14ac:dyDescent="0.25">
      <c r="A2032">
        <v>20</v>
      </c>
      <c r="B2032">
        <v>0</v>
      </c>
      <c r="C2032">
        <v>655</v>
      </c>
    </row>
    <row r="2033" spans="1:3" x14ac:dyDescent="0.25">
      <c r="A2033">
        <v>16</v>
      </c>
      <c r="B2033">
        <v>0</v>
      </c>
      <c r="C2033">
        <v>655</v>
      </c>
    </row>
    <row r="2034" spans="1:3" x14ac:dyDescent="0.25">
      <c r="A2034">
        <v>19</v>
      </c>
      <c r="B2034">
        <v>0</v>
      </c>
      <c r="C2034">
        <v>655</v>
      </c>
    </row>
    <row r="2035" spans="1:3" x14ac:dyDescent="0.25">
      <c r="A2035">
        <v>15</v>
      </c>
      <c r="B2035">
        <v>0</v>
      </c>
      <c r="C2035">
        <v>655</v>
      </c>
    </row>
    <row r="2036" spans="1:3" x14ac:dyDescent="0.25">
      <c r="A2036">
        <v>15</v>
      </c>
      <c r="B2036">
        <v>0</v>
      </c>
      <c r="C2036">
        <v>655</v>
      </c>
    </row>
    <row r="2037" spans="1:3" x14ac:dyDescent="0.25">
      <c r="A2037">
        <v>17</v>
      </c>
      <c r="B2037">
        <v>0</v>
      </c>
      <c r="C2037">
        <v>655</v>
      </c>
    </row>
    <row r="2038" spans="1:3" x14ac:dyDescent="0.25">
      <c r="A2038">
        <v>17</v>
      </c>
      <c r="B2038">
        <v>0</v>
      </c>
      <c r="C2038">
        <v>655</v>
      </c>
    </row>
    <row r="2039" spans="1:3" x14ac:dyDescent="0.25">
      <c r="A2039">
        <v>19</v>
      </c>
      <c r="B2039">
        <v>0</v>
      </c>
      <c r="C2039">
        <v>655</v>
      </c>
    </row>
    <row r="2040" spans="1:3" x14ac:dyDescent="0.25">
      <c r="A2040">
        <v>18</v>
      </c>
      <c r="B2040">
        <v>0</v>
      </c>
      <c r="C2040">
        <v>483</v>
      </c>
    </row>
    <row r="2041" spans="1:3" x14ac:dyDescent="0.25">
      <c r="A2041">
        <v>14</v>
      </c>
      <c r="B2041">
        <v>0</v>
      </c>
      <c r="C2041">
        <v>483</v>
      </c>
    </row>
    <row r="2042" spans="1:3" x14ac:dyDescent="0.25">
      <c r="A2042">
        <v>20</v>
      </c>
      <c r="B2042">
        <v>0</v>
      </c>
      <c r="C2042">
        <v>483</v>
      </c>
    </row>
    <row r="2043" spans="1:3" x14ac:dyDescent="0.25">
      <c r="A2043">
        <v>16</v>
      </c>
      <c r="B2043">
        <v>0</v>
      </c>
      <c r="C2043">
        <v>483</v>
      </c>
    </row>
    <row r="2044" spans="1:3" x14ac:dyDescent="0.25">
      <c r="A2044">
        <v>15</v>
      </c>
      <c r="B2044">
        <v>0</v>
      </c>
      <c r="C2044">
        <v>483</v>
      </c>
    </row>
    <row r="2045" spans="1:3" x14ac:dyDescent="0.25">
      <c r="A2045">
        <v>20</v>
      </c>
      <c r="B2045">
        <v>0</v>
      </c>
      <c r="C2045">
        <v>483</v>
      </c>
    </row>
    <row r="2046" spans="1:3" x14ac:dyDescent="0.25">
      <c r="A2046">
        <v>14</v>
      </c>
      <c r="B2046">
        <v>0</v>
      </c>
      <c r="C2046">
        <v>483</v>
      </c>
    </row>
    <row r="2047" spans="1:3" x14ac:dyDescent="0.25">
      <c r="A2047">
        <v>17</v>
      </c>
      <c r="B2047">
        <v>0</v>
      </c>
      <c r="C2047">
        <v>452</v>
      </c>
    </row>
    <row r="2048" spans="1:3" x14ac:dyDescent="0.25">
      <c r="A2048">
        <v>18</v>
      </c>
      <c r="B2048">
        <v>0</v>
      </c>
      <c r="C2048">
        <v>452</v>
      </c>
    </row>
    <row r="2049" spans="1:3" x14ac:dyDescent="0.25">
      <c r="A2049">
        <v>14</v>
      </c>
      <c r="B2049">
        <v>0</v>
      </c>
      <c r="C2049">
        <v>452</v>
      </c>
    </row>
    <row r="2050" spans="1:3" x14ac:dyDescent="0.25">
      <c r="A2050">
        <v>19</v>
      </c>
      <c r="B2050">
        <v>0</v>
      </c>
      <c r="C2050">
        <v>452</v>
      </c>
    </row>
    <row r="2051" spans="1:3" x14ac:dyDescent="0.25">
      <c r="A2051">
        <v>14</v>
      </c>
      <c r="B2051">
        <v>0</v>
      </c>
      <c r="C2051">
        <v>452</v>
      </c>
    </row>
    <row r="2052" spans="1:3" x14ac:dyDescent="0.25">
      <c r="A2052">
        <v>17</v>
      </c>
      <c r="B2052">
        <v>0</v>
      </c>
      <c r="C2052">
        <v>452</v>
      </c>
    </row>
    <row r="2053" spans="1:3" x14ac:dyDescent="0.25">
      <c r="A2053">
        <v>15</v>
      </c>
      <c r="B2053">
        <v>0</v>
      </c>
      <c r="C2053">
        <v>452</v>
      </c>
    </row>
    <row r="2054" spans="1:3" x14ac:dyDescent="0.25">
      <c r="A2054">
        <v>18</v>
      </c>
      <c r="B2054">
        <v>0</v>
      </c>
      <c r="C2054">
        <v>452</v>
      </c>
    </row>
    <row r="2055" spans="1:3" x14ac:dyDescent="0.25">
      <c r="A2055">
        <v>19</v>
      </c>
      <c r="B2055">
        <v>0</v>
      </c>
      <c r="C2055">
        <v>452</v>
      </c>
    </row>
    <row r="2056" spans="1:3" x14ac:dyDescent="0.25">
      <c r="A2056">
        <v>18</v>
      </c>
      <c r="B2056">
        <v>0</v>
      </c>
      <c r="C2056">
        <v>534</v>
      </c>
    </row>
    <row r="2057" spans="1:3" x14ac:dyDescent="0.25">
      <c r="A2057">
        <v>20</v>
      </c>
      <c r="B2057">
        <v>0</v>
      </c>
      <c r="C2057">
        <v>534</v>
      </c>
    </row>
    <row r="2058" spans="1:3" x14ac:dyDescent="0.25">
      <c r="A2058">
        <v>17</v>
      </c>
      <c r="B2058">
        <v>0</v>
      </c>
      <c r="C2058">
        <v>534</v>
      </c>
    </row>
    <row r="2059" spans="1:3" x14ac:dyDescent="0.25">
      <c r="A2059">
        <v>15</v>
      </c>
      <c r="B2059">
        <v>0</v>
      </c>
      <c r="C2059">
        <v>534</v>
      </c>
    </row>
    <row r="2060" spans="1:3" x14ac:dyDescent="0.25">
      <c r="A2060">
        <v>14</v>
      </c>
      <c r="B2060">
        <v>0</v>
      </c>
      <c r="C2060">
        <v>534</v>
      </c>
    </row>
    <row r="2061" spans="1:3" x14ac:dyDescent="0.25">
      <c r="A2061">
        <v>14</v>
      </c>
      <c r="B2061">
        <v>0</v>
      </c>
      <c r="C2061">
        <v>534</v>
      </c>
    </row>
    <row r="2062" spans="1:3" x14ac:dyDescent="0.25">
      <c r="A2062">
        <v>14</v>
      </c>
      <c r="B2062">
        <v>0</v>
      </c>
      <c r="C2062">
        <v>534</v>
      </c>
    </row>
    <row r="2063" spans="1:3" x14ac:dyDescent="0.25">
      <c r="A2063">
        <v>17</v>
      </c>
      <c r="B2063">
        <v>0</v>
      </c>
      <c r="C2063">
        <v>534</v>
      </c>
    </row>
    <row r="2064" spans="1:3" x14ac:dyDescent="0.25">
      <c r="A2064">
        <v>19</v>
      </c>
      <c r="B2064">
        <v>0</v>
      </c>
      <c r="C2064">
        <v>534</v>
      </c>
    </row>
    <row r="2065" spans="1:3" x14ac:dyDescent="0.25">
      <c r="A2065">
        <v>17</v>
      </c>
      <c r="B2065">
        <v>0</v>
      </c>
      <c r="C2065">
        <v>513</v>
      </c>
    </row>
    <row r="2066" spans="1:3" x14ac:dyDescent="0.25">
      <c r="A2066">
        <v>20</v>
      </c>
      <c r="B2066">
        <v>0</v>
      </c>
      <c r="C2066">
        <v>513</v>
      </c>
    </row>
    <row r="2067" spans="1:3" x14ac:dyDescent="0.25">
      <c r="A2067">
        <v>14</v>
      </c>
      <c r="B2067">
        <v>0</v>
      </c>
      <c r="C2067">
        <v>513</v>
      </c>
    </row>
    <row r="2068" spans="1:3" x14ac:dyDescent="0.25">
      <c r="A2068">
        <v>16</v>
      </c>
      <c r="B2068">
        <v>0</v>
      </c>
      <c r="C2068">
        <v>513</v>
      </c>
    </row>
    <row r="2069" spans="1:3" x14ac:dyDescent="0.25">
      <c r="A2069">
        <v>17</v>
      </c>
      <c r="B2069">
        <v>0</v>
      </c>
      <c r="C2069">
        <v>513</v>
      </c>
    </row>
    <row r="2070" spans="1:3" x14ac:dyDescent="0.25">
      <c r="A2070">
        <v>16</v>
      </c>
      <c r="B2070">
        <v>0</v>
      </c>
      <c r="C2070">
        <v>513</v>
      </c>
    </row>
    <row r="2071" spans="1:3" x14ac:dyDescent="0.25">
      <c r="A2071">
        <v>17</v>
      </c>
      <c r="B2071">
        <v>0</v>
      </c>
      <c r="C2071">
        <v>513</v>
      </c>
    </row>
    <row r="2072" spans="1:3" x14ac:dyDescent="0.25">
      <c r="A2072">
        <v>16</v>
      </c>
      <c r="B2072">
        <v>0</v>
      </c>
      <c r="C2072">
        <v>513</v>
      </c>
    </row>
    <row r="2073" spans="1:3" x14ac:dyDescent="0.25">
      <c r="A2073">
        <v>20</v>
      </c>
      <c r="B2073">
        <v>0</v>
      </c>
      <c r="C2073">
        <v>519</v>
      </c>
    </row>
    <row r="2074" spans="1:3" x14ac:dyDescent="0.25">
      <c r="A2074">
        <v>20</v>
      </c>
      <c r="B2074">
        <v>0</v>
      </c>
      <c r="C2074">
        <v>519</v>
      </c>
    </row>
    <row r="2075" spans="1:3" x14ac:dyDescent="0.25">
      <c r="A2075">
        <v>16</v>
      </c>
      <c r="B2075">
        <v>0</v>
      </c>
      <c r="C2075">
        <v>519</v>
      </c>
    </row>
    <row r="2076" spans="1:3" x14ac:dyDescent="0.25">
      <c r="A2076">
        <v>15</v>
      </c>
      <c r="B2076">
        <v>0</v>
      </c>
      <c r="C2076">
        <v>519</v>
      </c>
    </row>
    <row r="2077" spans="1:3" x14ac:dyDescent="0.25">
      <c r="A2077">
        <v>15</v>
      </c>
      <c r="B2077">
        <v>0</v>
      </c>
      <c r="C2077">
        <v>519</v>
      </c>
    </row>
    <row r="2078" spans="1:3" x14ac:dyDescent="0.25">
      <c r="A2078">
        <v>19</v>
      </c>
      <c r="B2078">
        <v>0</v>
      </c>
      <c r="C2078">
        <v>519</v>
      </c>
    </row>
    <row r="2079" spans="1:3" x14ac:dyDescent="0.25">
      <c r="A2079">
        <v>16</v>
      </c>
      <c r="B2079">
        <v>0</v>
      </c>
      <c r="C2079">
        <v>519</v>
      </c>
    </row>
    <row r="2080" spans="1:3" x14ac:dyDescent="0.25">
      <c r="A2080">
        <v>17</v>
      </c>
      <c r="B2080">
        <v>0</v>
      </c>
      <c r="C2080">
        <v>519</v>
      </c>
    </row>
    <row r="2081" spans="1:3" x14ac:dyDescent="0.25">
      <c r="A2081">
        <v>18</v>
      </c>
      <c r="B2081">
        <v>0</v>
      </c>
      <c r="C2081">
        <v>486</v>
      </c>
    </row>
    <row r="2082" spans="1:3" x14ac:dyDescent="0.25">
      <c r="A2082">
        <v>16</v>
      </c>
      <c r="B2082">
        <v>0</v>
      </c>
      <c r="C2082">
        <v>486</v>
      </c>
    </row>
    <row r="2083" spans="1:3" x14ac:dyDescent="0.25">
      <c r="A2083">
        <v>16</v>
      </c>
      <c r="B2083">
        <v>0</v>
      </c>
      <c r="C2083">
        <v>486</v>
      </c>
    </row>
    <row r="2084" spans="1:3" x14ac:dyDescent="0.25">
      <c r="A2084">
        <v>15</v>
      </c>
      <c r="B2084">
        <v>0</v>
      </c>
      <c r="C2084">
        <v>486</v>
      </c>
    </row>
    <row r="2085" spans="1:3" x14ac:dyDescent="0.25">
      <c r="A2085">
        <v>17</v>
      </c>
      <c r="B2085">
        <v>0</v>
      </c>
      <c r="C2085">
        <v>486</v>
      </c>
    </row>
    <row r="2086" spans="1:3" x14ac:dyDescent="0.25">
      <c r="A2086">
        <v>15</v>
      </c>
      <c r="B2086">
        <v>0</v>
      </c>
      <c r="C2086">
        <v>486</v>
      </c>
    </row>
    <row r="2087" spans="1:3" x14ac:dyDescent="0.25">
      <c r="A2087">
        <v>30</v>
      </c>
      <c r="B2087">
        <v>0</v>
      </c>
      <c r="C2087">
        <v>483</v>
      </c>
    </row>
    <row r="2088" spans="1:3" x14ac:dyDescent="0.25">
      <c r="A2088">
        <v>13</v>
      </c>
      <c r="B2088">
        <v>0</v>
      </c>
      <c r="C2088">
        <v>483</v>
      </c>
    </row>
    <row r="2089" spans="1:3" x14ac:dyDescent="0.25">
      <c r="A2089">
        <v>16</v>
      </c>
      <c r="B2089">
        <v>0</v>
      </c>
      <c r="C2089">
        <v>483</v>
      </c>
    </row>
    <row r="2090" spans="1:3" x14ac:dyDescent="0.25">
      <c r="A2090">
        <v>16</v>
      </c>
      <c r="B2090">
        <v>0</v>
      </c>
      <c r="C2090">
        <v>483</v>
      </c>
    </row>
    <row r="2091" spans="1:3" x14ac:dyDescent="0.25">
      <c r="A2091">
        <v>18</v>
      </c>
      <c r="B2091">
        <v>0</v>
      </c>
      <c r="C2091">
        <v>483</v>
      </c>
    </row>
    <row r="2092" spans="1:3" x14ac:dyDescent="0.25">
      <c r="A2092">
        <v>13</v>
      </c>
      <c r="B2092">
        <v>0</v>
      </c>
      <c r="C2092">
        <v>483</v>
      </c>
    </row>
    <row r="2093" spans="1:3" x14ac:dyDescent="0.25">
      <c r="A2093">
        <v>16</v>
      </c>
      <c r="B2093">
        <v>0</v>
      </c>
      <c r="C2093">
        <v>483</v>
      </c>
    </row>
    <row r="2094" spans="1:3" x14ac:dyDescent="0.25">
      <c r="A2094">
        <v>16</v>
      </c>
      <c r="B2094">
        <v>0</v>
      </c>
      <c r="C2094">
        <v>483</v>
      </c>
    </row>
    <row r="2095" spans="1:3" x14ac:dyDescent="0.25">
      <c r="A2095">
        <v>20</v>
      </c>
      <c r="B2095">
        <v>0</v>
      </c>
      <c r="C2095">
        <v>483</v>
      </c>
    </row>
    <row r="2096" spans="1:3" x14ac:dyDescent="0.25">
      <c r="A2096">
        <v>17</v>
      </c>
      <c r="B2096">
        <v>0</v>
      </c>
      <c r="C2096">
        <v>466</v>
      </c>
    </row>
    <row r="2097" spans="1:3" x14ac:dyDescent="0.25">
      <c r="A2097">
        <v>16</v>
      </c>
      <c r="B2097">
        <v>0</v>
      </c>
      <c r="C2097">
        <v>466</v>
      </c>
    </row>
    <row r="2098" spans="1:3" x14ac:dyDescent="0.25">
      <c r="A2098">
        <v>14</v>
      </c>
      <c r="B2098">
        <v>0</v>
      </c>
      <c r="C2098">
        <v>466</v>
      </c>
    </row>
    <row r="2099" spans="1:3" x14ac:dyDescent="0.25">
      <c r="A2099">
        <v>15</v>
      </c>
      <c r="B2099">
        <v>0</v>
      </c>
      <c r="C2099">
        <v>466</v>
      </c>
    </row>
    <row r="2100" spans="1:3" x14ac:dyDescent="0.25">
      <c r="A2100">
        <v>17</v>
      </c>
      <c r="B2100">
        <v>0</v>
      </c>
      <c r="C2100">
        <v>466</v>
      </c>
    </row>
    <row r="2101" spans="1:3" x14ac:dyDescent="0.25">
      <c r="A2101">
        <v>19</v>
      </c>
      <c r="B2101">
        <v>0</v>
      </c>
      <c r="C2101">
        <v>466</v>
      </c>
    </row>
    <row r="2102" spans="1:3" x14ac:dyDescent="0.25">
      <c r="A2102">
        <v>19</v>
      </c>
      <c r="B2102">
        <v>0</v>
      </c>
      <c r="C2102">
        <v>466</v>
      </c>
    </row>
    <row r="2103" spans="1:3" x14ac:dyDescent="0.25">
      <c r="A2103">
        <v>20</v>
      </c>
      <c r="B2103">
        <v>0</v>
      </c>
      <c r="C2103">
        <v>466</v>
      </c>
    </row>
    <row r="2104" spans="1:3" x14ac:dyDescent="0.25">
      <c r="A2104">
        <v>19</v>
      </c>
      <c r="B2104">
        <v>0</v>
      </c>
      <c r="C2104">
        <v>464</v>
      </c>
    </row>
    <row r="2105" spans="1:3" x14ac:dyDescent="0.25">
      <c r="A2105">
        <v>18</v>
      </c>
      <c r="B2105">
        <v>0</v>
      </c>
      <c r="C2105">
        <v>464</v>
      </c>
    </row>
    <row r="2106" spans="1:3" x14ac:dyDescent="0.25">
      <c r="A2106">
        <v>15</v>
      </c>
      <c r="B2106">
        <v>0</v>
      </c>
      <c r="C2106">
        <v>464</v>
      </c>
    </row>
    <row r="2107" spans="1:3" x14ac:dyDescent="0.25">
      <c r="A2107">
        <v>18</v>
      </c>
      <c r="B2107">
        <v>0</v>
      </c>
      <c r="C2107">
        <v>464</v>
      </c>
    </row>
    <row r="2108" spans="1:3" x14ac:dyDescent="0.25">
      <c r="A2108">
        <v>21</v>
      </c>
      <c r="B2108">
        <v>0</v>
      </c>
      <c r="C2108">
        <v>464</v>
      </c>
    </row>
    <row r="2109" spans="1:3" x14ac:dyDescent="0.25">
      <c r="A2109">
        <v>17</v>
      </c>
      <c r="B2109">
        <v>0</v>
      </c>
      <c r="C2109">
        <v>464</v>
      </c>
    </row>
    <row r="2110" spans="1:3" x14ac:dyDescent="0.25">
      <c r="A2110">
        <v>20</v>
      </c>
      <c r="B2110">
        <v>0</v>
      </c>
      <c r="C2110">
        <v>464</v>
      </c>
    </row>
    <row r="2111" spans="1:3" x14ac:dyDescent="0.25">
      <c r="A2111">
        <v>18</v>
      </c>
      <c r="B2111">
        <v>0</v>
      </c>
      <c r="C2111">
        <v>464</v>
      </c>
    </row>
    <row r="2112" spans="1:3" x14ac:dyDescent="0.25">
      <c r="A2112">
        <v>14</v>
      </c>
      <c r="B2112">
        <v>0</v>
      </c>
      <c r="C2112">
        <v>524</v>
      </c>
    </row>
    <row r="2113" spans="1:3" x14ac:dyDescent="0.25">
      <c r="A2113">
        <v>16</v>
      </c>
      <c r="B2113">
        <v>0</v>
      </c>
      <c r="C2113">
        <v>524</v>
      </c>
    </row>
    <row r="2114" spans="1:3" x14ac:dyDescent="0.25">
      <c r="A2114">
        <v>14</v>
      </c>
      <c r="B2114">
        <v>0</v>
      </c>
      <c r="C2114">
        <v>524</v>
      </c>
    </row>
    <row r="2115" spans="1:3" x14ac:dyDescent="0.25">
      <c r="A2115">
        <v>16</v>
      </c>
      <c r="B2115">
        <v>0</v>
      </c>
      <c r="C2115">
        <v>524</v>
      </c>
    </row>
    <row r="2116" spans="1:3" x14ac:dyDescent="0.25">
      <c r="A2116">
        <v>25</v>
      </c>
      <c r="B2116">
        <v>0</v>
      </c>
      <c r="C2116">
        <v>524</v>
      </c>
    </row>
    <row r="2117" spans="1:3" x14ac:dyDescent="0.25">
      <c r="A2117">
        <v>17</v>
      </c>
      <c r="B2117">
        <v>0</v>
      </c>
      <c r="C2117">
        <v>524</v>
      </c>
    </row>
    <row r="2118" spans="1:3" x14ac:dyDescent="0.25">
      <c r="A2118">
        <v>21</v>
      </c>
      <c r="B2118">
        <v>0</v>
      </c>
      <c r="C2118">
        <v>524</v>
      </c>
    </row>
    <row r="2119" spans="1:3" x14ac:dyDescent="0.25">
      <c r="A2119">
        <v>15</v>
      </c>
      <c r="B2119">
        <v>0</v>
      </c>
      <c r="C2119">
        <v>524</v>
      </c>
    </row>
    <row r="2120" spans="1:3" x14ac:dyDescent="0.25">
      <c r="A2120">
        <v>15</v>
      </c>
      <c r="B2120">
        <v>0</v>
      </c>
      <c r="C2120">
        <v>513</v>
      </c>
    </row>
    <row r="2121" spans="1:3" x14ac:dyDescent="0.25">
      <c r="A2121">
        <v>16</v>
      </c>
      <c r="B2121">
        <v>0</v>
      </c>
      <c r="C2121">
        <v>513</v>
      </c>
    </row>
    <row r="2122" spans="1:3" x14ac:dyDescent="0.25">
      <c r="A2122">
        <v>15</v>
      </c>
      <c r="B2122">
        <v>0</v>
      </c>
      <c r="C2122">
        <v>513</v>
      </c>
    </row>
    <row r="2123" spans="1:3" x14ac:dyDescent="0.25">
      <c r="A2123">
        <v>16</v>
      </c>
      <c r="B2123">
        <v>0</v>
      </c>
      <c r="C2123">
        <v>513</v>
      </c>
    </row>
    <row r="2124" spans="1:3" x14ac:dyDescent="0.25">
      <c r="A2124">
        <v>16</v>
      </c>
      <c r="B2124">
        <v>0</v>
      </c>
      <c r="C2124">
        <v>513</v>
      </c>
    </row>
    <row r="2125" spans="1:3" x14ac:dyDescent="0.25">
      <c r="A2125">
        <v>23</v>
      </c>
      <c r="B2125">
        <v>0</v>
      </c>
      <c r="C2125">
        <v>513</v>
      </c>
    </row>
    <row r="2126" spans="1:3" x14ac:dyDescent="0.25">
      <c r="A2126">
        <v>19</v>
      </c>
      <c r="B2126">
        <v>0</v>
      </c>
      <c r="C2126">
        <v>513</v>
      </c>
    </row>
    <row r="2127" spans="1:3" x14ac:dyDescent="0.25">
      <c r="A2127">
        <v>15</v>
      </c>
      <c r="B2127">
        <v>0</v>
      </c>
      <c r="C2127">
        <v>513</v>
      </c>
    </row>
    <row r="2128" spans="1:3" x14ac:dyDescent="0.25">
      <c r="A2128">
        <v>19</v>
      </c>
      <c r="B2128">
        <v>0</v>
      </c>
      <c r="C2128">
        <v>593</v>
      </c>
    </row>
    <row r="2129" spans="1:3" x14ac:dyDescent="0.25">
      <c r="A2129">
        <v>15</v>
      </c>
      <c r="B2129">
        <v>0</v>
      </c>
      <c r="C2129">
        <v>593</v>
      </c>
    </row>
    <row r="2130" spans="1:3" x14ac:dyDescent="0.25">
      <c r="A2130">
        <v>18</v>
      </c>
      <c r="B2130">
        <v>0</v>
      </c>
      <c r="C2130">
        <v>593</v>
      </c>
    </row>
    <row r="2131" spans="1:3" x14ac:dyDescent="0.25">
      <c r="A2131">
        <v>16</v>
      </c>
      <c r="B2131">
        <v>0</v>
      </c>
      <c r="C2131">
        <v>593</v>
      </c>
    </row>
    <row r="2132" spans="1:3" x14ac:dyDescent="0.25">
      <c r="A2132">
        <v>18</v>
      </c>
      <c r="B2132">
        <v>0</v>
      </c>
      <c r="C2132">
        <v>593</v>
      </c>
    </row>
    <row r="2133" spans="1:3" x14ac:dyDescent="0.25">
      <c r="A2133">
        <v>16</v>
      </c>
      <c r="B2133">
        <v>0</v>
      </c>
      <c r="C2133">
        <v>593</v>
      </c>
    </row>
    <row r="2134" spans="1:3" x14ac:dyDescent="0.25">
      <c r="A2134">
        <v>20</v>
      </c>
      <c r="B2134">
        <v>0</v>
      </c>
      <c r="C2134">
        <v>593</v>
      </c>
    </row>
    <row r="2135" spans="1:3" x14ac:dyDescent="0.25">
      <c r="A2135">
        <v>13</v>
      </c>
      <c r="B2135">
        <v>0</v>
      </c>
      <c r="C2135">
        <v>593</v>
      </c>
    </row>
    <row r="2136" spans="1:3" x14ac:dyDescent="0.25">
      <c r="A2136">
        <v>16</v>
      </c>
      <c r="B2136">
        <v>0</v>
      </c>
      <c r="C2136">
        <v>593</v>
      </c>
    </row>
    <row r="2137" spans="1:3" x14ac:dyDescent="0.25">
      <c r="A2137">
        <v>17</v>
      </c>
      <c r="B2137">
        <v>0</v>
      </c>
      <c r="C2137">
        <v>493</v>
      </c>
    </row>
    <row r="2138" spans="1:3" x14ac:dyDescent="0.25">
      <c r="A2138">
        <v>15</v>
      </c>
      <c r="B2138">
        <v>0</v>
      </c>
      <c r="C2138">
        <v>493</v>
      </c>
    </row>
    <row r="2139" spans="1:3" x14ac:dyDescent="0.25">
      <c r="A2139">
        <v>13</v>
      </c>
      <c r="B2139">
        <v>0</v>
      </c>
      <c r="C2139">
        <v>493</v>
      </c>
    </row>
    <row r="2140" spans="1:3" x14ac:dyDescent="0.25">
      <c r="A2140">
        <v>13</v>
      </c>
      <c r="B2140">
        <v>0</v>
      </c>
      <c r="C2140">
        <v>493</v>
      </c>
    </row>
    <row r="2141" spans="1:3" x14ac:dyDescent="0.25">
      <c r="A2141">
        <v>18</v>
      </c>
      <c r="B2141">
        <v>0</v>
      </c>
      <c r="C2141">
        <v>493</v>
      </c>
    </row>
    <row r="2142" spans="1:3" x14ac:dyDescent="0.25">
      <c r="A2142">
        <v>18</v>
      </c>
      <c r="B2142">
        <v>0</v>
      </c>
      <c r="C2142">
        <v>493</v>
      </c>
    </row>
    <row r="2143" spans="1:3" x14ac:dyDescent="0.25">
      <c r="A2143">
        <v>16</v>
      </c>
      <c r="B2143">
        <v>0</v>
      </c>
      <c r="C2143">
        <v>493</v>
      </c>
    </row>
    <row r="2144" spans="1:3" x14ac:dyDescent="0.25">
      <c r="A2144">
        <v>15</v>
      </c>
      <c r="B2144">
        <v>0</v>
      </c>
      <c r="C2144">
        <v>493</v>
      </c>
    </row>
    <row r="2145" spans="1:3" x14ac:dyDescent="0.25">
      <c r="A2145">
        <v>13</v>
      </c>
      <c r="B2145">
        <v>0</v>
      </c>
      <c r="C2145">
        <v>493</v>
      </c>
    </row>
    <row r="2146" spans="1:3" x14ac:dyDescent="0.25">
      <c r="A2146">
        <v>18</v>
      </c>
      <c r="B2146">
        <v>0</v>
      </c>
      <c r="C2146">
        <v>476</v>
      </c>
    </row>
    <row r="2147" spans="1:3" x14ac:dyDescent="0.25">
      <c r="A2147">
        <v>17</v>
      </c>
      <c r="B2147">
        <v>0</v>
      </c>
      <c r="C2147">
        <v>476</v>
      </c>
    </row>
    <row r="2148" spans="1:3" x14ac:dyDescent="0.25">
      <c r="A2148">
        <v>15</v>
      </c>
      <c r="B2148">
        <v>0</v>
      </c>
      <c r="C2148">
        <v>476</v>
      </c>
    </row>
    <row r="2149" spans="1:3" x14ac:dyDescent="0.25">
      <c r="A2149">
        <v>20</v>
      </c>
      <c r="B2149">
        <v>0</v>
      </c>
      <c r="C2149">
        <v>476</v>
      </c>
    </row>
    <row r="2150" spans="1:3" x14ac:dyDescent="0.25">
      <c r="A2150">
        <v>20</v>
      </c>
      <c r="B2150">
        <v>0</v>
      </c>
      <c r="C2150">
        <v>476</v>
      </c>
    </row>
    <row r="2151" spans="1:3" x14ac:dyDescent="0.25">
      <c r="A2151">
        <v>17</v>
      </c>
      <c r="B2151">
        <v>0</v>
      </c>
      <c r="C2151">
        <v>476</v>
      </c>
    </row>
    <row r="2152" spans="1:3" x14ac:dyDescent="0.25">
      <c r="A2152">
        <v>15</v>
      </c>
      <c r="B2152">
        <v>0</v>
      </c>
      <c r="C2152">
        <v>476</v>
      </c>
    </row>
    <row r="2153" spans="1:3" x14ac:dyDescent="0.25">
      <c r="A2153">
        <v>14</v>
      </c>
      <c r="B2153">
        <v>0</v>
      </c>
      <c r="C2153">
        <v>476</v>
      </c>
    </row>
    <row r="2154" spans="1:3" x14ac:dyDescent="0.25">
      <c r="A2154">
        <v>18</v>
      </c>
      <c r="B2154">
        <v>0</v>
      </c>
      <c r="C2154">
        <v>476</v>
      </c>
    </row>
    <row r="2155" spans="1:3" x14ac:dyDescent="0.25">
      <c r="A2155">
        <v>18</v>
      </c>
      <c r="B2155">
        <v>0</v>
      </c>
      <c r="C2155">
        <v>500</v>
      </c>
    </row>
    <row r="2156" spans="1:3" x14ac:dyDescent="0.25">
      <c r="A2156">
        <v>15</v>
      </c>
      <c r="B2156">
        <v>0</v>
      </c>
      <c r="C2156">
        <v>500</v>
      </c>
    </row>
    <row r="2157" spans="1:3" x14ac:dyDescent="0.25">
      <c r="A2157">
        <v>14</v>
      </c>
      <c r="B2157">
        <v>0</v>
      </c>
      <c r="C2157">
        <v>500</v>
      </c>
    </row>
    <row r="2158" spans="1:3" x14ac:dyDescent="0.25">
      <c r="A2158">
        <v>20</v>
      </c>
      <c r="B2158">
        <v>0</v>
      </c>
      <c r="C2158">
        <v>500</v>
      </c>
    </row>
    <row r="2159" spans="1:3" x14ac:dyDescent="0.25">
      <c r="A2159">
        <v>21</v>
      </c>
      <c r="B2159">
        <v>0</v>
      </c>
      <c r="C2159">
        <v>500</v>
      </c>
    </row>
    <row r="2160" spans="1:3" x14ac:dyDescent="0.25">
      <c r="A2160">
        <v>19</v>
      </c>
      <c r="B2160">
        <v>0</v>
      </c>
      <c r="C2160">
        <v>500</v>
      </c>
    </row>
    <row r="2161" spans="1:3" x14ac:dyDescent="0.25">
      <c r="A2161">
        <v>15</v>
      </c>
      <c r="B2161">
        <v>0</v>
      </c>
      <c r="C2161">
        <v>500</v>
      </c>
    </row>
    <row r="2162" spans="1:3" x14ac:dyDescent="0.25">
      <c r="A2162">
        <v>15</v>
      </c>
      <c r="B2162">
        <v>0</v>
      </c>
      <c r="C2162">
        <v>500</v>
      </c>
    </row>
    <row r="2163" spans="1:3" x14ac:dyDescent="0.25">
      <c r="A2163">
        <v>17</v>
      </c>
      <c r="B2163">
        <v>0</v>
      </c>
      <c r="C2163">
        <v>500</v>
      </c>
    </row>
    <row r="2164" spans="1:3" x14ac:dyDescent="0.25">
      <c r="A2164">
        <v>18</v>
      </c>
      <c r="B2164">
        <v>0</v>
      </c>
      <c r="C2164">
        <v>481</v>
      </c>
    </row>
    <row r="2165" spans="1:3" x14ac:dyDescent="0.25">
      <c r="A2165">
        <v>18</v>
      </c>
      <c r="B2165">
        <v>0</v>
      </c>
      <c r="C2165">
        <v>481</v>
      </c>
    </row>
    <row r="2166" spans="1:3" x14ac:dyDescent="0.25">
      <c r="A2166">
        <v>14</v>
      </c>
      <c r="B2166">
        <v>0</v>
      </c>
      <c r="C2166">
        <v>481</v>
      </c>
    </row>
    <row r="2167" spans="1:3" x14ac:dyDescent="0.25">
      <c r="A2167">
        <v>19</v>
      </c>
      <c r="B2167">
        <v>0</v>
      </c>
      <c r="C2167">
        <v>481</v>
      </c>
    </row>
    <row r="2168" spans="1:3" x14ac:dyDescent="0.25">
      <c r="A2168">
        <v>15</v>
      </c>
      <c r="B2168">
        <v>0</v>
      </c>
      <c r="C2168">
        <v>481</v>
      </c>
    </row>
    <row r="2169" spans="1:3" x14ac:dyDescent="0.25">
      <c r="A2169">
        <v>17</v>
      </c>
      <c r="B2169">
        <v>0</v>
      </c>
      <c r="C2169">
        <v>481</v>
      </c>
    </row>
    <row r="2170" spans="1:3" x14ac:dyDescent="0.25">
      <c r="A2170">
        <v>13</v>
      </c>
      <c r="B2170">
        <v>0</v>
      </c>
      <c r="C2170">
        <v>481</v>
      </c>
    </row>
    <row r="2171" spans="1:3" x14ac:dyDescent="0.25">
      <c r="A2171">
        <v>13</v>
      </c>
      <c r="B2171">
        <v>0</v>
      </c>
      <c r="C2171">
        <v>481</v>
      </c>
    </row>
    <row r="2172" spans="1:3" x14ac:dyDescent="0.25">
      <c r="A2172">
        <v>17</v>
      </c>
      <c r="B2172">
        <v>0</v>
      </c>
      <c r="C2172">
        <v>481</v>
      </c>
    </row>
    <row r="2173" spans="1:3" x14ac:dyDescent="0.25">
      <c r="A2173">
        <v>15</v>
      </c>
      <c r="B2173">
        <v>0</v>
      </c>
      <c r="C2173">
        <v>465</v>
      </c>
    </row>
    <row r="2174" spans="1:3" x14ac:dyDescent="0.25">
      <c r="A2174">
        <v>19</v>
      </c>
      <c r="B2174">
        <v>0</v>
      </c>
      <c r="C2174">
        <v>465</v>
      </c>
    </row>
    <row r="2175" spans="1:3" x14ac:dyDescent="0.25">
      <c r="A2175">
        <v>19</v>
      </c>
      <c r="B2175">
        <v>0</v>
      </c>
      <c r="C2175">
        <v>465</v>
      </c>
    </row>
    <row r="2176" spans="1:3" x14ac:dyDescent="0.25">
      <c r="A2176">
        <v>15</v>
      </c>
      <c r="B2176">
        <v>0</v>
      </c>
      <c r="C2176">
        <v>465</v>
      </c>
    </row>
    <row r="2177" spans="1:3" x14ac:dyDescent="0.25">
      <c r="A2177">
        <v>15</v>
      </c>
      <c r="B2177">
        <v>0</v>
      </c>
      <c r="C2177">
        <v>465</v>
      </c>
    </row>
    <row r="2178" spans="1:3" x14ac:dyDescent="0.25">
      <c r="A2178">
        <v>15</v>
      </c>
      <c r="B2178">
        <v>0</v>
      </c>
      <c r="C2178">
        <v>465</v>
      </c>
    </row>
    <row r="2179" spans="1:3" x14ac:dyDescent="0.25">
      <c r="A2179">
        <v>15</v>
      </c>
      <c r="B2179">
        <v>0</v>
      </c>
      <c r="C2179">
        <v>465</v>
      </c>
    </row>
    <row r="2180" spans="1:3" x14ac:dyDescent="0.25">
      <c r="A2180">
        <v>14</v>
      </c>
      <c r="B2180">
        <v>0</v>
      </c>
      <c r="C2180">
        <v>465</v>
      </c>
    </row>
    <row r="2181" spans="1:3" x14ac:dyDescent="0.25">
      <c r="A2181">
        <v>15</v>
      </c>
      <c r="B2181">
        <v>0</v>
      </c>
      <c r="C2181">
        <v>465</v>
      </c>
    </row>
    <row r="2182" spans="1:3" x14ac:dyDescent="0.25">
      <c r="A2182">
        <v>20</v>
      </c>
      <c r="B2182">
        <v>0</v>
      </c>
      <c r="C2182">
        <v>544</v>
      </c>
    </row>
    <row r="2183" spans="1:3" x14ac:dyDescent="0.25">
      <c r="A2183">
        <v>17</v>
      </c>
      <c r="B2183">
        <v>0</v>
      </c>
      <c r="C2183">
        <v>544</v>
      </c>
    </row>
    <row r="2184" spans="1:3" x14ac:dyDescent="0.25">
      <c r="A2184">
        <v>17</v>
      </c>
      <c r="B2184">
        <v>0</v>
      </c>
      <c r="C2184">
        <v>544</v>
      </c>
    </row>
    <row r="2185" spans="1:3" x14ac:dyDescent="0.25">
      <c r="A2185">
        <v>15</v>
      </c>
      <c r="B2185">
        <v>0</v>
      </c>
      <c r="C2185">
        <v>544</v>
      </c>
    </row>
    <row r="2186" spans="1:3" x14ac:dyDescent="0.25">
      <c r="A2186">
        <v>16</v>
      </c>
      <c r="B2186">
        <v>0</v>
      </c>
      <c r="C2186">
        <v>544</v>
      </c>
    </row>
    <row r="2187" spans="1:3" x14ac:dyDescent="0.25">
      <c r="A2187">
        <v>17</v>
      </c>
      <c r="B2187">
        <v>0</v>
      </c>
      <c r="C2187">
        <v>544</v>
      </c>
    </row>
    <row r="2188" spans="1:3" x14ac:dyDescent="0.25">
      <c r="A2188">
        <v>14</v>
      </c>
      <c r="B2188">
        <v>0</v>
      </c>
      <c r="C2188">
        <v>544</v>
      </c>
    </row>
    <row r="2189" spans="1:3" x14ac:dyDescent="0.25">
      <c r="A2189">
        <v>17</v>
      </c>
      <c r="B2189">
        <v>0</v>
      </c>
      <c r="C2189">
        <v>544</v>
      </c>
    </row>
    <row r="2190" spans="1:3" x14ac:dyDescent="0.25">
      <c r="A2190">
        <v>18</v>
      </c>
      <c r="B2190">
        <v>0</v>
      </c>
      <c r="C2190">
        <v>544</v>
      </c>
    </row>
    <row r="2191" spans="1:3" x14ac:dyDescent="0.25">
      <c r="A2191">
        <v>17</v>
      </c>
      <c r="B2191">
        <v>0</v>
      </c>
      <c r="C2191">
        <v>445</v>
      </c>
    </row>
    <row r="2192" spans="1:3" x14ac:dyDescent="0.25">
      <c r="A2192">
        <v>13</v>
      </c>
      <c r="B2192">
        <v>0</v>
      </c>
      <c r="C2192">
        <v>445</v>
      </c>
    </row>
    <row r="2193" spans="1:3" x14ac:dyDescent="0.25">
      <c r="A2193">
        <v>17</v>
      </c>
      <c r="B2193">
        <v>0</v>
      </c>
      <c r="C2193">
        <v>445</v>
      </c>
    </row>
    <row r="2194" spans="1:3" x14ac:dyDescent="0.25">
      <c r="A2194">
        <v>15</v>
      </c>
      <c r="B2194">
        <v>0</v>
      </c>
      <c r="C2194">
        <v>445</v>
      </c>
    </row>
    <row r="2195" spans="1:3" x14ac:dyDescent="0.25">
      <c r="A2195">
        <v>16</v>
      </c>
      <c r="B2195">
        <v>0</v>
      </c>
      <c r="C2195">
        <v>445</v>
      </c>
    </row>
    <row r="2196" spans="1:3" x14ac:dyDescent="0.25">
      <c r="A2196">
        <v>17</v>
      </c>
      <c r="B2196">
        <v>0</v>
      </c>
      <c r="C2196">
        <v>445</v>
      </c>
    </row>
    <row r="2197" spans="1:3" x14ac:dyDescent="0.25">
      <c r="A2197">
        <v>20</v>
      </c>
      <c r="B2197">
        <v>0</v>
      </c>
      <c r="C2197">
        <v>445</v>
      </c>
    </row>
    <row r="2198" spans="1:3" x14ac:dyDescent="0.25">
      <c r="A2198">
        <v>19</v>
      </c>
      <c r="B2198">
        <v>0</v>
      </c>
      <c r="C2198">
        <v>445</v>
      </c>
    </row>
    <row r="2199" spans="1:3" x14ac:dyDescent="0.25">
      <c r="A2199">
        <v>17</v>
      </c>
      <c r="B2199">
        <v>0</v>
      </c>
      <c r="C2199">
        <v>480</v>
      </c>
    </row>
    <row r="2200" spans="1:3" x14ac:dyDescent="0.25">
      <c r="A2200">
        <v>14</v>
      </c>
      <c r="B2200">
        <v>0</v>
      </c>
      <c r="C2200">
        <v>480</v>
      </c>
    </row>
    <row r="2201" spans="1:3" x14ac:dyDescent="0.25">
      <c r="A2201">
        <v>16</v>
      </c>
      <c r="B2201">
        <v>0</v>
      </c>
      <c r="C2201">
        <v>480</v>
      </c>
    </row>
    <row r="2202" spans="1:3" x14ac:dyDescent="0.25">
      <c r="A2202">
        <v>20</v>
      </c>
      <c r="B2202">
        <v>0</v>
      </c>
      <c r="C2202">
        <v>480</v>
      </c>
    </row>
    <row r="2203" spans="1:3" x14ac:dyDescent="0.25">
      <c r="A2203">
        <v>18</v>
      </c>
      <c r="B2203">
        <v>0</v>
      </c>
      <c r="C2203">
        <v>480</v>
      </c>
    </row>
    <row r="2204" spans="1:3" x14ac:dyDescent="0.25">
      <c r="A2204">
        <v>14</v>
      </c>
      <c r="B2204">
        <v>0</v>
      </c>
      <c r="C2204">
        <v>480</v>
      </c>
    </row>
    <row r="2205" spans="1:3" x14ac:dyDescent="0.25">
      <c r="A2205">
        <v>16</v>
      </c>
      <c r="B2205">
        <v>0</v>
      </c>
      <c r="C2205">
        <v>480</v>
      </c>
    </row>
    <row r="2206" spans="1:3" x14ac:dyDescent="0.25">
      <c r="A2206">
        <v>17</v>
      </c>
      <c r="B2206">
        <v>0</v>
      </c>
      <c r="C2206">
        <v>480</v>
      </c>
    </row>
    <row r="2207" spans="1:3" x14ac:dyDescent="0.25">
      <c r="A2207">
        <v>19</v>
      </c>
      <c r="B2207">
        <v>0</v>
      </c>
      <c r="C2207">
        <v>480</v>
      </c>
    </row>
    <row r="2208" spans="1:3" x14ac:dyDescent="0.25">
      <c r="A2208">
        <v>17</v>
      </c>
      <c r="B2208">
        <v>0</v>
      </c>
      <c r="C2208">
        <v>449</v>
      </c>
    </row>
    <row r="2209" spans="1:3" x14ac:dyDescent="0.25">
      <c r="A2209">
        <v>18</v>
      </c>
      <c r="B2209">
        <v>0</v>
      </c>
      <c r="C2209">
        <v>449</v>
      </c>
    </row>
    <row r="2210" spans="1:3" x14ac:dyDescent="0.25">
      <c r="A2210">
        <v>18</v>
      </c>
      <c r="B2210">
        <v>0</v>
      </c>
      <c r="C2210">
        <v>449</v>
      </c>
    </row>
    <row r="2211" spans="1:3" x14ac:dyDescent="0.25">
      <c r="A2211">
        <v>17</v>
      </c>
      <c r="B2211">
        <v>0</v>
      </c>
      <c r="C2211">
        <v>449</v>
      </c>
    </row>
    <row r="2212" spans="1:3" x14ac:dyDescent="0.25">
      <c r="A2212">
        <v>19</v>
      </c>
      <c r="B2212">
        <v>0</v>
      </c>
      <c r="C2212">
        <v>449</v>
      </c>
    </row>
    <row r="2213" spans="1:3" x14ac:dyDescent="0.25">
      <c r="A2213">
        <v>15</v>
      </c>
      <c r="B2213">
        <v>0</v>
      </c>
      <c r="C2213">
        <v>449</v>
      </c>
    </row>
    <row r="2214" spans="1:3" x14ac:dyDescent="0.25">
      <c r="A2214">
        <v>13</v>
      </c>
      <c r="B2214">
        <v>0</v>
      </c>
      <c r="C2214">
        <v>449</v>
      </c>
    </row>
    <row r="2215" spans="1:3" x14ac:dyDescent="0.25">
      <c r="A2215">
        <v>21</v>
      </c>
      <c r="B2215">
        <v>0</v>
      </c>
      <c r="C2215">
        <v>449</v>
      </c>
    </row>
    <row r="2216" spans="1:3" x14ac:dyDescent="0.25">
      <c r="A2216">
        <v>18</v>
      </c>
      <c r="B2216">
        <v>0</v>
      </c>
      <c r="C2216">
        <v>449</v>
      </c>
    </row>
    <row r="2217" spans="1:3" x14ac:dyDescent="0.25">
      <c r="A2217">
        <v>14</v>
      </c>
      <c r="B2217">
        <v>0</v>
      </c>
      <c r="C2217">
        <v>497</v>
      </c>
    </row>
    <row r="2218" spans="1:3" x14ac:dyDescent="0.25">
      <c r="A2218">
        <v>15</v>
      </c>
      <c r="B2218">
        <v>0</v>
      </c>
      <c r="C2218">
        <v>497</v>
      </c>
    </row>
    <row r="2219" spans="1:3" x14ac:dyDescent="0.25">
      <c r="A2219">
        <v>19</v>
      </c>
      <c r="B2219">
        <v>0</v>
      </c>
      <c r="C2219">
        <v>497</v>
      </c>
    </row>
    <row r="2220" spans="1:3" x14ac:dyDescent="0.25">
      <c r="A2220">
        <v>15</v>
      </c>
      <c r="B2220">
        <v>0</v>
      </c>
      <c r="C2220">
        <v>497</v>
      </c>
    </row>
    <row r="2221" spans="1:3" x14ac:dyDescent="0.25">
      <c r="A2221">
        <v>18</v>
      </c>
      <c r="B2221">
        <v>0</v>
      </c>
      <c r="C2221">
        <v>497</v>
      </c>
    </row>
    <row r="2222" spans="1:3" x14ac:dyDescent="0.25">
      <c r="A2222">
        <v>14</v>
      </c>
      <c r="B2222">
        <v>0</v>
      </c>
      <c r="C2222">
        <v>497</v>
      </c>
    </row>
    <row r="2223" spans="1:3" x14ac:dyDescent="0.25">
      <c r="A2223">
        <v>20</v>
      </c>
      <c r="B2223">
        <v>0</v>
      </c>
      <c r="C2223">
        <v>497</v>
      </c>
    </row>
    <row r="2224" spans="1:3" x14ac:dyDescent="0.25">
      <c r="A2224">
        <v>14</v>
      </c>
      <c r="B2224">
        <v>0</v>
      </c>
      <c r="C2224">
        <v>497</v>
      </c>
    </row>
    <row r="2225" spans="1:3" x14ac:dyDescent="0.25">
      <c r="A2225">
        <v>13</v>
      </c>
      <c r="B2225">
        <v>0</v>
      </c>
      <c r="C2225">
        <v>497</v>
      </c>
    </row>
    <row r="2226" spans="1:3" x14ac:dyDescent="0.25">
      <c r="A2226">
        <v>17</v>
      </c>
      <c r="B2226">
        <v>0</v>
      </c>
      <c r="C2226">
        <v>476</v>
      </c>
    </row>
    <row r="2227" spans="1:3" x14ac:dyDescent="0.25">
      <c r="A2227">
        <v>16</v>
      </c>
      <c r="B2227">
        <v>0</v>
      </c>
      <c r="C2227">
        <v>476</v>
      </c>
    </row>
    <row r="2228" spans="1:3" x14ac:dyDescent="0.25">
      <c r="A2228">
        <v>18</v>
      </c>
      <c r="B2228">
        <v>0</v>
      </c>
      <c r="C2228">
        <v>476</v>
      </c>
    </row>
    <row r="2229" spans="1:3" x14ac:dyDescent="0.25">
      <c r="A2229">
        <v>14</v>
      </c>
      <c r="B2229">
        <v>0</v>
      </c>
      <c r="C2229">
        <v>476</v>
      </c>
    </row>
    <row r="2230" spans="1:3" x14ac:dyDescent="0.25">
      <c r="A2230">
        <v>18</v>
      </c>
      <c r="B2230">
        <v>0</v>
      </c>
      <c r="C2230">
        <v>476</v>
      </c>
    </row>
    <row r="2231" spans="1:3" x14ac:dyDescent="0.25">
      <c r="A2231">
        <v>16</v>
      </c>
      <c r="B2231">
        <v>0</v>
      </c>
      <c r="C2231">
        <v>476</v>
      </c>
    </row>
    <row r="2232" spans="1:3" x14ac:dyDescent="0.25">
      <c r="A2232">
        <v>16</v>
      </c>
      <c r="B2232">
        <v>0</v>
      </c>
      <c r="C2232">
        <v>476</v>
      </c>
    </row>
    <row r="2233" spans="1:3" x14ac:dyDescent="0.25">
      <c r="A2233">
        <v>15</v>
      </c>
      <c r="B2233">
        <v>0</v>
      </c>
      <c r="C2233">
        <v>476</v>
      </c>
    </row>
    <row r="2234" spans="1:3" x14ac:dyDescent="0.25">
      <c r="A2234">
        <v>17</v>
      </c>
      <c r="B2234">
        <v>0</v>
      </c>
      <c r="C2234">
        <v>524</v>
      </c>
    </row>
    <row r="2235" spans="1:3" x14ac:dyDescent="0.25">
      <c r="A2235">
        <v>15</v>
      </c>
      <c r="B2235">
        <v>0</v>
      </c>
      <c r="C2235">
        <v>524</v>
      </c>
    </row>
    <row r="2236" spans="1:3" x14ac:dyDescent="0.25">
      <c r="A2236">
        <v>18</v>
      </c>
      <c r="B2236">
        <v>0</v>
      </c>
      <c r="C2236">
        <v>524</v>
      </c>
    </row>
    <row r="2237" spans="1:3" x14ac:dyDescent="0.25">
      <c r="A2237">
        <v>15</v>
      </c>
      <c r="B2237">
        <v>0</v>
      </c>
      <c r="C2237">
        <v>524</v>
      </c>
    </row>
    <row r="2238" spans="1:3" x14ac:dyDescent="0.25">
      <c r="A2238">
        <v>20</v>
      </c>
      <c r="B2238">
        <v>0</v>
      </c>
      <c r="C2238">
        <v>524</v>
      </c>
    </row>
    <row r="2239" spans="1:3" x14ac:dyDescent="0.25">
      <c r="A2239">
        <v>19</v>
      </c>
      <c r="B2239">
        <v>0</v>
      </c>
      <c r="C2239">
        <v>524</v>
      </c>
    </row>
    <row r="2240" spans="1:3" x14ac:dyDescent="0.25">
      <c r="A2240">
        <v>16</v>
      </c>
      <c r="B2240">
        <v>0</v>
      </c>
      <c r="C2240">
        <v>524</v>
      </c>
    </row>
    <row r="2241" spans="1:3" x14ac:dyDescent="0.25">
      <c r="A2241">
        <v>17</v>
      </c>
      <c r="B2241">
        <v>0</v>
      </c>
      <c r="C2241">
        <v>524</v>
      </c>
    </row>
    <row r="2242" spans="1:3" x14ac:dyDescent="0.25">
      <c r="A2242">
        <v>19</v>
      </c>
      <c r="B2242">
        <v>0</v>
      </c>
      <c r="C2242">
        <v>524</v>
      </c>
    </row>
    <row r="2243" spans="1:3" x14ac:dyDescent="0.25">
      <c r="A2243">
        <v>17</v>
      </c>
      <c r="B2243">
        <v>0</v>
      </c>
      <c r="C2243">
        <v>480</v>
      </c>
    </row>
    <row r="2244" spans="1:3" x14ac:dyDescent="0.25">
      <c r="A2244">
        <v>17</v>
      </c>
      <c r="B2244">
        <v>0</v>
      </c>
      <c r="C2244">
        <v>480</v>
      </c>
    </row>
    <row r="2245" spans="1:3" x14ac:dyDescent="0.25">
      <c r="A2245">
        <v>18</v>
      </c>
      <c r="B2245">
        <v>0</v>
      </c>
      <c r="C2245">
        <v>480</v>
      </c>
    </row>
    <row r="2246" spans="1:3" x14ac:dyDescent="0.25">
      <c r="A2246">
        <v>15</v>
      </c>
      <c r="B2246">
        <v>0</v>
      </c>
      <c r="C2246">
        <v>480</v>
      </c>
    </row>
    <row r="2247" spans="1:3" x14ac:dyDescent="0.25">
      <c r="A2247">
        <v>20</v>
      </c>
      <c r="B2247">
        <v>0</v>
      </c>
      <c r="C2247">
        <v>480</v>
      </c>
    </row>
    <row r="2248" spans="1:3" x14ac:dyDescent="0.25">
      <c r="A2248">
        <v>14</v>
      </c>
      <c r="B2248">
        <v>0</v>
      </c>
      <c r="C2248">
        <v>480</v>
      </c>
    </row>
    <row r="2249" spans="1:3" x14ac:dyDescent="0.25">
      <c r="A2249">
        <v>13</v>
      </c>
      <c r="B2249">
        <v>0</v>
      </c>
      <c r="C2249">
        <v>480</v>
      </c>
    </row>
    <row r="2250" spans="1:3" x14ac:dyDescent="0.25">
      <c r="A2250">
        <v>15</v>
      </c>
      <c r="B2250">
        <v>0</v>
      </c>
      <c r="C2250">
        <v>480</v>
      </c>
    </row>
    <row r="2251" spans="1:3" x14ac:dyDescent="0.25">
      <c r="A2251">
        <v>17</v>
      </c>
      <c r="B2251">
        <v>0</v>
      </c>
      <c r="C2251">
        <v>480</v>
      </c>
    </row>
    <row r="2252" spans="1:3" x14ac:dyDescent="0.25">
      <c r="A2252">
        <v>15</v>
      </c>
      <c r="B2252">
        <v>0</v>
      </c>
      <c r="C2252">
        <v>477</v>
      </c>
    </row>
    <row r="2253" spans="1:3" x14ac:dyDescent="0.25">
      <c r="A2253">
        <v>15</v>
      </c>
      <c r="B2253">
        <v>0</v>
      </c>
      <c r="C2253">
        <v>477</v>
      </c>
    </row>
    <row r="2254" spans="1:3" x14ac:dyDescent="0.25">
      <c r="A2254">
        <v>19</v>
      </c>
      <c r="B2254">
        <v>0</v>
      </c>
      <c r="C2254">
        <v>477</v>
      </c>
    </row>
    <row r="2255" spans="1:3" x14ac:dyDescent="0.25">
      <c r="A2255">
        <v>20</v>
      </c>
      <c r="B2255">
        <v>0</v>
      </c>
      <c r="C2255">
        <v>477</v>
      </c>
    </row>
    <row r="2256" spans="1:3" x14ac:dyDescent="0.25">
      <c r="A2256">
        <v>14</v>
      </c>
      <c r="B2256">
        <v>0</v>
      </c>
      <c r="C2256">
        <v>477</v>
      </c>
    </row>
    <row r="2257" spans="1:3" x14ac:dyDescent="0.25">
      <c r="A2257">
        <v>16</v>
      </c>
      <c r="B2257">
        <v>0</v>
      </c>
      <c r="C2257">
        <v>477</v>
      </c>
    </row>
    <row r="2258" spans="1:3" x14ac:dyDescent="0.25">
      <c r="A2258">
        <v>17</v>
      </c>
      <c r="B2258">
        <v>0</v>
      </c>
      <c r="C2258">
        <v>477</v>
      </c>
    </row>
    <row r="2259" spans="1:3" x14ac:dyDescent="0.25">
      <c r="A2259">
        <v>15</v>
      </c>
      <c r="B2259">
        <v>0</v>
      </c>
      <c r="C2259">
        <v>477</v>
      </c>
    </row>
    <row r="2260" spans="1:3" x14ac:dyDescent="0.25">
      <c r="A2260">
        <v>12</v>
      </c>
      <c r="B2260">
        <v>0</v>
      </c>
      <c r="C2260">
        <v>446</v>
      </c>
    </row>
    <row r="2261" spans="1:3" x14ac:dyDescent="0.25">
      <c r="A2261">
        <v>19</v>
      </c>
      <c r="B2261">
        <v>0</v>
      </c>
      <c r="C2261">
        <v>446</v>
      </c>
    </row>
    <row r="2262" spans="1:3" x14ac:dyDescent="0.25">
      <c r="A2262">
        <v>15</v>
      </c>
      <c r="B2262">
        <v>0</v>
      </c>
      <c r="C2262">
        <v>446</v>
      </c>
    </row>
    <row r="2263" spans="1:3" x14ac:dyDescent="0.25">
      <c r="A2263">
        <v>21</v>
      </c>
      <c r="B2263">
        <v>0</v>
      </c>
      <c r="C2263">
        <v>446</v>
      </c>
    </row>
    <row r="2264" spans="1:3" x14ac:dyDescent="0.25">
      <c r="A2264">
        <v>13</v>
      </c>
      <c r="B2264">
        <v>0</v>
      </c>
      <c r="C2264">
        <v>446</v>
      </c>
    </row>
    <row r="2265" spans="1:3" x14ac:dyDescent="0.25">
      <c r="A2265">
        <v>14</v>
      </c>
      <c r="B2265">
        <v>0</v>
      </c>
      <c r="C2265">
        <v>446</v>
      </c>
    </row>
    <row r="2266" spans="1:3" x14ac:dyDescent="0.25">
      <c r="A2266">
        <v>18</v>
      </c>
      <c r="B2266">
        <v>0</v>
      </c>
      <c r="C2266">
        <v>446</v>
      </c>
    </row>
    <row r="2267" spans="1:3" x14ac:dyDescent="0.25">
      <c r="A2267">
        <v>14</v>
      </c>
      <c r="B2267">
        <v>0</v>
      </c>
      <c r="C2267">
        <v>446</v>
      </c>
    </row>
    <row r="2268" spans="1:3" x14ac:dyDescent="0.25">
      <c r="A2268">
        <v>18</v>
      </c>
      <c r="B2268">
        <v>0</v>
      </c>
      <c r="C2268">
        <v>446</v>
      </c>
    </row>
    <row r="2269" spans="1:3" x14ac:dyDescent="0.25">
      <c r="A2269">
        <v>14</v>
      </c>
      <c r="B2269">
        <v>0</v>
      </c>
      <c r="C2269">
        <v>480</v>
      </c>
    </row>
    <row r="2270" spans="1:3" x14ac:dyDescent="0.25">
      <c r="A2270">
        <v>15</v>
      </c>
      <c r="B2270">
        <v>0</v>
      </c>
      <c r="C2270">
        <v>480</v>
      </c>
    </row>
    <row r="2271" spans="1:3" x14ac:dyDescent="0.25">
      <c r="A2271">
        <v>21</v>
      </c>
      <c r="B2271">
        <v>0</v>
      </c>
      <c r="C2271">
        <v>480</v>
      </c>
    </row>
    <row r="2272" spans="1:3" x14ac:dyDescent="0.25">
      <c r="A2272">
        <v>15</v>
      </c>
      <c r="B2272">
        <v>0</v>
      </c>
      <c r="C2272">
        <v>480</v>
      </c>
    </row>
    <row r="2273" spans="1:3" x14ac:dyDescent="0.25">
      <c r="A2273">
        <v>15</v>
      </c>
      <c r="B2273">
        <v>0</v>
      </c>
      <c r="C2273">
        <v>480</v>
      </c>
    </row>
    <row r="2274" spans="1:3" x14ac:dyDescent="0.25">
      <c r="A2274">
        <v>18</v>
      </c>
      <c r="B2274">
        <v>0</v>
      </c>
      <c r="C2274">
        <v>480</v>
      </c>
    </row>
    <row r="2275" spans="1:3" x14ac:dyDescent="0.25">
      <c r="A2275">
        <v>18</v>
      </c>
      <c r="B2275">
        <v>0</v>
      </c>
      <c r="C2275">
        <v>480</v>
      </c>
    </row>
    <row r="2276" spans="1:3" x14ac:dyDescent="0.25">
      <c r="A2276">
        <v>13</v>
      </c>
      <c r="B2276">
        <v>0</v>
      </c>
      <c r="C2276">
        <v>480</v>
      </c>
    </row>
    <row r="2277" spans="1:3" x14ac:dyDescent="0.25">
      <c r="A2277">
        <v>15</v>
      </c>
      <c r="B2277">
        <v>0</v>
      </c>
      <c r="C2277">
        <v>542</v>
      </c>
    </row>
    <row r="2278" spans="1:3" x14ac:dyDescent="0.25">
      <c r="A2278">
        <v>19</v>
      </c>
      <c r="B2278">
        <v>0</v>
      </c>
      <c r="C2278">
        <v>542</v>
      </c>
    </row>
    <row r="2279" spans="1:3" x14ac:dyDescent="0.25">
      <c r="A2279">
        <v>15</v>
      </c>
      <c r="B2279">
        <v>0</v>
      </c>
      <c r="C2279">
        <v>542</v>
      </c>
    </row>
    <row r="2280" spans="1:3" x14ac:dyDescent="0.25">
      <c r="A2280">
        <v>15</v>
      </c>
      <c r="B2280">
        <v>0</v>
      </c>
      <c r="C2280">
        <v>542</v>
      </c>
    </row>
    <row r="2281" spans="1:3" x14ac:dyDescent="0.25">
      <c r="A2281">
        <v>16</v>
      </c>
      <c r="B2281">
        <v>0</v>
      </c>
      <c r="C2281">
        <v>542</v>
      </c>
    </row>
    <row r="2282" spans="1:3" x14ac:dyDescent="0.25">
      <c r="A2282">
        <v>18</v>
      </c>
      <c r="B2282">
        <v>0</v>
      </c>
      <c r="C2282">
        <v>542</v>
      </c>
    </row>
    <row r="2283" spans="1:3" x14ac:dyDescent="0.25">
      <c r="A2283">
        <v>16</v>
      </c>
      <c r="B2283">
        <v>0</v>
      </c>
      <c r="C2283">
        <v>542</v>
      </c>
    </row>
    <row r="2284" spans="1:3" x14ac:dyDescent="0.25">
      <c r="A2284">
        <v>16</v>
      </c>
      <c r="B2284">
        <v>0</v>
      </c>
      <c r="C2284">
        <v>542</v>
      </c>
    </row>
    <row r="2285" spans="1:3" x14ac:dyDescent="0.25">
      <c r="A2285">
        <v>13</v>
      </c>
      <c r="B2285">
        <v>0</v>
      </c>
      <c r="C2285">
        <v>542</v>
      </c>
    </row>
    <row r="2286" spans="1:3" x14ac:dyDescent="0.25">
      <c r="A2286">
        <v>19</v>
      </c>
      <c r="B2286">
        <v>0</v>
      </c>
      <c r="C2286">
        <v>474</v>
      </c>
    </row>
    <row r="2287" spans="1:3" x14ac:dyDescent="0.25">
      <c r="A2287">
        <v>20</v>
      </c>
      <c r="B2287">
        <v>0</v>
      </c>
      <c r="C2287">
        <v>474</v>
      </c>
    </row>
    <row r="2288" spans="1:3" x14ac:dyDescent="0.25">
      <c r="A2288">
        <v>18</v>
      </c>
      <c r="B2288">
        <v>0</v>
      </c>
      <c r="C2288">
        <v>474</v>
      </c>
    </row>
    <row r="2289" spans="1:3" x14ac:dyDescent="0.25">
      <c r="A2289">
        <v>16</v>
      </c>
      <c r="B2289">
        <v>0</v>
      </c>
      <c r="C2289">
        <v>474</v>
      </c>
    </row>
    <row r="2290" spans="1:3" x14ac:dyDescent="0.25">
      <c r="A2290">
        <v>14</v>
      </c>
      <c r="B2290">
        <v>0</v>
      </c>
      <c r="C2290">
        <v>474</v>
      </c>
    </row>
    <row r="2291" spans="1:3" x14ac:dyDescent="0.25">
      <c r="A2291">
        <v>14</v>
      </c>
      <c r="B2291">
        <v>0</v>
      </c>
      <c r="C2291">
        <v>474</v>
      </c>
    </row>
    <row r="2292" spans="1:3" x14ac:dyDescent="0.25">
      <c r="A2292">
        <v>17</v>
      </c>
      <c r="B2292">
        <v>0</v>
      </c>
      <c r="C2292">
        <v>474</v>
      </c>
    </row>
    <row r="2293" spans="1:3" x14ac:dyDescent="0.25">
      <c r="A2293">
        <v>21</v>
      </c>
      <c r="B2293">
        <v>0</v>
      </c>
      <c r="C2293">
        <v>474</v>
      </c>
    </row>
    <row r="2294" spans="1:3" x14ac:dyDescent="0.25">
      <c r="A2294">
        <v>18</v>
      </c>
      <c r="B2294">
        <v>0</v>
      </c>
      <c r="C2294">
        <v>461</v>
      </c>
    </row>
    <row r="2295" spans="1:3" x14ac:dyDescent="0.25">
      <c r="A2295">
        <v>19</v>
      </c>
      <c r="B2295">
        <v>0</v>
      </c>
      <c r="C2295">
        <v>461</v>
      </c>
    </row>
    <row r="2296" spans="1:3" x14ac:dyDescent="0.25">
      <c r="A2296">
        <v>18</v>
      </c>
      <c r="B2296">
        <v>0</v>
      </c>
      <c r="C2296">
        <v>461</v>
      </c>
    </row>
    <row r="2297" spans="1:3" x14ac:dyDescent="0.25">
      <c r="A2297">
        <v>14</v>
      </c>
      <c r="B2297">
        <v>0</v>
      </c>
      <c r="C2297">
        <v>461</v>
      </c>
    </row>
    <row r="2298" spans="1:3" x14ac:dyDescent="0.25">
      <c r="A2298">
        <v>17</v>
      </c>
      <c r="B2298">
        <v>0</v>
      </c>
      <c r="C2298">
        <v>461</v>
      </c>
    </row>
    <row r="2299" spans="1:3" x14ac:dyDescent="0.25">
      <c r="A2299">
        <v>18</v>
      </c>
      <c r="B2299">
        <v>0</v>
      </c>
      <c r="C2299">
        <v>461</v>
      </c>
    </row>
    <row r="2300" spans="1:3" x14ac:dyDescent="0.25">
      <c r="A2300">
        <v>13</v>
      </c>
      <c r="B2300">
        <v>0</v>
      </c>
      <c r="C2300">
        <v>461</v>
      </c>
    </row>
    <row r="2301" spans="1:3" x14ac:dyDescent="0.25">
      <c r="A2301">
        <v>14</v>
      </c>
      <c r="B2301">
        <v>0</v>
      </c>
      <c r="C2301">
        <v>461</v>
      </c>
    </row>
    <row r="2302" spans="1:3" x14ac:dyDescent="0.25">
      <c r="A2302">
        <v>20</v>
      </c>
      <c r="B2302">
        <v>0</v>
      </c>
      <c r="C2302">
        <v>461</v>
      </c>
    </row>
    <row r="2303" spans="1:3" x14ac:dyDescent="0.25">
      <c r="A2303">
        <v>15</v>
      </c>
      <c r="B2303">
        <v>0</v>
      </c>
      <c r="C2303">
        <v>461</v>
      </c>
    </row>
    <row r="2304" spans="1:3" x14ac:dyDescent="0.25">
      <c r="A2304">
        <v>13</v>
      </c>
      <c r="B2304">
        <v>0</v>
      </c>
      <c r="C2304">
        <v>461</v>
      </c>
    </row>
    <row r="2305" spans="1:3" x14ac:dyDescent="0.25">
      <c r="A2305">
        <v>13</v>
      </c>
      <c r="B2305">
        <v>0</v>
      </c>
      <c r="C2305">
        <v>461</v>
      </c>
    </row>
    <row r="2306" spans="1:3" x14ac:dyDescent="0.25">
      <c r="A2306">
        <v>16</v>
      </c>
      <c r="B2306">
        <v>0</v>
      </c>
      <c r="C2306">
        <v>461</v>
      </c>
    </row>
    <row r="2307" spans="1:3" x14ac:dyDescent="0.25">
      <c r="A2307">
        <v>19</v>
      </c>
      <c r="B2307">
        <v>0</v>
      </c>
      <c r="C2307">
        <v>461</v>
      </c>
    </row>
    <row r="2308" spans="1:3" x14ac:dyDescent="0.25">
      <c r="A2308">
        <v>15</v>
      </c>
      <c r="B2308">
        <v>0</v>
      </c>
      <c r="C2308">
        <v>461</v>
      </c>
    </row>
    <row r="2309" spans="1:3" x14ac:dyDescent="0.25">
      <c r="A2309">
        <v>19</v>
      </c>
      <c r="B2309">
        <v>0</v>
      </c>
      <c r="C2309">
        <v>461</v>
      </c>
    </row>
    <row r="2310" spans="1:3" x14ac:dyDescent="0.25">
      <c r="A2310">
        <v>17</v>
      </c>
      <c r="B2310">
        <v>0</v>
      </c>
      <c r="C2310">
        <v>461</v>
      </c>
    </row>
    <row r="2311" spans="1:3" x14ac:dyDescent="0.25">
      <c r="A2311">
        <v>16</v>
      </c>
      <c r="B2311">
        <v>0</v>
      </c>
      <c r="C2311">
        <v>505</v>
      </c>
    </row>
    <row r="2312" spans="1:3" x14ac:dyDescent="0.25">
      <c r="A2312">
        <v>16</v>
      </c>
      <c r="B2312">
        <v>0</v>
      </c>
      <c r="C2312">
        <v>505</v>
      </c>
    </row>
    <row r="2313" spans="1:3" x14ac:dyDescent="0.25">
      <c r="A2313">
        <v>18</v>
      </c>
      <c r="B2313">
        <v>0</v>
      </c>
      <c r="C2313">
        <v>505</v>
      </c>
    </row>
    <row r="2314" spans="1:3" x14ac:dyDescent="0.25">
      <c r="A2314">
        <v>16</v>
      </c>
      <c r="B2314">
        <v>0</v>
      </c>
      <c r="C2314">
        <v>505</v>
      </c>
    </row>
    <row r="2315" spans="1:3" x14ac:dyDescent="0.25">
      <c r="A2315">
        <v>17</v>
      </c>
      <c r="B2315">
        <v>0</v>
      </c>
      <c r="C2315">
        <v>505</v>
      </c>
    </row>
    <row r="2316" spans="1:3" x14ac:dyDescent="0.25">
      <c r="A2316">
        <v>15</v>
      </c>
      <c r="B2316">
        <v>0</v>
      </c>
      <c r="C2316">
        <v>505</v>
      </c>
    </row>
    <row r="2317" spans="1:3" x14ac:dyDescent="0.25">
      <c r="A2317">
        <v>15</v>
      </c>
      <c r="B2317">
        <v>0</v>
      </c>
      <c r="C2317">
        <v>505</v>
      </c>
    </row>
    <row r="2318" spans="1:3" x14ac:dyDescent="0.25">
      <c r="A2318">
        <v>21</v>
      </c>
      <c r="B2318">
        <v>0</v>
      </c>
      <c r="C2318">
        <v>505</v>
      </c>
    </row>
    <row r="2319" spans="1:3" x14ac:dyDescent="0.25">
      <c r="A2319">
        <v>15</v>
      </c>
      <c r="B2319">
        <v>0</v>
      </c>
      <c r="C2319">
        <v>505</v>
      </c>
    </row>
    <row r="2320" spans="1:3" x14ac:dyDescent="0.25">
      <c r="A2320">
        <v>17</v>
      </c>
      <c r="B2320">
        <v>0</v>
      </c>
      <c r="C2320">
        <v>429</v>
      </c>
    </row>
    <row r="2321" spans="1:3" x14ac:dyDescent="0.25">
      <c r="A2321">
        <v>17</v>
      </c>
      <c r="B2321">
        <v>0</v>
      </c>
      <c r="C2321">
        <v>429</v>
      </c>
    </row>
    <row r="2322" spans="1:3" x14ac:dyDescent="0.25">
      <c r="A2322">
        <v>16</v>
      </c>
      <c r="B2322">
        <v>0</v>
      </c>
      <c r="C2322">
        <v>429</v>
      </c>
    </row>
    <row r="2323" spans="1:3" x14ac:dyDescent="0.25">
      <c r="A2323">
        <v>18</v>
      </c>
      <c r="B2323">
        <v>0</v>
      </c>
      <c r="C2323">
        <v>429</v>
      </c>
    </row>
    <row r="2324" spans="1:3" x14ac:dyDescent="0.25">
      <c r="A2324">
        <v>19</v>
      </c>
      <c r="B2324">
        <v>0</v>
      </c>
      <c r="C2324">
        <v>429</v>
      </c>
    </row>
    <row r="2325" spans="1:3" x14ac:dyDescent="0.25">
      <c r="A2325">
        <v>15</v>
      </c>
      <c r="B2325">
        <v>0</v>
      </c>
      <c r="C2325">
        <v>429</v>
      </c>
    </row>
    <row r="2326" spans="1:3" x14ac:dyDescent="0.25">
      <c r="A2326">
        <v>20</v>
      </c>
      <c r="B2326">
        <v>0</v>
      </c>
      <c r="C2326">
        <v>429</v>
      </c>
    </row>
    <row r="2327" spans="1:3" x14ac:dyDescent="0.25">
      <c r="A2327">
        <v>16</v>
      </c>
      <c r="B2327">
        <v>0</v>
      </c>
      <c r="C2327">
        <v>429</v>
      </c>
    </row>
    <row r="2328" spans="1:3" x14ac:dyDescent="0.25">
      <c r="A2328">
        <v>16</v>
      </c>
      <c r="B2328">
        <v>0</v>
      </c>
      <c r="C2328">
        <v>477</v>
      </c>
    </row>
    <row r="2329" spans="1:3" x14ac:dyDescent="0.25">
      <c r="A2329">
        <v>17</v>
      </c>
      <c r="B2329">
        <v>0</v>
      </c>
      <c r="C2329">
        <v>477</v>
      </c>
    </row>
    <row r="2330" spans="1:3" x14ac:dyDescent="0.25">
      <c r="A2330">
        <v>17</v>
      </c>
      <c r="B2330">
        <v>0</v>
      </c>
      <c r="C2330">
        <v>477</v>
      </c>
    </row>
    <row r="2331" spans="1:3" x14ac:dyDescent="0.25">
      <c r="A2331">
        <v>15</v>
      </c>
      <c r="B2331">
        <v>0</v>
      </c>
      <c r="C2331">
        <v>477</v>
      </c>
    </row>
    <row r="2332" spans="1:3" x14ac:dyDescent="0.25">
      <c r="A2332">
        <v>16</v>
      </c>
      <c r="B2332">
        <v>0</v>
      </c>
      <c r="C2332">
        <v>477</v>
      </c>
    </row>
    <row r="2333" spans="1:3" x14ac:dyDescent="0.25">
      <c r="A2333">
        <v>16</v>
      </c>
      <c r="B2333">
        <v>0</v>
      </c>
      <c r="C2333">
        <v>477</v>
      </c>
    </row>
    <row r="2334" spans="1:3" x14ac:dyDescent="0.25">
      <c r="A2334">
        <v>20</v>
      </c>
      <c r="B2334">
        <v>0</v>
      </c>
      <c r="C2334">
        <v>477</v>
      </c>
    </row>
    <row r="2335" spans="1:3" x14ac:dyDescent="0.25">
      <c r="A2335">
        <v>14</v>
      </c>
      <c r="B2335">
        <v>0</v>
      </c>
      <c r="C2335">
        <v>477</v>
      </c>
    </row>
    <row r="2336" spans="1:3" x14ac:dyDescent="0.25">
      <c r="A2336">
        <v>13</v>
      </c>
      <c r="B2336">
        <v>0</v>
      </c>
      <c r="C2336">
        <v>477</v>
      </c>
    </row>
    <row r="2337" spans="1:3" x14ac:dyDescent="0.25">
      <c r="A2337">
        <v>14</v>
      </c>
      <c r="B2337">
        <v>0</v>
      </c>
      <c r="C2337">
        <v>465</v>
      </c>
    </row>
    <row r="2338" spans="1:3" x14ac:dyDescent="0.25">
      <c r="A2338">
        <v>17</v>
      </c>
      <c r="B2338">
        <v>0</v>
      </c>
      <c r="C2338">
        <v>465</v>
      </c>
    </row>
    <row r="2339" spans="1:3" x14ac:dyDescent="0.25">
      <c r="A2339">
        <v>15</v>
      </c>
      <c r="B2339">
        <v>0</v>
      </c>
      <c r="C2339">
        <v>465</v>
      </c>
    </row>
    <row r="2340" spans="1:3" x14ac:dyDescent="0.25">
      <c r="A2340">
        <v>18</v>
      </c>
      <c r="B2340">
        <v>0</v>
      </c>
      <c r="C2340">
        <v>465</v>
      </c>
    </row>
    <row r="2341" spans="1:3" x14ac:dyDescent="0.25">
      <c r="A2341">
        <v>17</v>
      </c>
      <c r="B2341">
        <v>0</v>
      </c>
      <c r="C2341">
        <v>465</v>
      </c>
    </row>
    <row r="2342" spans="1:3" x14ac:dyDescent="0.25">
      <c r="A2342">
        <v>21</v>
      </c>
      <c r="B2342">
        <v>0</v>
      </c>
      <c r="C2342">
        <v>465</v>
      </c>
    </row>
    <row r="2343" spans="1:3" x14ac:dyDescent="0.25">
      <c r="A2343">
        <v>21</v>
      </c>
      <c r="B2343">
        <v>0</v>
      </c>
      <c r="C2343">
        <v>465</v>
      </c>
    </row>
    <row r="2344" spans="1:3" x14ac:dyDescent="0.25">
      <c r="A2344">
        <v>16</v>
      </c>
      <c r="B2344">
        <v>0</v>
      </c>
      <c r="C2344">
        <v>465</v>
      </c>
    </row>
    <row r="2345" spans="1:3" x14ac:dyDescent="0.25">
      <c r="A2345">
        <v>17</v>
      </c>
      <c r="B2345">
        <v>0</v>
      </c>
      <c r="C2345">
        <v>464</v>
      </c>
    </row>
    <row r="2346" spans="1:3" x14ac:dyDescent="0.25">
      <c r="A2346">
        <v>17</v>
      </c>
      <c r="B2346">
        <v>0</v>
      </c>
      <c r="C2346">
        <v>464</v>
      </c>
    </row>
    <row r="2347" spans="1:3" x14ac:dyDescent="0.25">
      <c r="A2347">
        <v>18</v>
      </c>
      <c r="B2347">
        <v>0</v>
      </c>
      <c r="C2347">
        <v>464</v>
      </c>
    </row>
    <row r="2348" spans="1:3" x14ac:dyDescent="0.25">
      <c r="A2348">
        <v>15</v>
      </c>
      <c r="B2348">
        <v>0</v>
      </c>
      <c r="C2348">
        <v>464</v>
      </c>
    </row>
    <row r="2349" spans="1:3" x14ac:dyDescent="0.25">
      <c r="A2349">
        <v>18</v>
      </c>
      <c r="B2349">
        <v>0</v>
      </c>
      <c r="C2349">
        <v>464</v>
      </c>
    </row>
    <row r="2350" spans="1:3" x14ac:dyDescent="0.25">
      <c r="A2350">
        <v>21</v>
      </c>
      <c r="B2350">
        <v>0</v>
      </c>
      <c r="C2350">
        <v>464</v>
      </c>
    </row>
    <row r="2351" spans="1:3" x14ac:dyDescent="0.25">
      <c r="A2351">
        <v>18</v>
      </c>
      <c r="B2351">
        <v>0</v>
      </c>
      <c r="C2351">
        <v>464</v>
      </c>
    </row>
    <row r="2352" spans="1:3" x14ac:dyDescent="0.25">
      <c r="A2352">
        <v>18</v>
      </c>
      <c r="B2352">
        <v>0</v>
      </c>
      <c r="C2352">
        <v>464</v>
      </c>
    </row>
    <row r="2353" spans="1:3" x14ac:dyDescent="0.25">
      <c r="A2353">
        <v>17</v>
      </c>
      <c r="B2353">
        <v>0</v>
      </c>
      <c r="C2353">
        <v>464</v>
      </c>
    </row>
    <row r="2354" spans="1:3" x14ac:dyDescent="0.25">
      <c r="A2354">
        <v>19</v>
      </c>
      <c r="B2354">
        <v>0</v>
      </c>
      <c r="C2354">
        <v>469</v>
      </c>
    </row>
    <row r="2355" spans="1:3" x14ac:dyDescent="0.25">
      <c r="A2355">
        <v>17</v>
      </c>
      <c r="B2355">
        <v>0</v>
      </c>
      <c r="C2355">
        <v>469</v>
      </c>
    </row>
    <row r="2356" spans="1:3" x14ac:dyDescent="0.25">
      <c r="A2356">
        <v>18</v>
      </c>
      <c r="B2356">
        <v>0</v>
      </c>
      <c r="C2356">
        <v>469</v>
      </c>
    </row>
    <row r="2357" spans="1:3" x14ac:dyDescent="0.25">
      <c r="A2357">
        <v>14</v>
      </c>
      <c r="B2357">
        <v>0</v>
      </c>
      <c r="C2357">
        <v>469</v>
      </c>
    </row>
    <row r="2358" spans="1:3" x14ac:dyDescent="0.25">
      <c r="A2358">
        <v>19</v>
      </c>
      <c r="B2358">
        <v>0</v>
      </c>
      <c r="C2358">
        <v>469</v>
      </c>
    </row>
    <row r="2359" spans="1:3" x14ac:dyDescent="0.25">
      <c r="A2359">
        <v>16</v>
      </c>
      <c r="B2359">
        <v>0</v>
      </c>
      <c r="C2359">
        <v>469</v>
      </c>
    </row>
    <row r="2360" spans="1:3" x14ac:dyDescent="0.25">
      <c r="A2360">
        <v>14</v>
      </c>
      <c r="B2360">
        <v>0</v>
      </c>
      <c r="C2360">
        <v>469</v>
      </c>
    </row>
    <row r="2361" spans="1:3" x14ac:dyDescent="0.25">
      <c r="A2361">
        <v>18</v>
      </c>
      <c r="B2361">
        <v>0</v>
      </c>
      <c r="C2361">
        <v>469</v>
      </c>
    </row>
    <row r="2362" spans="1:3" x14ac:dyDescent="0.25">
      <c r="A2362">
        <v>16</v>
      </c>
      <c r="B2362">
        <v>0</v>
      </c>
      <c r="C2362">
        <v>543</v>
      </c>
    </row>
    <row r="2363" spans="1:3" x14ac:dyDescent="0.25">
      <c r="A2363">
        <v>17</v>
      </c>
      <c r="B2363">
        <v>0</v>
      </c>
      <c r="C2363">
        <v>543</v>
      </c>
    </row>
    <row r="2364" spans="1:3" x14ac:dyDescent="0.25">
      <c r="A2364">
        <v>18</v>
      </c>
      <c r="B2364">
        <v>0</v>
      </c>
      <c r="C2364">
        <v>543</v>
      </c>
    </row>
    <row r="2365" spans="1:3" x14ac:dyDescent="0.25">
      <c r="A2365">
        <v>16</v>
      </c>
      <c r="B2365">
        <v>0</v>
      </c>
      <c r="C2365">
        <v>543</v>
      </c>
    </row>
    <row r="2366" spans="1:3" x14ac:dyDescent="0.25">
      <c r="A2366">
        <v>21</v>
      </c>
      <c r="B2366">
        <v>0</v>
      </c>
      <c r="C2366">
        <v>543</v>
      </c>
    </row>
    <row r="2367" spans="1:3" x14ac:dyDescent="0.25">
      <c r="A2367">
        <v>16</v>
      </c>
      <c r="B2367">
        <v>0</v>
      </c>
      <c r="C2367">
        <v>543</v>
      </c>
    </row>
    <row r="2368" spans="1:3" x14ac:dyDescent="0.25">
      <c r="A2368">
        <v>15</v>
      </c>
      <c r="B2368">
        <v>0</v>
      </c>
      <c r="C2368">
        <v>543</v>
      </c>
    </row>
    <row r="2369" spans="1:3" x14ac:dyDescent="0.25">
      <c r="A2369">
        <v>17</v>
      </c>
      <c r="B2369">
        <v>0</v>
      </c>
      <c r="C2369">
        <v>543</v>
      </c>
    </row>
    <row r="2370" spans="1:3" x14ac:dyDescent="0.25">
      <c r="A2370">
        <v>16</v>
      </c>
      <c r="B2370">
        <v>0</v>
      </c>
      <c r="C2370">
        <v>543</v>
      </c>
    </row>
    <row r="2371" spans="1:3" x14ac:dyDescent="0.25">
      <c r="A2371">
        <v>19</v>
      </c>
      <c r="B2371">
        <v>0</v>
      </c>
      <c r="C2371">
        <v>459</v>
      </c>
    </row>
    <row r="2372" spans="1:3" x14ac:dyDescent="0.25">
      <c r="A2372">
        <v>14</v>
      </c>
      <c r="B2372">
        <v>0</v>
      </c>
      <c r="C2372">
        <v>459</v>
      </c>
    </row>
    <row r="2373" spans="1:3" x14ac:dyDescent="0.25">
      <c r="A2373">
        <v>20</v>
      </c>
      <c r="B2373">
        <v>0</v>
      </c>
      <c r="C2373">
        <v>459</v>
      </c>
    </row>
    <row r="2374" spans="1:3" x14ac:dyDescent="0.25">
      <c r="A2374">
        <v>18</v>
      </c>
      <c r="B2374">
        <v>0</v>
      </c>
      <c r="C2374">
        <v>459</v>
      </c>
    </row>
    <row r="2375" spans="1:3" x14ac:dyDescent="0.25">
      <c r="A2375">
        <v>17</v>
      </c>
      <c r="B2375">
        <v>0</v>
      </c>
      <c r="C2375">
        <v>459</v>
      </c>
    </row>
    <row r="2376" spans="1:3" x14ac:dyDescent="0.25">
      <c r="A2376">
        <v>14</v>
      </c>
      <c r="B2376">
        <v>0</v>
      </c>
      <c r="C2376">
        <v>459</v>
      </c>
    </row>
    <row r="2377" spans="1:3" x14ac:dyDescent="0.25">
      <c r="A2377">
        <v>18</v>
      </c>
      <c r="B2377">
        <v>0</v>
      </c>
      <c r="C2377">
        <v>459</v>
      </c>
    </row>
    <row r="2378" spans="1:3" x14ac:dyDescent="0.25">
      <c r="A2378">
        <v>17</v>
      </c>
      <c r="B2378">
        <v>0</v>
      </c>
      <c r="C2378">
        <v>459</v>
      </c>
    </row>
    <row r="2379" spans="1:3" x14ac:dyDescent="0.25">
      <c r="A2379">
        <v>13</v>
      </c>
      <c r="B2379">
        <v>0</v>
      </c>
      <c r="C2379">
        <v>459</v>
      </c>
    </row>
    <row r="2380" spans="1:3" x14ac:dyDescent="0.25">
      <c r="A2380">
        <v>13</v>
      </c>
      <c r="B2380">
        <v>0</v>
      </c>
      <c r="C2380">
        <v>455</v>
      </c>
    </row>
    <row r="2381" spans="1:3" x14ac:dyDescent="0.25">
      <c r="A2381">
        <v>19</v>
      </c>
      <c r="B2381">
        <v>0</v>
      </c>
      <c r="C2381">
        <v>455</v>
      </c>
    </row>
    <row r="2382" spans="1:3" x14ac:dyDescent="0.25">
      <c r="A2382">
        <v>21</v>
      </c>
      <c r="B2382">
        <v>0</v>
      </c>
      <c r="C2382">
        <v>455</v>
      </c>
    </row>
    <row r="2383" spans="1:3" x14ac:dyDescent="0.25">
      <c r="A2383">
        <v>20</v>
      </c>
      <c r="B2383">
        <v>0</v>
      </c>
      <c r="C2383">
        <v>455</v>
      </c>
    </row>
    <row r="2384" spans="1:3" x14ac:dyDescent="0.25">
      <c r="A2384">
        <v>15</v>
      </c>
      <c r="B2384">
        <v>0</v>
      </c>
      <c r="C2384">
        <v>455</v>
      </c>
    </row>
    <row r="2385" spans="1:3" x14ac:dyDescent="0.25">
      <c r="A2385">
        <v>15</v>
      </c>
      <c r="B2385">
        <v>0</v>
      </c>
      <c r="C2385">
        <v>455</v>
      </c>
    </row>
    <row r="2386" spans="1:3" x14ac:dyDescent="0.25">
      <c r="A2386">
        <v>17</v>
      </c>
      <c r="B2386">
        <v>0</v>
      </c>
      <c r="C2386">
        <v>455</v>
      </c>
    </row>
    <row r="2387" spans="1:3" x14ac:dyDescent="0.25">
      <c r="A2387">
        <v>16</v>
      </c>
      <c r="B2387">
        <v>0</v>
      </c>
      <c r="C2387">
        <v>455</v>
      </c>
    </row>
    <row r="2388" spans="1:3" x14ac:dyDescent="0.25">
      <c r="A2388">
        <v>19</v>
      </c>
      <c r="B2388">
        <v>0</v>
      </c>
      <c r="C2388">
        <v>485</v>
      </c>
    </row>
    <row r="2389" spans="1:3" x14ac:dyDescent="0.25">
      <c r="A2389">
        <v>20</v>
      </c>
      <c r="B2389">
        <v>0</v>
      </c>
      <c r="C2389">
        <v>485</v>
      </c>
    </row>
    <row r="2390" spans="1:3" x14ac:dyDescent="0.25">
      <c r="A2390">
        <v>13</v>
      </c>
      <c r="B2390">
        <v>0</v>
      </c>
      <c r="C2390">
        <v>485</v>
      </c>
    </row>
    <row r="2391" spans="1:3" x14ac:dyDescent="0.25">
      <c r="A2391">
        <v>16</v>
      </c>
      <c r="B2391">
        <v>0</v>
      </c>
      <c r="C2391">
        <v>485</v>
      </c>
    </row>
    <row r="2392" spans="1:3" x14ac:dyDescent="0.25">
      <c r="A2392">
        <v>15</v>
      </c>
      <c r="B2392">
        <v>0</v>
      </c>
      <c r="C2392">
        <v>485</v>
      </c>
    </row>
    <row r="2393" spans="1:3" x14ac:dyDescent="0.25">
      <c r="A2393">
        <v>14</v>
      </c>
      <c r="B2393">
        <v>0</v>
      </c>
      <c r="C2393">
        <v>485</v>
      </c>
    </row>
    <row r="2394" spans="1:3" x14ac:dyDescent="0.25">
      <c r="A2394">
        <v>15</v>
      </c>
      <c r="B2394">
        <v>0</v>
      </c>
      <c r="C2394">
        <v>485</v>
      </c>
    </row>
    <row r="2395" spans="1:3" x14ac:dyDescent="0.25">
      <c r="A2395">
        <v>15</v>
      </c>
      <c r="B2395">
        <v>0</v>
      </c>
      <c r="C2395">
        <v>485</v>
      </c>
    </row>
    <row r="2396" spans="1:3" x14ac:dyDescent="0.25">
      <c r="A2396">
        <v>15</v>
      </c>
      <c r="B2396">
        <v>0</v>
      </c>
      <c r="C2396">
        <v>485</v>
      </c>
    </row>
    <row r="2397" spans="1:3" x14ac:dyDescent="0.25">
      <c r="A2397">
        <v>20</v>
      </c>
      <c r="B2397">
        <v>0</v>
      </c>
      <c r="C2397">
        <v>427</v>
      </c>
    </row>
    <row r="2398" spans="1:3" x14ac:dyDescent="0.25">
      <c r="A2398">
        <v>15</v>
      </c>
      <c r="B2398">
        <v>0</v>
      </c>
      <c r="C2398">
        <v>427</v>
      </c>
    </row>
    <row r="2399" spans="1:3" x14ac:dyDescent="0.25">
      <c r="A2399">
        <v>14</v>
      </c>
      <c r="B2399">
        <v>0</v>
      </c>
      <c r="C2399">
        <v>427</v>
      </c>
    </row>
    <row r="2400" spans="1:3" x14ac:dyDescent="0.25">
      <c r="A2400">
        <v>16</v>
      </c>
      <c r="B2400">
        <v>0</v>
      </c>
      <c r="C2400">
        <v>427</v>
      </c>
    </row>
    <row r="2401" spans="1:3" x14ac:dyDescent="0.25">
      <c r="A2401">
        <v>17</v>
      </c>
      <c r="B2401">
        <v>0</v>
      </c>
      <c r="C2401">
        <v>427</v>
      </c>
    </row>
    <row r="2402" spans="1:3" x14ac:dyDescent="0.25">
      <c r="A2402">
        <v>15</v>
      </c>
      <c r="B2402">
        <v>0</v>
      </c>
      <c r="C2402">
        <v>427</v>
      </c>
    </row>
    <row r="2403" spans="1:3" x14ac:dyDescent="0.25">
      <c r="A2403">
        <v>19</v>
      </c>
      <c r="B2403">
        <v>0</v>
      </c>
      <c r="C2403">
        <v>427</v>
      </c>
    </row>
    <row r="2404" spans="1:3" x14ac:dyDescent="0.25">
      <c r="A2404">
        <v>43</v>
      </c>
      <c r="B2404">
        <v>0</v>
      </c>
      <c r="C2404">
        <v>427</v>
      </c>
    </row>
    <row r="2405" spans="1:3" x14ac:dyDescent="0.25">
      <c r="A2405">
        <v>19</v>
      </c>
      <c r="B2405">
        <v>0</v>
      </c>
      <c r="C2405">
        <v>528</v>
      </c>
    </row>
    <row r="2406" spans="1:3" x14ac:dyDescent="0.25">
      <c r="A2406">
        <v>13</v>
      </c>
      <c r="B2406">
        <v>0</v>
      </c>
      <c r="C2406">
        <v>528</v>
      </c>
    </row>
    <row r="2407" spans="1:3" x14ac:dyDescent="0.25">
      <c r="A2407">
        <v>14</v>
      </c>
      <c r="B2407">
        <v>0</v>
      </c>
      <c r="C2407">
        <v>528</v>
      </c>
    </row>
    <row r="2408" spans="1:3" x14ac:dyDescent="0.25">
      <c r="A2408">
        <v>16</v>
      </c>
      <c r="B2408">
        <v>0</v>
      </c>
      <c r="C2408">
        <v>528</v>
      </c>
    </row>
    <row r="2409" spans="1:3" x14ac:dyDescent="0.25">
      <c r="A2409">
        <v>15</v>
      </c>
      <c r="B2409">
        <v>0</v>
      </c>
      <c r="C2409">
        <v>528</v>
      </c>
    </row>
    <row r="2410" spans="1:3" x14ac:dyDescent="0.25">
      <c r="A2410">
        <v>17</v>
      </c>
      <c r="B2410">
        <v>0</v>
      </c>
      <c r="C2410">
        <v>528</v>
      </c>
    </row>
    <row r="2411" spans="1:3" x14ac:dyDescent="0.25">
      <c r="A2411">
        <v>16</v>
      </c>
      <c r="B2411">
        <v>0</v>
      </c>
      <c r="C2411">
        <v>528</v>
      </c>
    </row>
    <row r="2412" spans="1:3" x14ac:dyDescent="0.25">
      <c r="A2412">
        <v>16</v>
      </c>
      <c r="B2412">
        <v>0</v>
      </c>
      <c r="C2412">
        <v>528</v>
      </c>
    </row>
    <row r="2413" spans="1:3" x14ac:dyDescent="0.25">
      <c r="A2413">
        <v>18</v>
      </c>
      <c r="B2413">
        <v>0</v>
      </c>
      <c r="C2413">
        <v>495</v>
      </c>
    </row>
    <row r="2414" spans="1:3" x14ac:dyDescent="0.25">
      <c r="A2414">
        <v>18</v>
      </c>
      <c r="B2414">
        <v>0</v>
      </c>
      <c r="C2414">
        <v>495</v>
      </c>
    </row>
    <row r="2415" spans="1:3" x14ac:dyDescent="0.25">
      <c r="A2415">
        <v>16</v>
      </c>
      <c r="B2415">
        <v>0</v>
      </c>
      <c r="C2415">
        <v>495</v>
      </c>
    </row>
    <row r="2416" spans="1:3" x14ac:dyDescent="0.25">
      <c r="A2416">
        <v>16</v>
      </c>
      <c r="B2416">
        <v>0</v>
      </c>
      <c r="C2416">
        <v>495</v>
      </c>
    </row>
    <row r="2417" spans="1:3" x14ac:dyDescent="0.25">
      <c r="A2417">
        <v>16</v>
      </c>
      <c r="B2417">
        <v>0</v>
      </c>
      <c r="C2417">
        <v>495</v>
      </c>
    </row>
    <row r="2418" spans="1:3" x14ac:dyDescent="0.25">
      <c r="A2418">
        <v>19</v>
      </c>
      <c r="B2418">
        <v>0</v>
      </c>
      <c r="C2418">
        <v>495</v>
      </c>
    </row>
    <row r="2419" spans="1:3" x14ac:dyDescent="0.25">
      <c r="A2419">
        <v>20</v>
      </c>
      <c r="B2419">
        <v>0</v>
      </c>
      <c r="C2419">
        <v>495</v>
      </c>
    </row>
    <row r="2420" spans="1:3" x14ac:dyDescent="0.25">
      <c r="A2420">
        <v>19</v>
      </c>
      <c r="B2420">
        <v>0</v>
      </c>
      <c r="C2420">
        <v>495</v>
      </c>
    </row>
    <row r="2421" spans="1:3" x14ac:dyDescent="0.25">
      <c r="A2421">
        <v>21</v>
      </c>
      <c r="B2421">
        <v>0</v>
      </c>
      <c r="C2421">
        <v>502</v>
      </c>
    </row>
    <row r="2422" spans="1:3" x14ac:dyDescent="0.25">
      <c r="A2422">
        <v>20</v>
      </c>
      <c r="B2422">
        <v>0</v>
      </c>
      <c r="C2422">
        <v>502</v>
      </c>
    </row>
    <row r="2423" spans="1:3" x14ac:dyDescent="0.25">
      <c r="A2423">
        <v>18</v>
      </c>
      <c r="B2423">
        <v>0</v>
      </c>
      <c r="C2423">
        <v>502</v>
      </c>
    </row>
    <row r="2424" spans="1:3" x14ac:dyDescent="0.25">
      <c r="A2424">
        <v>16</v>
      </c>
      <c r="B2424">
        <v>0</v>
      </c>
      <c r="C2424">
        <v>502</v>
      </c>
    </row>
    <row r="2425" spans="1:3" x14ac:dyDescent="0.25">
      <c r="A2425">
        <v>15</v>
      </c>
      <c r="B2425">
        <v>0</v>
      </c>
      <c r="C2425">
        <v>502</v>
      </c>
    </row>
    <row r="2426" spans="1:3" x14ac:dyDescent="0.25">
      <c r="A2426">
        <v>14</v>
      </c>
      <c r="B2426">
        <v>0</v>
      </c>
      <c r="C2426">
        <v>502</v>
      </c>
    </row>
    <row r="2427" spans="1:3" x14ac:dyDescent="0.25">
      <c r="A2427">
        <v>20</v>
      </c>
      <c r="B2427">
        <v>0</v>
      </c>
      <c r="C2427">
        <v>502</v>
      </c>
    </row>
    <row r="2428" spans="1:3" x14ac:dyDescent="0.25">
      <c r="A2428">
        <v>16</v>
      </c>
      <c r="B2428">
        <v>0</v>
      </c>
      <c r="C2428">
        <v>502</v>
      </c>
    </row>
    <row r="2429" spans="1:3" x14ac:dyDescent="0.25">
      <c r="A2429">
        <v>17</v>
      </c>
      <c r="B2429">
        <v>0</v>
      </c>
      <c r="C2429">
        <v>502</v>
      </c>
    </row>
    <row r="2430" spans="1:3" x14ac:dyDescent="0.25">
      <c r="A2430">
        <v>16</v>
      </c>
      <c r="B2430">
        <v>0</v>
      </c>
      <c r="C2430">
        <v>458</v>
      </c>
    </row>
    <row r="2431" spans="1:3" x14ac:dyDescent="0.25">
      <c r="A2431">
        <v>18</v>
      </c>
      <c r="B2431">
        <v>0</v>
      </c>
      <c r="C2431">
        <v>458</v>
      </c>
    </row>
    <row r="2432" spans="1:3" x14ac:dyDescent="0.25">
      <c r="A2432">
        <v>19</v>
      </c>
      <c r="B2432">
        <v>0</v>
      </c>
      <c r="C2432">
        <v>458</v>
      </c>
    </row>
    <row r="2433" spans="1:3" x14ac:dyDescent="0.25">
      <c r="A2433">
        <v>16</v>
      </c>
      <c r="B2433">
        <v>0</v>
      </c>
      <c r="C2433">
        <v>458</v>
      </c>
    </row>
    <row r="2434" spans="1:3" x14ac:dyDescent="0.25">
      <c r="A2434">
        <v>15</v>
      </c>
      <c r="B2434">
        <v>0</v>
      </c>
      <c r="C2434">
        <v>458</v>
      </c>
    </row>
    <row r="2435" spans="1:3" x14ac:dyDescent="0.25">
      <c r="A2435">
        <v>19</v>
      </c>
      <c r="B2435">
        <v>0</v>
      </c>
      <c r="C2435">
        <v>458</v>
      </c>
    </row>
    <row r="2436" spans="1:3" x14ac:dyDescent="0.25">
      <c r="A2436">
        <v>20</v>
      </c>
      <c r="B2436">
        <v>0</v>
      </c>
      <c r="C2436">
        <v>458</v>
      </c>
    </row>
    <row r="2437" spans="1:3" x14ac:dyDescent="0.25">
      <c r="A2437">
        <v>19</v>
      </c>
      <c r="B2437">
        <v>0</v>
      </c>
      <c r="C2437">
        <v>458</v>
      </c>
    </row>
    <row r="2438" spans="1:3" x14ac:dyDescent="0.25">
      <c r="A2438">
        <v>15</v>
      </c>
      <c r="B2438">
        <v>0</v>
      </c>
      <c r="C2438">
        <v>450</v>
      </c>
    </row>
    <row r="2439" spans="1:3" x14ac:dyDescent="0.25">
      <c r="A2439">
        <v>12</v>
      </c>
      <c r="B2439">
        <v>0</v>
      </c>
      <c r="C2439">
        <v>450</v>
      </c>
    </row>
    <row r="2440" spans="1:3" x14ac:dyDescent="0.25">
      <c r="A2440">
        <v>15</v>
      </c>
      <c r="B2440">
        <v>0</v>
      </c>
      <c r="C2440">
        <v>450</v>
      </c>
    </row>
    <row r="2441" spans="1:3" x14ac:dyDescent="0.25">
      <c r="A2441">
        <v>13</v>
      </c>
      <c r="B2441">
        <v>0</v>
      </c>
      <c r="C2441">
        <v>450</v>
      </c>
    </row>
    <row r="2442" spans="1:3" x14ac:dyDescent="0.25">
      <c r="A2442">
        <v>18</v>
      </c>
      <c r="B2442">
        <v>0</v>
      </c>
      <c r="C2442">
        <v>450</v>
      </c>
    </row>
    <row r="2443" spans="1:3" x14ac:dyDescent="0.25">
      <c r="A2443">
        <v>18</v>
      </c>
      <c r="B2443">
        <v>0</v>
      </c>
      <c r="C2443">
        <v>450</v>
      </c>
    </row>
    <row r="2444" spans="1:3" x14ac:dyDescent="0.25">
      <c r="A2444">
        <v>18</v>
      </c>
      <c r="B2444">
        <v>0</v>
      </c>
      <c r="C2444">
        <v>450</v>
      </c>
    </row>
    <row r="2445" spans="1:3" x14ac:dyDescent="0.25">
      <c r="A2445">
        <v>16</v>
      </c>
      <c r="B2445">
        <v>0</v>
      </c>
      <c r="C2445">
        <v>450</v>
      </c>
    </row>
    <row r="2446" spans="1:3" x14ac:dyDescent="0.25">
      <c r="A2446">
        <v>13</v>
      </c>
      <c r="B2446">
        <v>0</v>
      </c>
      <c r="C2446">
        <v>450</v>
      </c>
    </row>
    <row r="2447" spans="1:3" x14ac:dyDescent="0.25">
      <c r="A2447">
        <v>16</v>
      </c>
      <c r="B2447">
        <v>0</v>
      </c>
      <c r="C2447">
        <v>431</v>
      </c>
    </row>
    <row r="2448" spans="1:3" x14ac:dyDescent="0.25">
      <c r="A2448">
        <v>17</v>
      </c>
      <c r="B2448">
        <v>0</v>
      </c>
      <c r="C2448">
        <v>431</v>
      </c>
    </row>
    <row r="2449" spans="1:3" x14ac:dyDescent="0.25">
      <c r="A2449">
        <v>14</v>
      </c>
      <c r="B2449">
        <v>0</v>
      </c>
      <c r="C2449">
        <v>431</v>
      </c>
    </row>
    <row r="2450" spans="1:3" x14ac:dyDescent="0.25">
      <c r="A2450">
        <v>18</v>
      </c>
      <c r="B2450">
        <v>0</v>
      </c>
      <c r="C2450">
        <v>431</v>
      </c>
    </row>
    <row r="2451" spans="1:3" x14ac:dyDescent="0.25">
      <c r="A2451">
        <v>21</v>
      </c>
      <c r="B2451">
        <v>0</v>
      </c>
      <c r="C2451">
        <v>431</v>
      </c>
    </row>
    <row r="2452" spans="1:3" x14ac:dyDescent="0.25">
      <c r="A2452">
        <v>18</v>
      </c>
      <c r="B2452">
        <v>0</v>
      </c>
      <c r="C2452">
        <v>431</v>
      </c>
    </row>
    <row r="2453" spans="1:3" x14ac:dyDescent="0.25">
      <c r="A2453">
        <v>19</v>
      </c>
      <c r="B2453">
        <v>0</v>
      </c>
      <c r="C2453">
        <v>431</v>
      </c>
    </row>
    <row r="2454" spans="1:3" x14ac:dyDescent="0.25">
      <c r="A2454">
        <v>12</v>
      </c>
      <c r="B2454">
        <v>0</v>
      </c>
      <c r="C2454">
        <v>431</v>
      </c>
    </row>
    <row r="2455" spans="1:3" x14ac:dyDescent="0.25">
      <c r="A2455">
        <v>12</v>
      </c>
      <c r="B2455">
        <v>0</v>
      </c>
      <c r="C2455">
        <v>470</v>
      </c>
    </row>
    <row r="2456" spans="1:3" x14ac:dyDescent="0.25">
      <c r="A2456">
        <v>13</v>
      </c>
      <c r="B2456">
        <v>0</v>
      </c>
      <c r="C2456">
        <v>470</v>
      </c>
    </row>
    <row r="2457" spans="1:3" x14ac:dyDescent="0.25">
      <c r="A2457">
        <v>14</v>
      </c>
      <c r="B2457">
        <v>0</v>
      </c>
      <c r="C2457">
        <v>470</v>
      </c>
    </row>
    <row r="2458" spans="1:3" x14ac:dyDescent="0.25">
      <c r="A2458">
        <v>16</v>
      </c>
      <c r="B2458">
        <v>0</v>
      </c>
      <c r="C2458">
        <v>470</v>
      </c>
    </row>
    <row r="2459" spans="1:3" x14ac:dyDescent="0.25">
      <c r="A2459">
        <v>16</v>
      </c>
      <c r="B2459">
        <v>0</v>
      </c>
      <c r="C2459">
        <v>470</v>
      </c>
    </row>
    <row r="2460" spans="1:3" x14ac:dyDescent="0.25">
      <c r="A2460">
        <v>18</v>
      </c>
      <c r="B2460">
        <v>0</v>
      </c>
      <c r="C2460">
        <v>470</v>
      </c>
    </row>
    <row r="2461" spans="1:3" x14ac:dyDescent="0.25">
      <c r="A2461">
        <v>18</v>
      </c>
      <c r="B2461">
        <v>0</v>
      </c>
      <c r="C2461">
        <v>470</v>
      </c>
    </row>
    <row r="2462" spans="1:3" x14ac:dyDescent="0.25">
      <c r="A2462">
        <v>16</v>
      </c>
      <c r="B2462">
        <v>0</v>
      </c>
      <c r="C2462">
        <v>470</v>
      </c>
    </row>
    <row r="2463" spans="1:3" x14ac:dyDescent="0.25">
      <c r="A2463">
        <v>16</v>
      </c>
      <c r="B2463">
        <v>0</v>
      </c>
      <c r="C2463">
        <v>470</v>
      </c>
    </row>
    <row r="2464" spans="1:3" x14ac:dyDescent="0.25">
      <c r="A2464">
        <v>17</v>
      </c>
      <c r="B2464">
        <v>0</v>
      </c>
      <c r="C2464">
        <v>441</v>
      </c>
    </row>
    <row r="2465" spans="1:3" x14ac:dyDescent="0.25">
      <c r="A2465">
        <v>16</v>
      </c>
      <c r="B2465">
        <v>0</v>
      </c>
      <c r="C2465">
        <v>441</v>
      </c>
    </row>
    <row r="2466" spans="1:3" x14ac:dyDescent="0.25">
      <c r="A2466">
        <v>18</v>
      </c>
      <c r="B2466">
        <v>0</v>
      </c>
      <c r="C2466">
        <v>441</v>
      </c>
    </row>
    <row r="2467" spans="1:3" x14ac:dyDescent="0.25">
      <c r="A2467">
        <v>16</v>
      </c>
      <c r="B2467">
        <v>0</v>
      </c>
      <c r="C2467">
        <v>441</v>
      </c>
    </row>
    <row r="2468" spans="1:3" x14ac:dyDescent="0.25">
      <c r="A2468">
        <v>21</v>
      </c>
      <c r="B2468">
        <v>0</v>
      </c>
      <c r="C2468">
        <v>441</v>
      </c>
    </row>
    <row r="2469" spans="1:3" x14ac:dyDescent="0.25">
      <c r="A2469">
        <v>16</v>
      </c>
      <c r="B2469">
        <v>0</v>
      </c>
      <c r="C2469">
        <v>441</v>
      </c>
    </row>
    <row r="2470" spans="1:3" x14ac:dyDescent="0.25">
      <c r="A2470">
        <v>14</v>
      </c>
      <c r="B2470">
        <v>0</v>
      </c>
      <c r="C2470">
        <v>441</v>
      </c>
    </row>
    <row r="2471" spans="1:3" x14ac:dyDescent="0.25">
      <c r="A2471">
        <v>19</v>
      </c>
      <c r="B2471">
        <v>0</v>
      </c>
      <c r="C2471">
        <v>441</v>
      </c>
    </row>
    <row r="2472" spans="1:3" x14ac:dyDescent="0.25">
      <c r="A2472">
        <v>14</v>
      </c>
      <c r="B2472">
        <v>0</v>
      </c>
      <c r="C2472">
        <v>457</v>
      </c>
    </row>
    <row r="2473" spans="1:3" x14ac:dyDescent="0.25">
      <c r="A2473">
        <v>14</v>
      </c>
      <c r="B2473">
        <v>0</v>
      </c>
      <c r="C2473">
        <v>457</v>
      </c>
    </row>
    <row r="2474" spans="1:3" x14ac:dyDescent="0.25">
      <c r="A2474">
        <v>13</v>
      </c>
      <c r="B2474">
        <v>0</v>
      </c>
      <c r="C2474">
        <v>457</v>
      </c>
    </row>
    <row r="2475" spans="1:3" x14ac:dyDescent="0.25">
      <c r="A2475">
        <v>20</v>
      </c>
      <c r="B2475">
        <v>0</v>
      </c>
      <c r="C2475">
        <v>457</v>
      </c>
    </row>
    <row r="2476" spans="1:3" x14ac:dyDescent="0.25">
      <c r="A2476">
        <v>20</v>
      </c>
      <c r="B2476">
        <v>0</v>
      </c>
      <c r="C2476">
        <v>457</v>
      </c>
    </row>
    <row r="2477" spans="1:3" x14ac:dyDescent="0.25">
      <c r="A2477">
        <v>14</v>
      </c>
      <c r="B2477">
        <v>0</v>
      </c>
      <c r="C2477">
        <v>457</v>
      </c>
    </row>
    <row r="2478" spans="1:3" x14ac:dyDescent="0.25">
      <c r="A2478">
        <v>15</v>
      </c>
      <c r="B2478">
        <v>0</v>
      </c>
      <c r="C2478">
        <v>457</v>
      </c>
    </row>
    <row r="2479" spans="1:3" x14ac:dyDescent="0.25">
      <c r="A2479">
        <v>15</v>
      </c>
      <c r="B2479">
        <v>0</v>
      </c>
      <c r="C2479">
        <v>457</v>
      </c>
    </row>
    <row r="2480" spans="1:3" x14ac:dyDescent="0.25">
      <c r="A2480">
        <v>17</v>
      </c>
      <c r="B2480">
        <v>0</v>
      </c>
      <c r="C2480">
        <v>453</v>
      </c>
    </row>
    <row r="2481" spans="1:3" x14ac:dyDescent="0.25">
      <c r="A2481">
        <v>16</v>
      </c>
      <c r="B2481">
        <v>0</v>
      </c>
      <c r="C2481">
        <v>453</v>
      </c>
    </row>
    <row r="2482" spans="1:3" x14ac:dyDescent="0.25">
      <c r="A2482">
        <v>18</v>
      </c>
      <c r="B2482">
        <v>0</v>
      </c>
      <c r="C2482">
        <v>453</v>
      </c>
    </row>
    <row r="2483" spans="1:3" x14ac:dyDescent="0.25">
      <c r="A2483">
        <v>21</v>
      </c>
      <c r="B2483">
        <v>0</v>
      </c>
      <c r="C2483">
        <v>453</v>
      </c>
    </row>
    <row r="2484" spans="1:3" x14ac:dyDescent="0.25">
      <c r="A2484">
        <v>16</v>
      </c>
      <c r="B2484">
        <v>0</v>
      </c>
      <c r="C2484">
        <v>453</v>
      </c>
    </row>
    <row r="2485" spans="1:3" x14ac:dyDescent="0.25">
      <c r="A2485">
        <v>14</v>
      </c>
      <c r="B2485">
        <v>0</v>
      </c>
      <c r="C2485">
        <v>453</v>
      </c>
    </row>
    <row r="2486" spans="1:3" x14ac:dyDescent="0.25">
      <c r="A2486">
        <v>18</v>
      </c>
      <c r="B2486">
        <v>0</v>
      </c>
      <c r="C2486">
        <v>453</v>
      </c>
    </row>
    <row r="2487" spans="1:3" x14ac:dyDescent="0.25">
      <c r="A2487">
        <v>17</v>
      </c>
      <c r="B2487">
        <v>0</v>
      </c>
      <c r="C2487">
        <v>453</v>
      </c>
    </row>
    <row r="2488" spans="1:3" x14ac:dyDescent="0.25">
      <c r="A2488">
        <v>15</v>
      </c>
      <c r="B2488">
        <v>0</v>
      </c>
      <c r="C2488">
        <v>489</v>
      </c>
    </row>
    <row r="2489" spans="1:3" x14ac:dyDescent="0.25">
      <c r="A2489">
        <v>16</v>
      </c>
      <c r="B2489">
        <v>0</v>
      </c>
      <c r="C2489">
        <v>489</v>
      </c>
    </row>
    <row r="2490" spans="1:3" x14ac:dyDescent="0.25">
      <c r="A2490">
        <v>16</v>
      </c>
      <c r="B2490">
        <v>0</v>
      </c>
      <c r="C2490">
        <v>489</v>
      </c>
    </row>
    <row r="2491" spans="1:3" x14ac:dyDescent="0.25">
      <c r="A2491">
        <v>21</v>
      </c>
      <c r="B2491">
        <v>0</v>
      </c>
      <c r="C2491">
        <v>489</v>
      </c>
    </row>
    <row r="2492" spans="1:3" x14ac:dyDescent="0.25">
      <c r="A2492">
        <v>15</v>
      </c>
      <c r="B2492">
        <v>0</v>
      </c>
      <c r="C2492">
        <v>489</v>
      </c>
    </row>
    <row r="2493" spans="1:3" x14ac:dyDescent="0.25">
      <c r="A2493">
        <v>17</v>
      </c>
      <c r="B2493">
        <v>0</v>
      </c>
      <c r="C2493">
        <v>489</v>
      </c>
    </row>
    <row r="2494" spans="1:3" x14ac:dyDescent="0.25">
      <c r="A2494">
        <v>15</v>
      </c>
      <c r="B2494">
        <v>0</v>
      </c>
      <c r="C2494">
        <v>489</v>
      </c>
    </row>
    <row r="2495" spans="1:3" x14ac:dyDescent="0.25">
      <c r="A2495">
        <v>14</v>
      </c>
      <c r="B2495">
        <v>0</v>
      </c>
      <c r="C2495">
        <v>489</v>
      </c>
    </row>
    <row r="2496" spans="1:3" x14ac:dyDescent="0.25">
      <c r="A2496">
        <v>15</v>
      </c>
      <c r="B2496">
        <v>0</v>
      </c>
      <c r="C2496">
        <v>476</v>
      </c>
    </row>
    <row r="2497" spans="1:3" x14ac:dyDescent="0.25">
      <c r="A2497">
        <v>17</v>
      </c>
      <c r="B2497">
        <v>0</v>
      </c>
      <c r="C2497">
        <v>476</v>
      </c>
    </row>
    <row r="2498" spans="1:3" x14ac:dyDescent="0.25">
      <c r="A2498">
        <v>16</v>
      </c>
      <c r="B2498">
        <v>0</v>
      </c>
      <c r="C2498">
        <v>476</v>
      </c>
    </row>
    <row r="2499" spans="1:3" x14ac:dyDescent="0.25">
      <c r="A2499">
        <v>20</v>
      </c>
      <c r="B2499">
        <v>0</v>
      </c>
      <c r="C2499">
        <v>476</v>
      </c>
    </row>
    <row r="2500" spans="1:3" x14ac:dyDescent="0.25">
      <c r="A2500">
        <v>15</v>
      </c>
      <c r="B2500">
        <v>0</v>
      </c>
      <c r="C2500">
        <v>476</v>
      </c>
    </row>
    <row r="2501" spans="1:3" x14ac:dyDescent="0.25">
      <c r="A2501">
        <v>12</v>
      </c>
      <c r="B2501">
        <v>0</v>
      </c>
      <c r="C2501">
        <v>476</v>
      </c>
    </row>
    <row r="2502" spans="1:3" x14ac:dyDescent="0.25">
      <c r="A2502">
        <v>14</v>
      </c>
      <c r="B2502">
        <v>0</v>
      </c>
      <c r="C2502">
        <v>476</v>
      </c>
    </row>
    <row r="2503" spans="1:3" x14ac:dyDescent="0.25">
      <c r="A2503">
        <v>14</v>
      </c>
      <c r="B2503">
        <v>0</v>
      </c>
      <c r="C2503">
        <v>476</v>
      </c>
    </row>
    <row r="2504" spans="1:3" x14ac:dyDescent="0.25">
      <c r="A2504">
        <v>13</v>
      </c>
      <c r="B2504">
        <v>0</v>
      </c>
      <c r="C2504">
        <v>476</v>
      </c>
    </row>
    <row r="2505" spans="1:3" x14ac:dyDescent="0.25">
      <c r="A2505">
        <v>17</v>
      </c>
      <c r="B2505">
        <v>0</v>
      </c>
      <c r="C2505">
        <v>456</v>
      </c>
    </row>
    <row r="2506" spans="1:3" x14ac:dyDescent="0.25">
      <c r="A2506">
        <v>17</v>
      </c>
      <c r="B2506">
        <v>0</v>
      </c>
      <c r="C2506">
        <v>456</v>
      </c>
    </row>
    <row r="2507" spans="1:3" x14ac:dyDescent="0.25">
      <c r="A2507">
        <v>19</v>
      </c>
      <c r="B2507">
        <v>0</v>
      </c>
      <c r="C2507">
        <v>456</v>
      </c>
    </row>
    <row r="2508" spans="1:3" x14ac:dyDescent="0.25">
      <c r="A2508">
        <v>14</v>
      </c>
      <c r="B2508">
        <v>0</v>
      </c>
      <c r="C2508">
        <v>456</v>
      </c>
    </row>
    <row r="2509" spans="1:3" x14ac:dyDescent="0.25">
      <c r="A2509">
        <v>15</v>
      </c>
      <c r="B2509">
        <v>0</v>
      </c>
      <c r="C2509">
        <v>456</v>
      </c>
    </row>
    <row r="2510" spans="1:3" x14ac:dyDescent="0.25">
      <c r="A2510">
        <v>14</v>
      </c>
      <c r="B2510">
        <v>0</v>
      </c>
      <c r="C2510">
        <v>456</v>
      </c>
    </row>
    <row r="2511" spans="1:3" x14ac:dyDescent="0.25">
      <c r="A2511">
        <v>15</v>
      </c>
      <c r="B2511">
        <v>0</v>
      </c>
      <c r="C2511">
        <v>456</v>
      </c>
    </row>
    <row r="2512" spans="1:3" x14ac:dyDescent="0.25">
      <c r="A2512">
        <v>15</v>
      </c>
      <c r="B2512">
        <v>0</v>
      </c>
      <c r="C2512">
        <v>456</v>
      </c>
    </row>
    <row r="2513" spans="1:3" x14ac:dyDescent="0.25">
      <c r="A2513">
        <v>18</v>
      </c>
      <c r="B2513">
        <v>0</v>
      </c>
      <c r="C2513">
        <v>506</v>
      </c>
    </row>
    <row r="2514" spans="1:3" x14ac:dyDescent="0.25">
      <c r="A2514">
        <v>13</v>
      </c>
      <c r="B2514">
        <v>0</v>
      </c>
      <c r="C2514">
        <v>506</v>
      </c>
    </row>
    <row r="2515" spans="1:3" x14ac:dyDescent="0.25">
      <c r="A2515">
        <v>20</v>
      </c>
      <c r="B2515">
        <v>0</v>
      </c>
      <c r="C2515">
        <v>506</v>
      </c>
    </row>
    <row r="2516" spans="1:3" x14ac:dyDescent="0.25">
      <c r="A2516">
        <v>20</v>
      </c>
      <c r="B2516">
        <v>0</v>
      </c>
      <c r="C2516">
        <v>506</v>
      </c>
    </row>
    <row r="2517" spans="1:3" x14ac:dyDescent="0.25">
      <c r="A2517">
        <v>17</v>
      </c>
      <c r="B2517">
        <v>0</v>
      </c>
      <c r="C2517">
        <v>506</v>
      </c>
    </row>
    <row r="2518" spans="1:3" x14ac:dyDescent="0.25">
      <c r="A2518">
        <v>17</v>
      </c>
      <c r="B2518">
        <v>0</v>
      </c>
      <c r="C2518">
        <v>506</v>
      </c>
    </row>
    <row r="2519" spans="1:3" x14ac:dyDescent="0.25">
      <c r="A2519">
        <v>15</v>
      </c>
      <c r="B2519">
        <v>0</v>
      </c>
      <c r="C2519">
        <v>506</v>
      </c>
    </row>
    <row r="2520" spans="1:3" x14ac:dyDescent="0.25">
      <c r="A2520">
        <v>17</v>
      </c>
      <c r="B2520">
        <v>0</v>
      </c>
      <c r="C2520">
        <v>506</v>
      </c>
    </row>
    <row r="2521" spans="1:3" x14ac:dyDescent="0.25">
      <c r="A2521">
        <v>18</v>
      </c>
      <c r="B2521">
        <v>0</v>
      </c>
      <c r="C2521">
        <v>530</v>
      </c>
    </row>
    <row r="2522" spans="1:3" x14ac:dyDescent="0.25">
      <c r="A2522">
        <v>19</v>
      </c>
      <c r="B2522">
        <v>0</v>
      </c>
      <c r="C2522">
        <v>530</v>
      </c>
    </row>
    <row r="2523" spans="1:3" x14ac:dyDescent="0.25">
      <c r="A2523">
        <v>20</v>
      </c>
      <c r="B2523">
        <v>0</v>
      </c>
      <c r="C2523">
        <v>530</v>
      </c>
    </row>
    <row r="2524" spans="1:3" x14ac:dyDescent="0.25">
      <c r="A2524">
        <v>15</v>
      </c>
      <c r="B2524">
        <v>0</v>
      </c>
      <c r="C2524">
        <v>530</v>
      </c>
    </row>
    <row r="2525" spans="1:3" x14ac:dyDescent="0.25">
      <c r="A2525">
        <v>16</v>
      </c>
      <c r="B2525">
        <v>0</v>
      </c>
      <c r="C2525">
        <v>530</v>
      </c>
    </row>
    <row r="2526" spans="1:3" x14ac:dyDescent="0.25">
      <c r="A2526">
        <v>14</v>
      </c>
      <c r="B2526">
        <v>0</v>
      </c>
      <c r="C2526">
        <v>530</v>
      </c>
    </row>
    <row r="2527" spans="1:3" x14ac:dyDescent="0.25">
      <c r="A2527">
        <v>16</v>
      </c>
      <c r="B2527">
        <v>0</v>
      </c>
      <c r="C2527">
        <v>530</v>
      </c>
    </row>
    <row r="2528" spans="1:3" x14ac:dyDescent="0.25">
      <c r="A2528">
        <v>15</v>
      </c>
      <c r="B2528">
        <v>0</v>
      </c>
      <c r="C2528">
        <v>530</v>
      </c>
    </row>
    <row r="2529" spans="1:3" x14ac:dyDescent="0.25">
      <c r="A2529">
        <v>23</v>
      </c>
      <c r="B2529">
        <v>0</v>
      </c>
      <c r="C2529">
        <v>491</v>
      </c>
    </row>
    <row r="2530" spans="1:3" x14ac:dyDescent="0.25">
      <c r="A2530">
        <v>12</v>
      </c>
      <c r="B2530">
        <v>0</v>
      </c>
      <c r="C2530">
        <v>491</v>
      </c>
    </row>
    <row r="2531" spans="1:3" x14ac:dyDescent="0.25">
      <c r="A2531">
        <v>18</v>
      </c>
      <c r="B2531">
        <v>0</v>
      </c>
      <c r="C2531">
        <v>491</v>
      </c>
    </row>
    <row r="2532" spans="1:3" x14ac:dyDescent="0.25">
      <c r="A2532">
        <v>19</v>
      </c>
      <c r="B2532">
        <v>0</v>
      </c>
      <c r="C2532">
        <v>491</v>
      </c>
    </row>
    <row r="2533" spans="1:3" x14ac:dyDescent="0.25">
      <c r="A2533">
        <v>15</v>
      </c>
      <c r="B2533">
        <v>0</v>
      </c>
      <c r="C2533">
        <v>491</v>
      </c>
    </row>
    <row r="2534" spans="1:3" x14ac:dyDescent="0.25">
      <c r="A2534">
        <v>16</v>
      </c>
      <c r="B2534">
        <v>0</v>
      </c>
      <c r="C2534">
        <v>491</v>
      </c>
    </row>
    <row r="2535" spans="1:3" x14ac:dyDescent="0.25">
      <c r="A2535">
        <v>17</v>
      </c>
      <c r="B2535">
        <v>0</v>
      </c>
      <c r="C2535">
        <v>491</v>
      </c>
    </row>
    <row r="2536" spans="1:3" x14ac:dyDescent="0.25">
      <c r="A2536">
        <v>15</v>
      </c>
      <c r="B2536">
        <v>0</v>
      </c>
      <c r="C2536">
        <v>491</v>
      </c>
    </row>
    <row r="2537" spans="1:3" x14ac:dyDescent="0.25">
      <c r="A2537">
        <v>17</v>
      </c>
      <c r="B2537">
        <v>0</v>
      </c>
      <c r="C2537">
        <v>521</v>
      </c>
    </row>
    <row r="2538" spans="1:3" x14ac:dyDescent="0.25">
      <c r="A2538">
        <v>19</v>
      </c>
      <c r="B2538">
        <v>0</v>
      </c>
      <c r="C2538">
        <v>521</v>
      </c>
    </row>
    <row r="2539" spans="1:3" x14ac:dyDescent="0.25">
      <c r="A2539">
        <v>14</v>
      </c>
      <c r="B2539">
        <v>0</v>
      </c>
      <c r="C2539">
        <v>521</v>
      </c>
    </row>
    <row r="2540" spans="1:3" x14ac:dyDescent="0.25">
      <c r="A2540">
        <v>15</v>
      </c>
      <c r="B2540">
        <v>0</v>
      </c>
      <c r="C2540">
        <v>521</v>
      </c>
    </row>
    <row r="2541" spans="1:3" x14ac:dyDescent="0.25">
      <c r="A2541">
        <v>17</v>
      </c>
      <c r="B2541">
        <v>0</v>
      </c>
      <c r="C2541">
        <v>521</v>
      </c>
    </row>
    <row r="2542" spans="1:3" x14ac:dyDescent="0.25">
      <c r="A2542">
        <v>15</v>
      </c>
      <c r="B2542">
        <v>0</v>
      </c>
      <c r="C2542">
        <v>521</v>
      </c>
    </row>
    <row r="2543" spans="1:3" x14ac:dyDescent="0.25">
      <c r="A2543">
        <v>17</v>
      </c>
      <c r="B2543">
        <v>0</v>
      </c>
      <c r="C2543">
        <v>521</v>
      </c>
    </row>
    <row r="2544" spans="1:3" x14ac:dyDescent="0.25">
      <c r="A2544">
        <v>14</v>
      </c>
      <c r="B2544">
        <v>0</v>
      </c>
      <c r="C2544">
        <v>521</v>
      </c>
    </row>
    <row r="2545" spans="1:3" x14ac:dyDescent="0.25">
      <c r="A2545">
        <v>21</v>
      </c>
      <c r="B2545">
        <v>0</v>
      </c>
      <c r="C2545">
        <v>505</v>
      </c>
    </row>
    <row r="2546" spans="1:3" x14ac:dyDescent="0.25">
      <c r="A2546">
        <v>22</v>
      </c>
      <c r="B2546">
        <v>0</v>
      </c>
      <c r="C2546">
        <v>505</v>
      </c>
    </row>
    <row r="2547" spans="1:3" x14ac:dyDescent="0.25">
      <c r="A2547">
        <v>13</v>
      </c>
      <c r="B2547">
        <v>0</v>
      </c>
      <c r="C2547">
        <v>505</v>
      </c>
    </row>
    <row r="2548" spans="1:3" x14ac:dyDescent="0.25">
      <c r="A2548">
        <v>18</v>
      </c>
      <c r="B2548">
        <v>0</v>
      </c>
      <c r="C2548">
        <v>505</v>
      </c>
    </row>
    <row r="2549" spans="1:3" x14ac:dyDescent="0.25">
      <c r="A2549">
        <v>13</v>
      </c>
      <c r="B2549">
        <v>0</v>
      </c>
      <c r="C2549">
        <v>505</v>
      </c>
    </row>
    <row r="2550" spans="1:3" x14ac:dyDescent="0.25">
      <c r="A2550">
        <v>16</v>
      </c>
      <c r="B2550">
        <v>0</v>
      </c>
      <c r="C2550">
        <v>505</v>
      </c>
    </row>
    <row r="2551" spans="1:3" x14ac:dyDescent="0.25">
      <c r="A2551">
        <v>15</v>
      </c>
      <c r="B2551">
        <v>0</v>
      </c>
      <c r="C2551">
        <v>505</v>
      </c>
    </row>
    <row r="2552" spans="1:3" x14ac:dyDescent="0.25">
      <c r="A2552">
        <v>15</v>
      </c>
      <c r="B2552">
        <v>0</v>
      </c>
      <c r="C2552">
        <v>505</v>
      </c>
    </row>
    <row r="2553" spans="1:3" x14ac:dyDescent="0.25">
      <c r="A2553">
        <v>17</v>
      </c>
      <c r="B2553">
        <v>0</v>
      </c>
      <c r="C2553">
        <v>505</v>
      </c>
    </row>
    <row r="2554" spans="1:3" x14ac:dyDescent="0.25">
      <c r="A2554">
        <v>21</v>
      </c>
      <c r="B2554">
        <v>0</v>
      </c>
      <c r="C2554">
        <v>499</v>
      </c>
    </row>
    <row r="2555" spans="1:3" x14ac:dyDescent="0.25">
      <c r="A2555">
        <v>16</v>
      </c>
      <c r="B2555">
        <v>0</v>
      </c>
      <c r="C2555">
        <v>499</v>
      </c>
    </row>
    <row r="2556" spans="1:3" x14ac:dyDescent="0.25">
      <c r="A2556">
        <v>16</v>
      </c>
      <c r="B2556">
        <v>0</v>
      </c>
      <c r="C2556">
        <v>499</v>
      </c>
    </row>
    <row r="2557" spans="1:3" x14ac:dyDescent="0.25">
      <c r="A2557">
        <v>18</v>
      </c>
      <c r="B2557">
        <v>0</v>
      </c>
      <c r="C2557">
        <v>499</v>
      </c>
    </row>
    <row r="2558" spans="1:3" x14ac:dyDescent="0.25">
      <c r="A2558">
        <v>16</v>
      </c>
      <c r="B2558">
        <v>0</v>
      </c>
      <c r="C2558">
        <v>499</v>
      </c>
    </row>
    <row r="2559" spans="1:3" x14ac:dyDescent="0.25">
      <c r="A2559">
        <v>16</v>
      </c>
      <c r="B2559">
        <v>0</v>
      </c>
      <c r="C2559">
        <v>499</v>
      </c>
    </row>
    <row r="2560" spans="1:3" x14ac:dyDescent="0.25">
      <c r="A2560">
        <v>16</v>
      </c>
      <c r="B2560">
        <v>0</v>
      </c>
      <c r="C2560">
        <v>499</v>
      </c>
    </row>
    <row r="2561" spans="1:3" x14ac:dyDescent="0.25">
      <c r="A2561">
        <v>15</v>
      </c>
      <c r="B2561">
        <v>0</v>
      </c>
      <c r="C2561">
        <v>499</v>
      </c>
    </row>
    <row r="2562" spans="1:3" x14ac:dyDescent="0.25">
      <c r="A2562">
        <v>21</v>
      </c>
      <c r="B2562">
        <v>0</v>
      </c>
      <c r="C2562">
        <v>542</v>
      </c>
    </row>
    <row r="2563" spans="1:3" x14ac:dyDescent="0.25">
      <c r="A2563">
        <v>16</v>
      </c>
      <c r="B2563">
        <v>0</v>
      </c>
      <c r="C2563">
        <v>542</v>
      </c>
    </row>
    <row r="2564" spans="1:3" x14ac:dyDescent="0.25">
      <c r="A2564">
        <v>16</v>
      </c>
      <c r="B2564">
        <v>0</v>
      </c>
      <c r="C2564">
        <v>542</v>
      </c>
    </row>
    <row r="2565" spans="1:3" x14ac:dyDescent="0.25">
      <c r="A2565">
        <v>20</v>
      </c>
      <c r="B2565">
        <v>0</v>
      </c>
      <c r="C2565">
        <v>542</v>
      </c>
    </row>
    <row r="2566" spans="1:3" x14ac:dyDescent="0.25">
      <c r="A2566">
        <v>16</v>
      </c>
      <c r="B2566">
        <v>0</v>
      </c>
      <c r="C2566">
        <v>542</v>
      </c>
    </row>
    <row r="2567" spans="1:3" x14ac:dyDescent="0.25">
      <c r="A2567">
        <v>16</v>
      </c>
      <c r="B2567">
        <v>0</v>
      </c>
      <c r="C2567">
        <v>542</v>
      </c>
    </row>
    <row r="2568" spans="1:3" x14ac:dyDescent="0.25">
      <c r="A2568">
        <v>17</v>
      </c>
      <c r="B2568">
        <v>0</v>
      </c>
      <c r="C2568">
        <v>542</v>
      </c>
    </row>
    <row r="2569" spans="1:3" x14ac:dyDescent="0.25">
      <c r="A2569">
        <v>17</v>
      </c>
      <c r="B2569">
        <v>0</v>
      </c>
      <c r="C2569">
        <v>542</v>
      </c>
    </row>
    <row r="2570" spans="1:3" x14ac:dyDescent="0.25">
      <c r="A2570">
        <v>19</v>
      </c>
      <c r="B2570">
        <v>0</v>
      </c>
      <c r="C2570">
        <v>489</v>
      </c>
    </row>
    <row r="2571" spans="1:3" x14ac:dyDescent="0.25">
      <c r="A2571">
        <v>14</v>
      </c>
      <c r="B2571">
        <v>0</v>
      </c>
      <c r="C2571">
        <v>489</v>
      </c>
    </row>
    <row r="2572" spans="1:3" x14ac:dyDescent="0.25">
      <c r="A2572">
        <v>14</v>
      </c>
      <c r="B2572">
        <v>0</v>
      </c>
      <c r="C2572">
        <v>489</v>
      </c>
    </row>
    <row r="2573" spans="1:3" x14ac:dyDescent="0.25">
      <c r="A2573">
        <v>15</v>
      </c>
      <c r="B2573">
        <v>0</v>
      </c>
      <c r="C2573">
        <v>489</v>
      </c>
    </row>
    <row r="2574" spans="1:3" x14ac:dyDescent="0.25">
      <c r="A2574">
        <v>17</v>
      </c>
      <c r="B2574">
        <v>0</v>
      </c>
      <c r="C2574">
        <v>489</v>
      </c>
    </row>
    <row r="2575" spans="1:3" x14ac:dyDescent="0.25">
      <c r="A2575">
        <v>14</v>
      </c>
      <c r="B2575">
        <v>0</v>
      </c>
      <c r="C2575">
        <v>489</v>
      </c>
    </row>
    <row r="2576" spans="1:3" x14ac:dyDescent="0.25">
      <c r="A2576">
        <v>12</v>
      </c>
      <c r="B2576">
        <v>0</v>
      </c>
      <c r="C2576">
        <v>489</v>
      </c>
    </row>
    <row r="2577" spans="1:3" x14ac:dyDescent="0.25">
      <c r="A2577">
        <v>16</v>
      </c>
      <c r="B2577">
        <v>0</v>
      </c>
      <c r="C2577">
        <v>489</v>
      </c>
    </row>
    <row r="2578" spans="1:3" x14ac:dyDescent="0.25">
      <c r="A2578">
        <v>19</v>
      </c>
      <c r="B2578">
        <v>0</v>
      </c>
      <c r="C2578">
        <v>461</v>
      </c>
    </row>
    <row r="2579" spans="1:3" x14ac:dyDescent="0.25">
      <c r="A2579">
        <v>16</v>
      </c>
      <c r="B2579">
        <v>0</v>
      </c>
      <c r="C2579">
        <v>461</v>
      </c>
    </row>
    <row r="2580" spans="1:3" x14ac:dyDescent="0.25">
      <c r="A2580">
        <v>14</v>
      </c>
      <c r="B2580">
        <v>0</v>
      </c>
      <c r="C2580">
        <v>461</v>
      </c>
    </row>
    <row r="2581" spans="1:3" x14ac:dyDescent="0.25">
      <c r="A2581">
        <v>15</v>
      </c>
      <c r="B2581">
        <v>0</v>
      </c>
      <c r="C2581">
        <v>461</v>
      </c>
    </row>
    <row r="2582" spans="1:3" x14ac:dyDescent="0.25">
      <c r="A2582">
        <v>15</v>
      </c>
      <c r="B2582">
        <v>0</v>
      </c>
      <c r="C2582">
        <v>461</v>
      </c>
    </row>
    <row r="2583" spans="1:3" x14ac:dyDescent="0.25">
      <c r="A2583">
        <v>15</v>
      </c>
      <c r="B2583">
        <v>0</v>
      </c>
      <c r="C2583">
        <v>461</v>
      </c>
    </row>
    <row r="2584" spans="1:3" x14ac:dyDescent="0.25">
      <c r="A2584">
        <v>16</v>
      </c>
      <c r="B2584">
        <v>0</v>
      </c>
      <c r="C2584">
        <v>461</v>
      </c>
    </row>
    <row r="2585" spans="1:3" x14ac:dyDescent="0.25">
      <c r="A2585">
        <v>20</v>
      </c>
      <c r="B2585">
        <v>0</v>
      </c>
      <c r="C2585">
        <v>461</v>
      </c>
    </row>
    <row r="2586" spans="1:3" x14ac:dyDescent="0.25">
      <c r="A2586">
        <v>17</v>
      </c>
      <c r="B2586">
        <v>0</v>
      </c>
      <c r="C2586">
        <v>454</v>
      </c>
    </row>
    <row r="2587" spans="1:3" x14ac:dyDescent="0.25">
      <c r="A2587">
        <v>16</v>
      </c>
      <c r="B2587">
        <v>0</v>
      </c>
      <c r="C2587">
        <v>454</v>
      </c>
    </row>
    <row r="2588" spans="1:3" x14ac:dyDescent="0.25">
      <c r="A2588">
        <v>14</v>
      </c>
      <c r="B2588">
        <v>0</v>
      </c>
      <c r="C2588">
        <v>454</v>
      </c>
    </row>
    <row r="2589" spans="1:3" x14ac:dyDescent="0.25">
      <c r="A2589">
        <v>15</v>
      </c>
      <c r="B2589">
        <v>0</v>
      </c>
      <c r="C2589">
        <v>454</v>
      </c>
    </row>
    <row r="2590" spans="1:3" x14ac:dyDescent="0.25">
      <c r="A2590">
        <v>12</v>
      </c>
      <c r="B2590">
        <v>0</v>
      </c>
      <c r="C2590">
        <v>454</v>
      </c>
    </row>
    <row r="2591" spans="1:3" x14ac:dyDescent="0.25">
      <c r="A2591">
        <v>13</v>
      </c>
      <c r="B2591">
        <v>0</v>
      </c>
      <c r="C2591">
        <v>454</v>
      </c>
    </row>
    <row r="2592" spans="1:3" x14ac:dyDescent="0.25">
      <c r="A2592">
        <v>16</v>
      </c>
      <c r="B2592">
        <v>0</v>
      </c>
      <c r="C2592">
        <v>454</v>
      </c>
    </row>
    <row r="2593" spans="1:3" x14ac:dyDescent="0.25">
      <c r="A2593">
        <v>20</v>
      </c>
      <c r="B2593">
        <v>0</v>
      </c>
      <c r="C2593">
        <v>454</v>
      </c>
    </row>
    <row r="2594" spans="1:3" x14ac:dyDescent="0.25">
      <c r="A2594">
        <v>14</v>
      </c>
      <c r="B2594">
        <v>0</v>
      </c>
      <c r="C2594">
        <v>441</v>
      </c>
    </row>
    <row r="2595" spans="1:3" x14ac:dyDescent="0.25">
      <c r="A2595">
        <v>15</v>
      </c>
      <c r="B2595">
        <v>0</v>
      </c>
      <c r="C2595">
        <v>441</v>
      </c>
    </row>
    <row r="2596" spans="1:3" x14ac:dyDescent="0.25">
      <c r="A2596">
        <v>19</v>
      </c>
      <c r="B2596">
        <v>0</v>
      </c>
      <c r="C2596">
        <v>441</v>
      </c>
    </row>
    <row r="2597" spans="1:3" x14ac:dyDescent="0.25">
      <c r="A2597">
        <v>16</v>
      </c>
      <c r="B2597">
        <v>0</v>
      </c>
      <c r="C2597">
        <v>441</v>
      </c>
    </row>
    <row r="2598" spans="1:3" x14ac:dyDescent="0.25">
      <c r="A2598">
        <v>17</v>
      </c>
      <c r="B2598">
        <v>0</v>
      </c>
      <c r="C2598">
        <v>441</v>
      </c>
    </row>
    <row r="2599" spans="1:3" x14ac:dyDescent="0.25">
      <c r="A2599">
        <v>17</v>
      </c>
      <c r="B2599">
        <v>0</v>
      </c>
      <c r="C2599">
        <v>441</v>
      </c>
    </row>
    <row r="2600" spans="1:3" x14ac:dyDescent="0.25">
      <c r="A2600">
        <v>19</v>
      </c>
      <c r="B2600">
        <v>0</v>
      </c>
      <c r="C2600">
        <v>441</v>
      </c>
    </row>
    <row r="2601" spans="1:3" x14ac:dyDescent="0.25">
      <c r="A2601">
        <v>17</v>
      </c>
      <c r="B2601">
        <v>0</v>
      </c>
      <c r="C2601">
        <v>441</v>
      </c>
    </row>
    <row r="2602" spans="1:3" x14ac:dyDescent="0.25">
      <c r="A2602">
        <v>17</v>
      </c>
      <c r="B2602">
        <v>0</v>
      </c>
      <c r="C2602">
        <v>486</v>
      </c>
    </row>
    <row r="2603" spans="1:3" x14ac:dyDescent="0.25">
      <c r="A2603">
        <v>13</v>
      </c>
      <c r="B2603">
        <v>0</v>
      </c>
      <c r="C2603">
        <v>486</v>
      </c>
    </row>
    <row r="2604" spans="1:3" x14ac:dyDescent="0.25">
      <c r="A2604">
        <v>15</v>
      </c>
      <c r="B2604">
        <v>0</v>
      </c>
      <c r="C2604">
        <v>486</v>
      </c>
    </row>
    <row r="2605" spans="1:3" x14ac:dyDescent="0.25">
      <c r="A2605">
        <v>14</v>
      </c>
      <c r="B2605">
        <v>0</v>
      </c>
      <c r="C2605">
        <v>486</v>
      </c>
    </row>
    <row r="2606" spans="1:3" x14ac:dyDescent="0.25">
      <c r="A2606">
        <v>12</v>
      </c>
      <c r="B2606">
        <v>0</v>
      </c>
      <c r="C2606">
        <v>486</v>
      </c>
    </row>
    <row r="2607" spans="1:3" x14ac:dyDescent="0.25">
      <c r="A2607">
        <v>15</v>
      </c>
      <c r="B2607">
        <v>0</v>
      </c>
      <c r="C2607">
        <v>486</v>
      </c>
    </row>
    <row r="2608" spans="1:3" x14ac:dyDescent="0.25">
      <c r="A2608">
        <v>16</v>
      </c>
      <c r="B2608">
        <v>0</v>
      </c>
      <c r="C2608">
        <v>486</v>
      </c>
    </row>
    <row r="2609" spans="1:3" x14ac:dyDescent="0.25">
      <c r="A2609">
        <v>21</v>
      </c>
      <c r="B2609">
        <v>0</v>
      </c>
      <c r="C2609">
        <v>486</v>
      </c>
    </row>
    <row r="2610" spans="1:3" x14ac:dyDescent="0.25">
      <c r="A2610">
        <v>16</v>
      </c>
      <c r="B2610">
        <v>0</v>
      </c>
      <c r="C2610">
        <v>499</v>
      </c>
    </row>
    <row r="2611" spans="1:3" x14ac:dyDescent="0.25">
      <c r="A2611">
        <v>14</v>
      </c>
      <c r="B2611">
        <v>0</v>
      </c>
      <c r="C2611">
        <v>499</v>
      </c>
    </row>
    <row r="2612" spans="1:3" x14ac:dyDescent="0.25">
      <c r="A2612">
        <v>16</v>
      </c>
      <c r="B2612">
        <v>0</v>
      </c>
      <c r="C2612">
        <v>499</v>
      </c>
    </row>
    <row r="2613" spans="1:3" x14ac:dyDescent="0.25">
      <c r="A2613">
        <v>15</v>
      </c>
      <c r="B2613">
        <v>0</v>
      </c>
      <c r="C2613">
        <v>499</v>
      </c>
    </row>
    <row r="2614" spans="1:3" x14ac:dyDescent="0.25">
      <c r="A2614">
        <v>14</v>
      </c>
      <c r="B2614">
        <v>0</v>
      </c>
      <c r="C2614">
        <v>499</v>
      </c>
    </row>
    <row r="2615" spans="1:3" x14ac:dyDescent="0.25">
      <c r="A2615">
        <v>15</v>
      </c>
      <c r="B2615">
        <v>0</v>
      </c>
      <c r="C2615">
        <v>499</v>
      </c>
    </row>
    <row r="2616" spans="1:3" x14ac:dyDescent="0.25">
      <c r="A2616">
        <v>19</v>
      </c>
      <c r="B2616">
        <v>0</v>
      </c>
      <c r="C2616">
        <v>499</v>
      </c>
    </row>
    <row r="2617" spans="1:3" x14ac:dyDescent="0.25">
      <c r="A2617">
        <v>18</v>
      </c>
      <c r="B2617">
        <v>0</v>
      </c>
      <c r="C2617">
        <v>499</v>
      </c>
    </row>
    <row r="2618" spans="1:3" x14ac:dyDescent="0.25">
      <c r="A2618">
        <v>16</v>
      </c>
      <c r="B2618">
        <v>0</v>
      </c>
      <c r="C2618">
        <v>492</v>
      </c>
    </row>
    <row r="2619" spans="1:3" x14ac:dyDescent="0.25">
      <c r="A2619">
        <v>15</v>
      </c>
      <c r="B2619">
        <v>0</v>
      </c>
      <c r="C2619">
        <v>492</v>
      </c>
    </row>
    <row r="2620" spans="1:3" x14ac:dyDescent="0.25">
      <c r="A2620">
        <v>12</v>
      </c>
      <c r="B2620">
        <v>0</v>
      </c>
      <c r="C2620">
        <v>492</v>
      </c>
    </row>
    <row r="2621" spans="1:3" x14ac:dyDescent="0.25">
      <c r="A2621">
        <v>13</v>
      </c>
      <c r="B2621">
        <v>0</v>
      </c>
      <c r="C2621">
        <v>492</v>
      </c>
    </row>
    <row r="2622" spans="1:3" x14ac:dyDescent="0.25">
      <c r="A2622">
        <v>16</v>
      </c>
      <c r="B2622">
        <v>0</v>
      </c>
      <c r="C2622">
        <v>492</v>
      </c>
    </row>
    <row r="2623" spans="1:3" x14ac:dyDescent="0.25">
      <c r="A2623">
        <v>16</v>
      </c>
      <c r="B2623">
        <v>0</v>
      </c>
      <c r="C2623">
        <v>492</v>
      </c>
    </row>
    <row r="2624" spans="1:3" x14ac:dyDescent="0.25">
      <c r="A2624">
        <v>19</v>
      </c>
      <c r="B2624">
        <v>0</v>
      </c>
      <c r="C2624">
        <v>492</v>
      </c>
    </row>
    <row r="2625" spans="1:3" x14ac:dyDescent="0.25">
      <c r="A2625">
        <v>18</v>
      </c>
      <c r="B2625">
        <v>0</v>
      </c>
      <c r="C2625">
        <v>492</v>
      </c>
    </row>
    <row r="2626" spans="1:3" x14ac:dyDescent="0.25">
      <c r="A2626">
        <v>19</v>
      </c>
      <c r="B2626">
        <v>0</v>
      </c>
      <c r="C2626">
        <v>449</v>
      </c>
    </row>
    <row r="2627" spans="1:3" x14ac:dyDescent="0.25">
      <c r="A2627">
        <v>16</v>
      </c>
      <c r="B2627">
        <v>0</v>
      </c>
      <c r="C2627">
        <v>449</v>
      </c>
    </row>
    <row r="2628" spans="1:3" x14ac:dyDescent="0.25">
      <c r="A2628">
        <v>15</v>
      </c>
      <c r="B2628">
        <v>0</v>
      </c>
      <c r="C2628">
        <v>449</v>
      </c>
    </row>
    <row r="2629" spans="1:3" x14ac:dyDescent="0.25">
      <c r="A2629">
        <v>14</v>
      </c>
      <c r="B2629">
        <v>0</v>
      </c>
      <c r="C2629">
        <v>449</v>
      </c>
    </row>
    <row r="2630" spans="1:3" x14ac:dyDescent="0.25">
      <c r="A2630">
        <v>13</v>
      </c>
      <c r="B2630">
        <v>0</v>
      </c>
      <c r="C2630">
        <v>449</v>
      </c>
    </row>
    <row r="2631" spans="1:3" x14ac:dyDescent="0.25">
      <c r="A2631">
        <v>17</v>
      </c>
      <c r="B2631">
        <v>0</v>
      </c>
      <c r="C2631">
        <v>449</v>
      </c>
    </row>
    <row r="2632" spans="1:3" x14ac:dyDescent="0.25">
      <c r="A2632">
        <v>16</v>
      </c>
      <c r="B2632">
        <v>0</v>
      </c>
      <c r="C2632">
        <v>449</v>
      </c>
    </row>
    <row r="2633" spans="1:3" x14ac:dyDescent="0.25">
      <c r="A2633">
        <v>15</v>
      </c>
      <c r="B2633">
        <v>0</v>
      </c>
      <c r="C2633">
        <v>449</v>
      </c>
    </row>
    <row r="2634" spans="1:3" x14ac:dyDescent="0.25">
      <c r="A2634">
        <v>15</v>
      </c>
      <c r="B2634">
        <v>0</v>
      </c>
      <c r="C2634">
        <v>449</v>
      </c>
    </row>
    <row r="2635" spans="1:3" x14ac:dyDescent="0.25">
      <c r="A2635">
        <v>19</v>
      </c>
      <c r="B2635">
        <v>0</v>
      </c>
      <c r="C2635">
        <v>496</v>
      </c>
    </row>
    <row r="2636" spans="1:3" x14ac:dyDescent="0.25">
      <c r="A2636">
        <v>16</v>
      </c>
      <c r="B2636">
        <v>0</v>
      </c>
      <c r="C2636">
        <v>496</v>
      </c>
    </row>
    <row r="2637" spans="1:3" x14ac:dyDescent="0.25">
      <c r="A2637">
        <v>14</v>
      </c>
      <c r="B2637">
        <v>0</v>
      </c>
      <c r="C2637">
        <v>496</v>
      </c>
    </row>
    <row r="2638" spans="1:3" x14ac:dyDescent="0.25">
      <c r="A2638">
        <v>16</v>
      </c>
      <c r="B2638">
        <v>0</v>
      </c>
      <c r="C2638">
        <v>496</v>
      </c>
    </row>
    <row r="2639" spans="1:3" x14ac:dyDescent="0.25">
      <c r="A2639">
        <v>16</v>
      </c>
      <c r="B2639">
        <v>0</v>
      </c>
      <c r="C2639">
        <v>496</v>
      </c>
    </row>
    <row r="2640" spans="1:3" x14ac:dyDescent="0.25">
      <c r="A2640">
        <v>15</v>
      </c>
      <c r="B2640">
        <v>0</v>
      </c>
      <c r="C2640">
        <v>496</v>
      </c>
    </row>
    <row r="2641" spans="1:3" x14ac:dyDescent="0.25">
      <c r="A2641">
        <v>18</v>
      </c>
      <c r="B2641">
        <v>0</v>
      </c>
      <c r="C2641">
        <v>496</v>
      </c>
    </row>
    <row r="2642" spans="1:3" x14ac:dyDescent="0.25">
      <c r="A2642">
        <v>17</v>
      </c>
      <c r="B2642">
        <v>0</v>
      </c>
      <c r="C2642">
        <v>496</v>
      </c>
    </row>
    <row r="2643" spans="1:3" x14ac:dyDescent="0.25">
      <c r="A2643">
        <v>17</v>
      </c>
      <c r="B2643">
        <v>0</v>
      </c>
      <c r="C2643">
        <v>509</v>
      </c>
    </row>
    <row r="2644" spans="1:3" x14ac:dyDescent="0.25">
      <c r="A2644">
        <v>18</v>
      </c>
      <c r="B2644">
        <v>0</v>
      </c>
      <c r="C2644">
        <v>509</v>
      </c>
    </row>
    <row r="2645" spans="1:3" x14ac:dyDescent="0.25">
      <c r="A2645">
        <v>20</v>
      </c>
      <c r="B2645">
        <v>0</v>
      </c>
      <c r="C2645">
        <v>509</v>
      </c>
    </row>
    <row r="2646" spans="1:3" x14ac:dyDescent="0.25">
      <c r="A2646">
        <v>17</v>
      </c>
      <c r="B2646">
        <v>0</v>
      </c>
      <c r="C2646">
        <v>509</v>
      </c>
    </row>
    <row r="2647" spans="1:3" x14ac:dyDescent="0.25">
      <c r="A2647">
        <v>17</v>
      </c>
      <c r="B2647">
        <v>0</v>
      </c>
      <c r="C2647">
        <v>509</v>
      </c>
    </row>
    <row r="2648" spans="1:3" x14ac:dyDescent="0.25">
      <c r="A2648">
        <v>16</v>
      </c>
      <c r="B2648">
        <v>0</v>
      </c>
      <c r="C2648">
        <v>509</v>
      </c>
    </row>
    <row r="2649" spans="1:3" x14ac:dyDescent="0.25">
      <c r="A2649">
        <v>18</v>
      </c>
      <c r="B2649">
        <v>0</v>
      </c>
      <c r="C2649">
        <v>509</v>
      </c>
    </row>
    <row r="2650" spans="1:3" x14ac:dyDescent="0.25">
      <c r="A2650">
        <v>12</v>
      </c>
      <c r="B2650">
        <v>0</v>
      </c>
      <c r="C2650">
        <v>509</v>
      </c>
    </row>
    <row r="2651" spans="1:3" x14ac:dyDescent="0.25">
      <c r="A2651">
        <v>12</v>
      </c>
      <c r="B2651">
        <v>0</v>
      </c>
      <c r="C2651">
        <v>509</v>
      </c>
    </row>
    <row r="2652" spans="1:3" x14ac:dyDescent="0.25">
      <c r="A2652">
        <v>14</v>
      </c>
      <c r="B2652">
        <v>0</v>
      </c>
      <c r="C2652">
        <v>470</v>
      </c>
    </row>
    <row r="2653" spans="1:3" x14ac:dyDescent="0.25">
      <c r="A2653">
        <v>15</v>
      </c>
      <c r="B2653">
        <v>0</v>
      </c>
      <c r="C2653">
        <v>470</v>
      </c>
    </row>
    <row r="2654" spans="1:3" x14ac:dyDescent="0.25">
      <c r="A2654">
        <v>18</v>
      </c>
      <c r="B2654">
        <v>0</v>
      </c>
      <c r="C2654">
        <v>470</v>
      </c>
    </row>
    <row r="2655" spans="1:3" x14ac:dyDescent="0.25">
      <c r="A2655">
        <v>16</v>
      </c>
      <c r="B2655">
        <v>0</v>
      </c>
      <c r="C2655">
        <v>470</v>
      </c>
    </row>
    <row r="2656" spans="1:3" x14ac:dyDescent="0.25">
      <c r="A2656">
        <v>16</v>
      </c>
      <c r="B2656">
        <v>0</v>
      </c>
      <c r="C2656">
        <v>470</v>
      </c>
    </row>
    <row r="2657" spans="1:3" x14ac:dyDescent="0.25">
      <c r="A2657">
        <v>15</v>
      </c>
      <c r="B2657">
        <v>0</v>
      </c>
      <c r="C2657">
        <v>470</v>
      </c>
    </row>
    <row r="2658" spans="1:3" x14ac:dyDescent="0.25">
      <c r="A2658">
        <v>14</v>
      </c>
      <c r="B2658">
        <v>0</v>
      </c>
      <c r="C2658">
        <v>470</v>
      </c>
    </row>
    <row r="2659" spans="1:3" x14ac:dyDescent="0.25">
      <c r="A2659">
        <v>15</v>
      </c>
      <c r="B2659">
        <v>0</v>
      </c>
      <c r="C2659">
        <v>470</v>
      </c>
    </row>
    <row r="2660" spans="1:3" x14ac:dyDescent="0.25">
      <c r="A2660">
        <v>17</v>
      </c>
      <c r="B2660">
        <v>0</v>
      </c>
      <c r="C2660">
        <v>503</v>
      </c>
    </row>
    <row r="2661" spans="1:3" x14ac:dyDescent="0.25">
      <c r="A2661">
        <v>17</v>
      </c>
      <c r="B2661">
        <v>0</v>
      </c>
      <c r="C2661">
        <v>503</v>
      </c>
    </row>
    <row r="2662" spans="1:3" x14ac:dyDescent="0.25">
      <c r="A2662">
        <v>18</v>
      </c>
      <c r="B2662">
        <v>0</v>
      </c>
      <c r="C2662">
        <v>503</v>
      </c>
    </row>
    <row r="2663" spans="1:3" x14ac:dyDescent="0.25">
      <c r="A2663">
        <v>17</v>
      </c>
      <c r="B2663">
        <v>0</v>
      </c>
      <c r="C2663">
        <v>503</v>
      </c>
    </row>
    <row r="2664" spans="1:3" x14ac:dyDescent="0.25">
      <c r="A2664">
        <v>17</v>
      </c>
      <c r="B2664">
        <v>0</v>
      </c>
      <c r="C2664">
        <v>503</v>
      </c>
    </row>
    <row r="2665" spans="1:3" x14ac:dyDescent="0.25">
      <c r="A2665">
        <v>19</v>
      </c>
      <c r="B2665">
        <v>0</v>
      </c>
      <c r="C2665">
        <v>503</v>
      </c>
    </row>
    <row r="2666" spans="1:3" x14ac:dyDescent="0.25">
      <c r="A2666">
        <v>13</v>
      </c>
      <c r="B2666">
        <v>0</v>
      </c>
      <c r="C2666">
        <v>503</v>
      </c>
    </row>
    <row r="2667" spans="1:3" x14ac:dyDescent="0.25">
      <c r="A2667">
        <v>13</v>
      </c>
      <c r="B2667">
        <v>0</v>
      </c>
      <c r="C2667">
        <v>503</v>
      </c>
    </row>
    <row r="2668" spans="1:3" x14ac:dyDescent="0.25">
      <c r="A2668">
        <v>15</v>
      </c>
      <c r="B2668">
        <v>0</v>
      </c>
      <c r="C2668">
        <v>438</v>
      </c>
    </row>
    <row r="2669" spans="1:3" x14ac:dyDescent="0.25">
      <c r="A2669">
        <v>16</v>
      </c>
      <c r="B2669">
        <v>0</v>
      </c>
      <c r="C2669">
        <v>438</v>
      </c>
    </row>
    <row r="2670" spans="1:3" x14ac:dyDescent="0.25">
      <c r="A2670">
        <v>14</v>
      </c>
      <c r="B2670">
        <v>0</v>
      </c>
      <c r="C2670">
        <v>438</v>
      </c>
    </row>
    <row r="2671" spans="1:3" x14ac:dyDescent="0.25">
      <c r="A2671">
        <v>20</v>
      </c>
      <c r="B2671">
        <v>0</v>
      </c>
      <c r="C2671">
        <v>438</v>
      </c>
    </row>
    <row r="2672" spans="1:3" x14ac:dyDescent="0.25">
      <c r="A2672">
        <v>16</v>
      </c>
      <c r="B2672">
        <v>0</v>
      </c>
      <c r="C2672">
        <v>438</v>
      </c>
    </row>
    <row r="2673" spans="1:3" x14ac:dyDescent="0.25">
      <c r="A2673">
        <v>20</v>
      </c>
      <c r="B2673">
        <v>0</v>
      </c>
      <c r="C2673">
        <v>438</v>
      </c>
    </row>
    <row r="2674" spans="1:3" x14ac:dyDescent="0.25">
      <c r="A2674">
        <v>15</v>
      </c>
      <c r="B2674">
        <v>0</v>
      </c>
      <c r="C2674">
        <v>438</v>
      </c>
    </row>
    <row r="2675" spans="1:3" x14ac:dyDescent="0.25">
      <c r="A2675">
        <v>15</v>
      </c>
      <c r="B2675">
        <v>0</v>
      </c>
      <c r="C2675">
        <v>438</v>
      </c>
    </row>
    <row r="2676" spans="1:3" x14ac:dyDescent="0.25">
      <c r="A2676">
        <v>19</v>
      </c>
      <c r="B2676">
        <v>0</v>
      </c>
      <c r="C2676">
        <v>498</v>
      </c>
    </row>
    <row r="2677" spans="1:3" x14ac:dyDescent="0.25">
      <c r="A2677">
        <v>16</v>
      </c>
      <c r="B2677">
        <v>0</v>
      </c>
      <c r="C2677">
        <v>498</v>
      </c>
    </row>
    <row r="2678" spans="1:3" x14ac:dyDescent="0.25">
      <c r="A2678">
        <v>16</v>
      </c>
      <c r="B2678">
        <v>0</v>
      </c>
      <c r="C2678">
        <v>498</v>
      </c>
    </row>
    <row r="2679" spans="1:3" x14ac:dyDescent="0.25">
      <c r="A2679">
        <v>16</v>
      </c>
      <c r="B2679">
        <v>0</v>
      </c>
      <c r="C2679">
        <v>498</v>
      </c>
    </row>
    <row r="2680" spans="1:3" x14ac:dyDescent="0.25">
      <c r="A2680">
        <v>20</v>
      </c>
      <c r="B2680">
        <v>0</v>
      </c>
      <c r="C2680">
        <v>498</v>
      </c>
    </row>
    <row r="2681" spans="1:3" x14ac:dyDescent="0.25">
      <c r="A2681">
        <v>18</v>
      </c>
      <c r="B2681">
        <v>0</v>
      </c>
      <c r="C2681">
        <v>498</v>
      </c>
    </row>
    <row r="2682" spans="1:3" x14ac:dyDescent="0.25">
      <c r="A2682">
        <v>14</v>
      </c>
      <c r="B2682">
        <v>0</v>
      </c>
      <c r="C2682">
        <v>498</v>
      </c>
    </row>
    <row r="2683" spans="1:3" x14ac:dyDescent="0.25">
      <c r="A2683">
        <v>16</v>
      </c>
      <c r="B2683">
        <v>0</v>
      </c>
      <c r="C2683">
        <v>498</v>
      </c>
    </row>
    <row r="2684" spans="1:3" x14ac:dyDescent="0.25">
      <c r="A2684">
        <v>17</v>
      </c>
      <c r="B2684">
        <v>0</v>
      </c>
      <c r="C2684">
        <v>498</v>
      </c>
    </row>
    <row r="2685" spans="1:3" x14ac:dyDescent="0.25">
      <c r="A2685">
        <v>17</v>
      </c>
      <c r="B2685">
        <v>0</v>
      </c>
      <c r="C2685">
        <v>483</v>
      </c>
    </row>
    <row r="2686" spans="1:3" x14ac:dyDescent="0.25">
      <c r="A2686">
        <v>15</v>
      </c>
      <c r="B2686">
        <v>0</v>
      </c>
      <c r="C2686">
        <v>483</v>
      </c>
    </row>
    <row r="2687" spans="1:3" x14ac:dyDescent="0.25">
      <c r="A2687">
        <v>23</v>
      </c>
      <c r="B2687">
        <v>0</v>
      </c>
      <c r="C2687">
        <v>483</v>
      </c>
    </row>
    <row r="2688" spans="1:3" x14ac:dyDescent="0.25">
      <c r="A2688">
        <v>16</v>
      </c>
      <c r="B2688">
        <v>0</v>
      </c>
      <c r="C2688">
        <v>483</v>
      </c>
    </row>
    <row r="2689" spans="1:3" x14ac:dyDescent="0.25">
      <c r="A2689">
        <v>20</v>
      </c>
      <c r="B2689">
        <v>0</v>
      </c>
      <c r="C2689">
        <v>483</v>
      </c>
    </row>
    <row r="2690" spans="1:3" x14ac:dyDescent="0.25">
      <c r="A2690">
        <v>16</v>
      </c>
      <c r="B2690">
        <v>0</v>
      </c>
      <c r="C2690">
        <v>483</v>
      </c>
    </row>
    <row r="2691" spans="1:3" x14ac:dyDescent="0.25">
      <c r="A2691">
        <v>13</v>
      </c>
      <c r="B2691">
        <v>0</v>
      </c>
      <c r="C2691">
        <v>483</v>
      </c>
    </row>
    <row r="2692" spans="1:3" x14ac:dyDescent="0.25">
      <c r="A2692">
        <v>13</v>
      </c>
      <c r="B2692">
        <v>0</v>
      </c>
      <c r="C2692">
        <v>483</v>
      </c>
    </row>
    <row r="2693" spans="1:3" x14ac:dyDescent="0.25">
      <c r="A2693">
        <v>16</v>
      </c>
      <c r="B2693">
        <v>0</v>
      </c>
      <c r="C2693">
        <v>494</v>
      </c>
    </row>
    <row r="2694" spans="1:3" x14ac:dyDescent="0.25">
      <c r="A2694">
        <v>14</v>
      </c>
      <c r="B2694">
        <v>0</v>
      </c>
      <c r="C2694">
        <v>494</v>
      </c>
    </row>
    <row r="2695" spans="1:3" x14ac:dyDescent="0.25">
      <c r="A2695">
        <v>14</v>
      </c>
      <c r="B2695">
        <v>0</v>
      </c>
      <c r="C2695">
        <v>494</v>
      </c>
    </row>
    <row r="2696" spans="1:3" x14ac:dyDescent="0.25">
      <c r="A2696">
        <v>17</v>
      </c>
      <c r="B2696">
        <v>0</v>
      </c>
      <c r="C2696">
        <v>494</v>
      </c>
    </row>
    <row r="2697" spans="1:3" x14ac:dyDescent="0.25">
      <c r="A2697">
        <v>16</v>
      </c>
      <c r="B2697">
        <v>0</v>
      </c>
      <c r="C2697">
        <v>494</v>
      </c>
    </row>
    <row r="2698" spans="1:3" x14ac:dyDescent="0.25">
      <c r="A2698">
        <v>16</v>
      </c>
      <c r="B2698">
        <v>0</v>
      </c>
      <c r="C2698">
        <v>494</v>
      </c>
    </row>
    <row r="2699" spans="1:3" x14ac:dyDescent="0.25">
      <c r="A2699">
        <v>14</v>
      </c>
      <c r="B2699">
        <v>0</v>
      </c>
      <c r="C2699">
        <v>494</v>
      </c>
    </row>
    <row r="2700" spans="1:3" x14ac:dyDescent="0.25">
      <c r="A2700">
        <v>15</v>
      </c>
      <c r="B2700">
        <v>0</v>
      </c>
      <c r="C2700">
        <v>494</v>
      </c>
    </row>
    <row r="2701" spans="1:3" x14ac:dyDescent="0.25">
      <c r="A2701">
        <v>15</v>
      </c>
      <c r="B2701">
        <v>0</v>
      </c>
      <c r="C2701">
        <v>433</v>
      </c>
    </row>
    <row r="2702" spans="1:3" x14ac:dyDescent="0.25">
      <c r="A2702">
        <v>17</v>
      </c>
      <c r="B2702">
        <v>0</v>
      </c>
      <c r="C2702">
        <v>433</v>
      </c>
    </row>
    <row r="2703" spans="1:3" x14ac:dyDescent="0.25">
      <c r="A2703">
        <v>17</v>
      </c>
      <c r="B2703">
        <v>0</v>
      </c>
      <c r="C2703">
        <v>433</v>
      </c>
    </row>
    <row r="2704" spans="1:3" x14ac:dyDescent="0.25">
      <c r="A2704">
        <v>19</v>
      </c>
      <c r="B2704">
        <v>0</v>
      </c>
      <c r="C2704">
        <v>433</v>
      </c>
    </row>
    <row r="2705" spans="1:3" x14ac:dyDescent="0.25">
      <c r="A2705">
        <v>17</v>
      </c>
      <c r="B2705">
        <v>0</v>
      </c>
      <c r="C2705">
        <v>433</v>
      </c>
    </row>
    <row r="2706" spans="1:3" x14ac:dyDescent="0.25">
      <c r="A2706">
        <v>14</v>
      </c>
      <c r="B2706">
        <v>0</v>
      </c>
      <c r="C2706">
        <v>433</v>
      </c>
    </row>
    <row r="2707" spans="1:3" x14ac:dyDescent="0.25">
      <c r="A2707">
        <v>15</v>
      </c>
      <c r="B2707">
        <v>0</v>
      </c>
      <c r="C2707">
        <v>433</v>
      </c>
    </row>
    <row r="2708" spans="1:3" x14ac:dyDescent="0.25">
      <c r="A2708">
        <v>14</v>
      </c>
      <c r="B2708">
        <v>0</v>
      </c>
      <c r="C2708">
        <v>433</v>
      </c>
    </row>
    <row r="2709" spans="1:3" x14ac:dyDescent="0.25">
      <c r="A2709">
        <v>20</v>
      </c>
      <c r="B2709">
        <v>0</v>
      </c>
      <c r="C2709">
        <v>464</v>
      </c>
    </row>
    <row r="2710" spans="1:3" x14ac:dyDescent="0.25">
      <c r="A2710">
        <v>14</v>
      </c>
      <c r="B2710">
        <v>0</v>
      </c>
      <c r="C2710">
        <v>464</v>
      </c>
    </row>
    <row r="2711" spans="1:3" x14ac:dyDescent="0.25">
      <c r="A2711">
        <v>18</v>
      </c>
      <c r="B2711">
        <v>0</v>
      </c>
      <c r="C2711">
        <v>464</v>
      </c>
    </row>
    <row r="2712" spans="1:3" x14ac:dyDescent="0.25">
      <c r="A2712">
        <v>17</v>
      </c>
      <c r="B2712">
        <v>0</v>
      </c>
      <c r="C2712">
        <v>464</v>
      </c>
    </row>
    <row r="2713" spans="1:3" x14ac:dyDescent="0.25">
      <c r="A2713">
        <v>14</v>
      </c>
      <c r="B2713">
        <v>0</v>
      </c>
      <c r="C2713">
        <v>464</v>
      </c>
    </row>
    <row r="2714" spans="1:3" x14ac:dyDescent="0.25">
      <c r="A2714">
        <v>15</v>
      </c>
      <c r="B2714">
        <v>0</v>
      </c>
      <c r="C2714">
        <v>464</v>
      </c>
    </row>
    <row r="2715" spans="1:3" x14ac:dyDescent="0.25">
      <c r="A2715">
        <v>13</v>
      </c>
      <c r="B2715">
        <v>0</v>
      </c>
      <c r="C2715">
        <v>464</v>
      </c>
    </row>
    <row r="2716" spans="1:3" x14ac:dyDescent="0.25">
      <c r="A2716">
        <v>15</v>
      </c>
      <c r="B2716">
        <v>0</v>
      </c>
      <c r="C2716">
        <v>464</v>
      </c>
    </row>
    <row r="2717" spans="1:3" x14ac:dyDescent="0.25">
      <c r="A2717">
        <v>18</v>
      </c>
      <c r="B2717">
        <v>0</v>
      </c>
      <c r="C2717">
        <v>464</v>
      </c>
    </row>
    <row r="2718" spans="1:3" x14ac:dyDescent="0.25">
      <c r="A2718">
        <v>18</v>
      </c>
      <c r="B2718">
        <v>0</v>
      </c>
      <c r="C2718">
        <v>539</v>
      </c>
    </row>
    <row r="2719" spans="1:3" x14ac:dyDescent="0.25">
      <c r="A2719">
        <v>16</v>
      </c>
      <c r="B2719">
        <v>0</v>
      </c>
      <c r="C2719">
        <v>539</v>
      </c>
    </row>
    <row r="2720" spans="1:3" x14ac:dyDescent="0.25">
      <c r="A2720">
        <v>20</v>
      </c>
      <c r="B2720">
        <v>0</v>
      </c>
      <c r="C2720">
        <v>539</v>
      </c>
    </row>
    <row r="2721" spans="1:3" x14ac:dyDescent="0.25">
      <c r="A2721">
        <v>15</v>
      </c>
      <c r="B2721">
        <v>0</v>
      </c>
      <c r="C2721">
        <v>539</v>
      </c>
    </row>
    <row r="2722" spans="1:3" x14ac:dyDescent="0.25">
      <c r="A2722">
        <v>17</v>
      </c>
      <c r="B2722">
        <v>0</v>
      </c>
      <c r="C2722">
        <v>539</v>
      </c>
    </row>
    <row r="2723" spans="1:3" x14ac:dyDescent="0.25">
      <c r="A2723">
        <v>17</v>
      </c>
      <c r="B2723">
        <v>0</v>
      </c>
      <c r="C2723">
        <v>539</v>
      </c>
    </row>
    <row r="2724" spans="1:3" x14ac:dyDescent="0.25">
      <c r="A2724">
        <v>16</v>
      </c>
      <c r="B2724">
        <v>0</v>
      </c>
      <c r="C2724">
        <v>539</v>
      </c>
    </row>
    <row r="2725" spans="1:3" x14ac:dyDescent="0.25">
      <c r="A2725">
        <v>16</v>
      </c>
      <c r="B2725">
        <v>0</v>
      </c>
      <c r="C2725">
        <v>539</v>
      </c>
    </row>
    <row r="2726" spans="1:3" x14ac:dyDescent="0.25">
      <c r="A2726">
        <v>15</v>
      </c>
      <c r="B2726">
        <v>0</v>
      </c>
      <c r="C2726">
        <v>516</v>
      </c>
    </row>
    <row r="2727" spans="1:3" x14ac:dyDescent="0.25">
      <c r="A2727">
        <v>19</v>
      </c>
      <c r="B2727">
        <v>0</v>
      </c>
      <c r="C2727">
        <v>516</v>
      </c>
    </row>
    <row r="2728" spans="1:3" x14ac:dyDescent="0.25">
      <c r="A2728">
        <v>14</v>
      </c>
      <c r="B2728">
        <v>0</v>
      </c>
      <c r="C2728">
        <v>516</v>
      </c>
    </row>
    <row r="2729" spans="1:3" x14ac:dyDescent="0.25">
      <c r="A2729">
        <v>14</v>
      </c>
      <c r="B2729">
        <v>0</v>
      </c>
      <c r="C2729">
        <v>516</v>
      </c>
    </row>
    <row r="2730" spans="1:3" x14ac:dyDescent="0.25">
      <c r="A2730">
        <v>16</v>
      </c>
      <c r="B2730">
        <v>0</v>
      </c>
      <c r="C2730">
        <v>516</v>
      </c>
    </row>
    <row r="2731" spans="1:3" x14ac:dyDescent="0.25">
      <c r="A2731">
        <v>17</v>
      </c>
      <c r="B2731">
        <v>0</v>
      </c>
      <c r="C2731">
        <v>516</v>
      </c>
    </row>
    <row r="2732" spans="1:3" x14ac:dyDescent="0.25">
      <c r="A2732">
        <v>16</v>
      </c>
      <c r="B2732">
        <v>0</v>
      </c>
      <c r="C2732">
        <v>516</v>
      </c>
    </row>
    <row r="2733" spans="1:3" x14ac:dyDescent="0.25">
      <c r="A2733">
        <v>15</v>
      </c>
      <c r="B2733">
        <v>0</v>
      </c>
      <c r="C2733">
        <v>516</v>
      </c>
    </row>
    <row r="2734" spans="1:3" x14ac:dyDescent="0.25">
      <c r="A2734">
        <v>20</v>
      </c>
      <c r="B2734">
        <v>0</v>
      </c>
      <c r="C2734">
        <v>516</v>
      </c>
    </row>
    <row r="2735" spans="1:3" x14ac:dyDescent="0.25">
      <c r="A2735">
        <v>17</v>
      </c>
      <c r="B2735">
        <v>0</v>
      </c>
      <c r="C2735">
        <v>514</v>
      </c>
    </row>
    <row r="2736" spans="1:3" x14ac:dyDescent="0.25">
      <c r="A2736">
        <v>19</v>
      </c>
      <c r="B2736">
        <v>0</v>
      </c>
      <c r="C2736">
        <v>514</v>
      </c>
    </row>
    <row r="2737" spans="1:3" x14ac:dyDescent="0.25">
      <c r="A2737">
        <v>15</v>
      </c>
      <c r="B2737">
        <v>0</v>
      </c>
      <c r="C2737">
        <v>514</v>
      </c>
    </row>
    <row r="2738" spans="1:3" x14ac:dyDescent="0.25">
      <c r="A2738">
        <v>14</v>
      </c>
      <c r="B2738">
        <v>0</v>
      </c>
      <c r="C2738">
        <v>514</v>
      </c>
    </row>
    <row r="2739" spans="1:3" x14ac:dyDescent="0.25">
      <c r="A2739">
        <v>13</v>
      </c>
      <c r="B2739">
        <v>0</v>
      </c>
      <c r="C2739">
        <v>514</v>
      </c>
    </row>
    <row r="2740" spans="1:3" x14ac:dyDescent="0.25">
      <c r="A2740">
        <v>14</v>
      </c>
      <c r="B2740">
        <v>0</v>
      </c>
      <c r="C2740">
        <v>514</v>
      </c>
    </row>
    <row r="2741" spans="1:3" x14ac:dyDescent="0.25">
      <c r="A2741">
        <v>13</v>
      </c>
      <c r="B2741">
        <v>0</v>
      </c>
      <c r="C2741">
        <v>514</v>
      </c>
    </row>
    <row r="2742" spans="1:3" x14ac:dyDescent="0.25">
      <c r="A2742">
        <v>15</v>
      </c>
      <c r="B2742">
        <v>0</v>
      </c>
      <c r="C2742">
        <v>514</v>
      </c>
    </row>
    <row r="2743" spans="1:3" x14ac:dyDescent="0.25">
      <c r="A2743">
        <v>18</v>
      </c>
      <c r="B2743">
        <v>0</v>
      </c>
      <c r="C2743">
        <v>514</v>
      </c>
    </row>
    <row r="2744" spans="1:3" x14ac:dyDescent="0.25">
      <c r="A2744">
        <v>18</v>
      </c>
      <c r="B2744">
        <v>0</v>
      </c>
      <c r="C2744">
        <v>416</v>
      </c>
    </row>
    <row r="2745" spans="1:3" x14ac:dyDescent="0.25">
      <c r="A2745">
        <v>14</v>
      </c>
      <c r="B2745">
        <v>0</v>
      </c>
      <c r="C2745">
        <v>416</v>
      </c>
    </row>
    <row r="2746" spans="1:3" x14ac:dyDescent="0.25">
      <c r="A2746">
        <v>16</v>
      </c>
      <c r="B2746">
        <v>0</v>
      </c>
      <c r="C2746">
        <v>416</v>
      </c>
    </row>
    <row r="2747" spans="1:3" x14ac:dyDescent="0.25">
      <c r="A2747">
        <v>16</v>
      </c>
      <c r="B2747">
        <v>0</v>
      </c>
      <c r="C2747">
        <v>416</v>
      </c>
    </row>
    <row r="2748" spans="1:3" x14ac:dyDescent="0.25">
      <c r="A2748">
        <v>15</v>
      </c>
      <c r="B2748">
        <v>0</v>
      </c>
      <c r="C2748">
        <v>416</v>
      </c>
    </row>
    <row r="2749" spans="1:3" x14ac:dyDescent="0.25">
      <c r="A2749">
        <v>17</v>
      </c>
      <c r="B2749">
        <v>0</v>
      </c>
      <c r="C2749">
        <v>416</v>
      </c>
    </row>
    <row r="2750" spans="1:3" x14ac:dyDescent="0.25">
      <c r="A2750">
        <v>21</v>
      </c>
      <c r="B2750">
        <v>0</v>
      </c>
      <c r="C2750">
        <v>416</v>
      </c>
    </row>
    <row r="2751" spans="1:3" x14ac:dyDescent="0.25">
      <c r="A2751">
        <v>21</v>
      </c>
      <c r="B2751">
        <v>0</v>
      </c>
      <c r="C2751">
        <v>416</v>
      </c>
    </row>
    <row r="2752" spans="1:3" x14ac:dyDescent="0.25">
      <c r="A2752">
        <v>18</v>
      </c>
      <c r="B2752">
        <v>0</v>
      </c>
      <c r="C2752">
        <v>562</v>
      </c>
    </row>
    <row r="2753" spans="1:3" x14ac:dyDescent="0.25">
      <c r="A2753">
        <v>17</v>
      </c>
      <c r="B2753">
        <v>0</v>
      </c>
      <c r="C2753">
        <v>562</v>
      </c>
    </row>
    <row r="2754" spans="1:3" x14ac:dyDescent="0.25">
      <c r="A2754">
        <v>19</v>
      </c>
      <c r="B2754">
        <v>0</v>
      </c>
      <c r="C2754">
        <v>562</v>
      </c>
    </row>
    <row r="2755" spans="1:3" x14ac:dyDescent="0.25">
      <c r="A2755">
        <v>15</v>
      </c>
      <c r="B2755">
        <v>0</v>
      </c>
      <c r="C2755">
        <v>562</v>
      </c>
    </row>
    <row r="2756" spans="1:3" x14ac:dyDescent="0.25">
      <c r="A2756">
        <v>16</v>
      </c>
      <c r="B2756">
        <v>0</v>
      </c>
      <c r="C2756">
        <v>562</v>
      </c>
    </row>
    <row r="2757" spans="1:3" x14ac:dyDescent="0.25">
      <c r="A2757">
        <v>18</v>
      </c>
      <c r="B2757">
        <v>0</v>
      </c>
      <c r="C2757">
        <v>562</v>
      </c>
    </row>
    <row r="2758" spans="1:3" x14ac:dyDescent="0.25">
      <c r="A2758">
        <v>15</v>
      </c>
      <c r="B2758">
        <v>0</v>
      </c>
      <c r="C2758">
        <v>562</v>
      </c>
    </row>
    <row r="2759" spans="1:3" x14ac:dyDescent="0.25">
      <c r="A2759">
        <v>20</v>
      </c>
      <c r="B2759">
        <v>0</v>
      </c>
      <c r="C2759">
        <v>562</v>
      </c>
    </row>
    <row r="2760" spans="1:3" x14ac:dyDescent="0.25">
      <c r="A2760">
        <v>15</v>
      </c>
      <c r="B2760">
        <v>0</v>
      </c>
      <c r="C2760">
        <v>461</v>
      </c>
    </row>
    <row r="2761" spans="1:3" x14ac:dyDescent="0.25">
      <c r="A2761">
        <v>18</v>
      </c>
      <c r="B2761">
        <v>0</v>
      </c>
      <c r="C2761">
        <v>461</v>
      </c>
    </row>
    <row r="2762" spans="1:3" x14ac:dyDescent="0.25">
      <c r="A2762">
        <v>16</v>
      </c>
      <c r="B2762">
        <v>0</v>
      </c>
      <c r="C2762">
        <v>461</v>
      </c>
    </row>
    <row r="2763" spans="1:3" x14ac:dyDescent="0.25">
      <c r="A2763">
        <v>16</v>
      </c>
      <c r="B2763">
        <v>0</v>
      </c>
      <c r="C2763">
        <v>461</v>
      </c>
    </row>
    <row r="2764" spans="1:3" x14ac:dyDescent="0.25">
      <c r="A2764">
        <v>18</v>
      </c>
      <c r="B2764">
        <v>0</v>
      </c>
      <c r="C2764">
        <v>461</v>
      </c>
    </row>
    <row r="2765" spans="1:3" x14ac:dyDescent="0.25">
      <c r="A2765">
        <v>19</v>
      </c>
      <c r="B2765">
        <v>0</v>
      </c>
      <c r="C2765">
        <v>461</v>
      </c>
    </row>
    <row r="2766" spans="1:3" x14ac:dyDescent="0.25">
      <c r="A2766">
        <v>16</v>
      </c>
      <c r="B2766">
        <v>0</v>
      </c>
      <c r="C2766">
        <v>461</v>
      </c>
    </row>
    <row r="2767" spans="1:3" x14ac:dyDescent="0.25">
      <c r="A2767">
        <v>20</v>
      </c>
      <c r="B2767">
        <v>0</v>
      </c>
      <c r="C2767">
        <v>461</v>
      </c>
    </row>
    <row r="2768" spans="1:3" x14ac:dyDescent="0.25">
      <c r="A2768">
        <v>17</v>
      </c>
      <c r="B2768">
        <v>0</v>
      </c>
      <c r="C2768">
        <v>487</v>
      </c>
    </row>
    <row r="2769" spans="1:3" x14ac:dyDescent="0.25">
      <c r="A2769">
        <v>16</v>
      </c>
      <c r="B2769">
        <v>0</v>
      </c>
      <c r="C2769">
        <v>487</v>
      </c>
    </row>
    <row r="2770" spans="1:3" x14ac:dyDescent="0.25">
      <c r="A2770">
        <v>14</v>
      </c>
      <c r="B2770">
        <v>0</v>
      </c>
      <c r="C2770">
        <v>487</v>
      </c>
    </row>
    <row r="2771" spans="1:3" x14ac:dyDescent="0.25">
      <c r="A2771">
        <v>12</v>
      </c>
      <c r="B2771">
        <v>0</v>
      </c>
      <c r="C2771">
        <v>487</v>
      </c>
    </row>
    <row r="2772" spans="1:3" x14ac:dyDescent="0.25">
      <c r="A2772">
        <v>14</v>
      </c>
      <c r="B2772">
        <v>0</v>
      </c>
      <c r="C2772">
        <v>487</v>
      </c>
    </row>
    <row r="2773" spans="1:3" x14ac:dyDescent="0.25">
      <c r="A2773">
        <v>17</v>
      </c>
      <c r="B2773">
        <v>0</v>
      </c>
      <c r="C2773">
        <v>487</v>
      </c>
    </row>
    <row r="2774" spans="1:3" x14ac:dyDescent="0.25">
      <c r="A2774">
        <v>16</v>
      </c>
      <c r="B2774">
        <v>0</v>
      </c>
      <c r="C2774">
        <v>487</v>
      </c>
    </row>
    <row r="2775" spans="1:3" x14ac:dyDescent="0.25">
      <c r="A2775">
        <v>20</v>
      </c>
      <c r="B2775">
        <v>0</v>
      </c>
      <c r="C2775">
        <v>487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H17"/>
  <sheetViews>
    <sheetView workbookViewId="0">
      <selection activeCell="H16" sqref="H16"/>
    </sheetView>
  </sheetViews>
  <sheetFormatPr baseColWidth="10" defaultRowHeight="15" x14ac:dyDescent="0.25"/>
  <cols>
    <col min="2" max="2" width="24" bestFit="1" customWidth="1"/>
    <col min="6" max="6" width="23.140625" bestFit="1" customWidth="1"/>
    <col min="7" max="7" width="21.7109375" bestFit="1" customWidth="1"/>
  </cols>
  <sheetData>
    <row r="1" spans="2:8" ht="15.75" thickBot="1" x14ac:dyDescent="0.3"/>
    <row r="2" spans="2:8" x14ac:dyDescent="0.25">
      <c r="B2" s="1" t="s">
        <v>4</v>
      </c>
      <c r="C2" s="2">
        <v>2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200</v>
      </c>
      <c r="E3" s="11">
        <v>1</v>
      </c>
      <c r="F3" s="7">
        <v>23.215</v>
      </c>
      <c r="G3" s="7">
        <v>0</v>
      </c>
      <c r="H3" s="8">
        <v>0.51878000000000002</v>
      </c>
    </row>
    <row r="4" spans="2:8" ht="15.75" thickBot="1" x14ac:dyDescent="0.3">
      <c r="B4" s="5" t="s">
        <v>6</v>
      </c>
      <c r="C4" s="6">
        <v>40</v>
      </c>
      <c r="E4" s="11">
        <v>2</v>
      </c>
      <c r="F4" s="7">
        <v>17.21</v>
      </c>
      <c r="G4" s="7">
        <v>0</v>
      </c>
      <c r="H4" s="8">
        <v>0.51863000000000004</v>
      </c>
    </row>
    <row r="5" spans="2:8" x14ac:dyDescent="0.25">
      <c r="E5" s="11">
        <v>3</v>
      </c>
      <c r="F5" s="7">
        <v>16.555</v>
      </c>
      <c r="G5" s="7">
        <v>0</v>
      </c>
      <c r="H5" s="8">
        <v>0.50956999999999997</v>
      </c>
    </row>
    <row r="6" spans="2:8" x14ac:dyDescent="0.25">
      <c r="E6" s="11">
        <v>4</v>
      </c>
      <c r="F6" s="7">
        <v>17.114999999999998</v>
      </c>
      <c r="G6" s="7">
        <v>0</v>
      </c>
      <c r="H6" s="8">
        <v>0.51183000000000001</v>
      </c>
    </row>
    <row r="7" spans="2:8" x14ac:dyDescent="0.25">
      <c r="E7" s="11">
        <v>5</v>
      </c>
      <c r="F7" s="7">
        <v>16.835000000000001</v>
      </c>
      <c r="G7" s="7">
        <v>0</v>
      </c>
      <c r="H7" s="8">
        <v>0.50415500000000002</v>
      </c>
    </row>
    <row r="8" spans="2:8" x14ac:dyDescent="0.25">
      <c r="E8" s="11">
        <v>6</v>
      </c>
      <c r="F8" s="7">
        <v>17.12</v>
      </c>
      <c r="G8" s="7">
        <v>0</v>
      </c>
      <c r="H8" s="8">
        <v>0.50863999999999998</v>
      </c>
    </row>
    <row r="9" spans="2:8" x14ac:dyDescent="0.25">
      <c r="E9" s="11">
        <v>7</v>
      </c>
      <c r="F9" s="7">
        <v>17.03</v>
      </c>
      <c r="G9" s="7">
        <v>0</v>
      </c>
      <c r="H9" s="8">
        <v>0.49504000000000004</v>
      </c>
    </row>
    <row r="10" spans="2:8" x14ac:dyDescent="0.25">
      <c r="E10" s="11">
        <v>8</v>
      </c>
      <c r="F10" s="7">
        <v>16.765000000000001</v>
      </c>
      <c r="G10" s="7">
        <v>0</v>
      </c>
      <c r="H10" s="8">
        <v>0.49226999999999999</v>
      </c>
    </row>
    <row r="11" spans="2:8" x14ac:dyDescent="0.25">
      <c r="E11" s="11">
        <v>9</v>
      </c>
      <c r="F11" s="7">
        <v>16.495000000000001</v>
      </c>
      <c r="G11" s="7">
        <v>0</v>
      </c>
      <c r="H11" s="8">
        <v>0.49152499999999999</v>
      </c>
    </row>
    <row r="12" spans="2:8" ht="15.75" thickBot="1" x14ac:dyDescent="0.3">
      <c r="E12" s="12">
        <v>10</v>
      </c>
      <c r="F12" s="9">
        <v>16.579999999999998</v>
      </c>
      <c r="G12" s="9">
        <v>0</v>
      </c>
      <c r="H12" s="10">
        <v>0.49635499999999999</v>
      </c>
    </row>
    <row r="14" spans="2:8" x14ac:dyDescent="0.25">
      <c r="E14" s="23" t="s">
        <v>11</v>
      </c>
      <c r="F14" s="24">
        <f>AVERAGE(F3:F12)</f>
        <v>17.492000000000001</v>
      </c>
      <c r="G14" s="24">
        <f t="shared" ref="G14:H14" si="0">AVERAGE(G3:G12)</f>
        <v>0</v>
      </c>
      <c r="H14" s="24">
        <f t="shared" si="0"/>
        <v>0.50467950000000006</v>
      </c>
    </row>
    <row r="15" spans="2:8" x14ac:dyDescent="0.25">
      <c r="E15" s="22" t="s">
        <v>33</v>
      </c>
      <c r="F15" s="22">
        <f>_xlfn.VAR.S(T2_200_40s[Column1])</f>
        <v>310.08397798899449</v>
      </c>
      <c r="G15" s="22">
        <f>_xlfn.VAR.S(T2_200_40s[Column2])</f>
        <v>0</v>
      </c>
      <c r="H15" s="22">
        <f>_xlfn.VAR.S(T2_200_40s[Column3])*0.00001</f>
        <v>3.4052634114557175E-2</v>
      </c>
    </row>
    <row r="16" spans="2:8" x14ac:dyDescent="0.25">
      <c r="E16" s="22" t="s">
        <v>34</v>
      </c>
      <c r="F16" s="22">
        <f>SQRT(F15)</f>
        <v>17.609201514804539</v>
      </c>
      <c r="G16" s="22">
        <f>SQRT(G15)</f>
        <v>0</v>
      </c>
      <c r="H16" s="22">
        <f>SQRT(H15)</f>
        <v>0.18453355823415202</v>
      </c>
    </row>
    <row r="17" spans="5:8" x14ac:dyDescent="0.25">
      <c r="E17" s="22" t="s">
        <v>35</v>
      </c>
      <c r="F17" s="22">
        <f>MEDIAN(T2_200_40s[Column1])</f>
        <v>17</v>
      </c>
      <c r="G17" s="22">
        <f>MEDIAN(T2_200_40s[Column2])</f>
        <v>0</v>
      </c>
      <c r="H17" s="22">
        <f>MEDIAN(H2:H12)</f>
        <v>0.50639750000000006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2001"/>
  <sheetViews>
    <sheetView topLeftCell="A1964" workbookViewId="0">
      <selection activeCell="J21" sqref="J21"/>
    </sheetView>
  </sheetViews>
  <sheetFormatPr baseColWidth="10" defaultRowHeight="15" x14ac:dyDescent="0.25"/>
  <cols>
    <col min="1" max="3" width="10.710937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>
        <v>566</v>
      </c>
      <c r="B2">
        <v>0</v>
      </c>
      <c r="C2">
        <v>0</v>
      </c>
    </row>
    <row r="3" spans="1:3" x14ac:dyDescent="0.25">
      <c r="A3">
        <v>566</v>
      </c>
      <c r="B3">
        <v>0</v>
      </c>
      <c r="C3">
        <v>0</v>
      </c>
    </row>
    <row r="4" spans="1:3" x14ac:dyDescent="0.25">
      <c r="A4">
        <v>17</v>
      </c>
      <c r="B4">
        <v>0</v>
      </c>
      <c r="C4">
        <v>0</v>
      </c>
    </row>
    <row r="5" spans="1:3" x14ac:dyDescent="0.25">
      <c r="A5">
        <v>17</v>
      </c>
      <c r="B5">
        <v>0</v>
      </c>
      <c r="C5">
        <v>0</v>
      </c>
    </row>
    <row r="6" spans="1:3" x14ac:dyDescent="0.25">
      <c r="A6">
        <v>18</v>
      </c>
      <c r="B6">
        <v>0</v>
      </c>
      <c r="C6">
        <v>0</v>
      </c>
    </row>
    <row r="7" spans="1:3" x14ac:dyDescent="0.25">
      <c r="A7">
        <v>16</v>
      </c>
      <c r="B7">
        <v>0</v>
      </c>
      <c r="C7">
        <v>0</v>
      </c>
    </row>
    <row r="8" spans="1:3" x14ac:dyDescent="0.25">
      <c r="A8">
        <v>18</v>
      </c>
      <c r="B8">
        <v>0</v>
      </c>
      <c r="C8">
        <v>0</v>
      </c>
    </row>
    <row r="9" spans="1:3" x14ac:dyDescent="0.25">
      <c r="A9">
        <v>20</v>
      </c>
      <c r="B9">
        <v>0</v>
      </c>
      <c r="C9">
        <v>0</v>
      </c>
    </row>
    <row r="10" spans="1:3" x14ac:dyDescent="0.25">
      <c r="A10">
        <v>23</v>
      </c>
      <c r="B10">
        <v>0</v>
      </c>
      <c r="C10">
        <v>0</v>
      </c>
    </row>
    <row r="11" spans="1:3" x14ac:dyDescent="0.25">
      <c r="A11">
        <v>19</v>
      </c>
      <c r="B11">
        <v>0</v>
      </c>
      <c r="C11">
        <v>595</v>
      </c>
    </row>
    <row r="12" spans="1:3" x14ac:dyDescent="0.25">
      <c r="A12">
        <v>16</v>
      </c>
      <c r="B12">
        <v>0</v>
      </c>
      <c r="C12">
        <v>595</v>
      </c>
    </row>
    <row r="13" spans="1:3" x14ac:dyDescent="0.25">
      <c r="A13">
        <v>16</v>
      </c>
      <c r="B13">
        <v>0</v>
      </c>
      <c r="C13">
        <v>595</v>
      </c>
    </row>
    <row r="14" spans="1:3" x14ac:dyDescent="0.25">
      <c r="A14">
        <v>19</v>
      </c>
      <c r="B14">
        <v>0</v>
      </c>
      <c r="C14">
        <v>595</v>
      </c>
    </row>
    <row r="15" spans="1:3" x14ac:dyDescent="0.25">
      <c r="A15">
        <v>16</v>
      </c>
      <c r="B15">
        <v>0</v>
      </c>
      <c r="C15">
        <v>595</v>
      </c>
    </row>
    <row r="16" spans="1:3" x14ac:dyDescent="0.25">
      <c r="A16">
        <v>19</v>
      </c>
      <c r="B16">
        <v>0</v>
      </c>
      <c r="C16">
        <v>595</v>
      </c>
    </row>
    <row r="17" spans="1:3" x14ac:dyDescent="0.25">
      <c r="A17">
        <v>20</v>
      </c>
      <c r="B17">
        <v>0</v>
      </c>
      <c r="C17">
        <v>595</v>
      </c>
    </row>
    <row r="18" spans="1:3" x14ac:dyDescent="0.25">
      <c r="A18">
        <v>20</v>
      </c>
      <c r="B18">
        <v>0</v>
      </c>
      <c r="C18">
        <v>595</v>
      </c>
    </row>
    <row r="19" spans="1:3" x14ac:dyDescent="0.25">
      <c r="A19">
        <v>16</v>
      </c>
      <c r="B19">
        <v>0</v>
      </c>
      <c r="C19">
        <v>625</v>
      </c>
    </row>
    <row r="20" spans="1:3" x14ac:dyDescent="0.25">
      <c r="A20">
        <v>16</v>
      </c>
      <c r="B20">
        <v>0</v>
      </c>
      <c r="C20">
        <v>625</v>
      </c>
    </row>
    <row r="21" spans="1:3" x14ac:dyDescent="0.25">
      <c r="A21">
        <v>18</v>
      </c>
      <c r="B21">
        <v>0</v>
      </c>
      <c r="C21">
        <v>625</v>
      </c>
    </row>
    <row r="22" spans="1:3" x14ac:dyDescent="0.25">
      <c r="A22">
        <v>18</v>
      </c>
      <c r="B22">
        <v>0</v>
      </c>
      <c r="C22">
        <v>625</v>
      </c>
    </row>
    <row r="23" spans="1:3" x14ac:dyDescent="0.25">
      <c r="A23">
        <v>15</v>
      </c>
      <c r="B23">
        <v>0</v>
      </c>
      <c r="C23">
        <v>625</v>
      </c>
    </row>
    <row r="24" spans="1:3" x14ac:dyDescent="0.25">
      <c r="A24">
        <v>14</v>
      </c>
      <c r="B24">
        <v>0</v>
      </c>
      <c r="C24">
        <v>625</v>
      </c>
    </row>
    <row r="25" spans="1:3" x14ac:dyDescent="0.25">
      <c r="A25">
        <v>17</v>
      </c>
      <c r="B25">
        <v>0</v>
      </c>
      <c r="C25">
        <v>625</v>
      </c>
    </row>
    <row r="26" spans="1:3" x14ac:dyDescent="0.25">
      <c r="A26">
        <v>21</v>
      </c>
      <c r="B26">
        <v>0</v>
      </c>
      <c r="C26">
        <v>625</v>
      </c>
    </row>
    <row r="27" spans="1:3" x14ac:dyDescent="0.25">
      <c r="A27">
        <v>20</v>
      </c>
      <c r="B27">
        <v>0</v>
      </c>
      <c r="C27">
        <v>489</v>
      </c>
    </row>
    <row r="28" spans="1:3" x14ac:dyDescent="0.25">
      <c r="A28">
        <v>22</v>
      </c>
      <c r="B28">
        <v>0</v>
      </c>
      <c r="C28">
        <v>489</v>
      </c>
    </row>
    <row r="29" spans="1:3" x14ac:dyDescent="0.25">
      <c r="A29">
        <v>17</v>
      </c>
      <c r="B29">
        <v>0</v>
      </c>
      <c r="C29">
        <v>489</v>
      </c>
    </row>
    <row r="30" spans="1:3" x14ac:dyDescent="0.25">
      <c r="A30">
        <v>16</v>
      </c>
      <c r="B30">
        <v>0</v>
      </c>
      <c r="C30">
        <v>489</v>
      </c>
    </row>
    <row r="31" spans="1:3" x14ac:dyDescent="0.25">
      <c r="A31">
        <v>18</v>
      </c>
      <c r="B31">
        <v>0</v>
      </c>
      <c r="C31">
        <v>489</v>
      </c>
    </row>
    <row r="32" spans="1:3" x14ac:dyDescent="0.25">
      <c r="A32">
        <v>19</v>
      </c>
      <c r="B32">
        <v>0</v>
      </c>
      <c r="C32">
        <v>489</v>
      </c>
    </row>
    <row r="33" spans="1:3" x14ac:dyDescent="0.25">
      <c r="A33">
        <v>22</v>
      </c>
      <c r="B33">
        <v>0</v>
      </c>
      <c r="C33">
        <v>489</v>
      </c>
    </row>
    <row r="34" spans="1:3" x14ac:dyDescent="0.25">
      <c r="A34">
        <v>21</v>
      </c>
      <c r="B34">
        <v>0</v>
      </c>
      <c r="C34">
        <v>489</v>
      </c>
    </row>
    <row r="35" spans="1:3" x14ac:dyDescent="0.25">
      <c r="A35">
        <v>19</v>
      </c>
      <c r="B35">
        <v>0</v>
      </c>
      <c r="C35">
        <v>533</v>
      </c>
    </row>
    <row r="36" spans="1:3" x14ac:dyDescent="0.25">
      <c r="A36">
        <v>16</v>
      </c>
      <c r="B36">
        <v>0</v>
      </c>
      <c r="C36">
        <v>533</v>
      </c>
    </row>
    <row r="37" spans="1:3" x14ac:dyDescent="0.25">
      <c r="A37">
        <v>18</v>
      </c>
      <c r="B37">
        <v>0</v>
      </c>
      <c r="C37">
        <v>533</v>
      </c>
    </row>
    <row r="38" spans="1:3" x14ac:dyDescent="0.25">
      <c r="A38">
        <v>18</v>
      </c>
      <c r="B38">
        <v>0</v>
      </c>
      <c r="C38">
        <v>533</v>
      </c>
    </row>
    <row r="39" spans="1:3" x14ac:dyDescent="0.25">
      <c r="A39">
        <v>19</v>
      </c>
      <c r="B39">
        <v>0</v>
      </c>
      <c r="C39">
        <v>533</v>
      </c>
    </row>
    <row r="40" spans="1:3" x14ac:dyDescent="0.25">
      <c r="A40">
        <v>21</v>
      </c>
      <c r="B40">
        <v>0</v>
      </c>
      <c r="C40">
        <v>533</v>
      </c>
    </row>
    <row r="41" spans="1:3" x14ac:dyDescent="0.25">
      <c r="A41">
        <v>23</v>
      </c>
      <c r="B41">
        <v>0</v>
      </c>
      <c r="C41">
        <v>533</v>
      </c>
    </row>
    <row r="42" spans="1:3" x14ac:dyDescent="0.25">
      <c r="A42">
        <v>15</v>
      </c>
      <c r="B42">
        <v>0</v>
      </c>
      <c r="C42">
        <v>533</v>
      </c>
    </row>
    <row r="43" spans="1:3" x14ac:dyDescent="0.25">
      <c r="A43">
        <v>18</v>
      </c>
      <c r="B43">
        <v>0</v>
      </c>
      <c r="C43">
        <v>443</v>
      </c>
    </row>
    <row r="44" spans="1:3" x14ac:dyDescent="0.25">
      <c r="A44">
        <v>20</v>
      </c>
      <c r="B44">
        <v>0</v>
      </c>
      <c r="C44">
        <v>443</v>
      </c>
    </row>
    <row r="45" spans="1:3" x14ac:dyDescent="0.25">
      <c r="A45">
        <v>15</v>
      </c>
      <c r="B45">
        <v>0</v>
      </c>
      <c r="C45">
        <v>443</v>
      </c>
    </row>
    <row r="46" spans="1:3" x14ac:dyDescent="0.25">
      <c r="A46">
        <v>15</v>
      </c>
      <c r="B46">
        <v>0</v>
      </c>
      <c r="C46">
        <v>443</v>
      </c>
    </row>
    <row r="47" spans="1:3" x14ac:dyDescent="0.25">
      <c r="A47">
        <v>17</v>
      </c>
      <c r="B47">
        <v>0</v>
      </c>
      <c r="C47">
        <v>443</v>
      </c>
    </row>
    <row r="48" spans="1:3" x14ac:dyDescent="0.25">
      <c r="A48">
        <v>23</v>
      </c>
      <c r="B48">
        <v>0</v>
      </c>
      <c r="C48">
        <v>443</v>
      </c>
    </row>
    <row r="49" spans="1:3" x14ac:dyDescent="0.25">
      <c r="A49">
        <v>19</v>
      </c>
      <c r="B49">
        <v>0</v>
      </c>
      <c r="C49">
        <v>443</v>
      </c>
    </row>
    <row r="50" spans="1:3" x14ac:dyDescent="0.25">
      <c r="A50">
        <v>15</v>
      </c>
      <c r="B50">
        <v>0</v>
      </c>
      <c r="C50">
        <v>443</v>
      </c>
    </row>
    <row r="51" spans="1:3" x14ac:dyDescent="0.25">
      <c r="A51">
        <v>17</v>
      </c>
      <c r="B51">
        <v>0</v>
      </c>
      <c r="C51">
        <v>494</v>
      </c>
    </row>
    <row r="52" spans="1:3" x14ac:dyDescent="0.25">
      <c r="A52">
        <v>18</v>
      </c>
      <c r="B52">
        <v>0</v>
      </c>
      <c r="C52">
        <v>494</v>
      </c>
    </row>
    <row r="53" spans="1:3" x14ac:dyDescent="0.25">
      <c r="A53">
        <v>15</v>
      </c>
      <c r="B53">
        <v>0</v>
      </c>
      <c r="C53">
        <v>494</v>
      </c>
    </row>
    <row r="54" spans="1:3" x14ac:dyDescent="0.25">
      <c r="A54">
        <v>18</v>
      </c>
      <c r="B54">
        <v>0</v>
      </c>
      <c r="C54">
        <v>494</v>
      </c>
    </row>
    <row r="55" spans="1:3" x14ac:dyDescent="0.25">
      <c r="A55">
        <v>16</v>
      </c>
      <c r="B55">
        <v>0</v>
      </c>
      <c r="C55">
        <v>494</v>
      </c>
    </row>
    <row r="56" spans="1:3" x14ac:dyDescent="0.25">
      <c r="A56">
        <v>21</v>
      </c>
      <c r="B56">
        <v>0</v>
      </c>
      <c r="C56">
        <v>494</v>
      </c>
    </row>
    <row r="57" spans="1:3" x14ac:dyDescent="0.25">
      <c r="A57">
        <v>18</v>
      </c>
      <c r="B57">
        <v>0</v>
      </c>
      <c r="C57">
        <v>494</v>
      </c>
    </row>
    <row r="58" spans="1:3" x14ac:dyDescent="0.25">
      <c r="A58">
        <v>17</v>
      </c>
      <c r="B58">
        <v>0</v>
      </c>
      <c r="C58">
        <v>494</v>
      </c>
    </row>
    <row r="59" spans="1:3" x14ac:dyDescent="0.25">
      <c r="A59">
        <v>15</v>
      </c>
      <c r="B59">
        <v>0</v>
      </c>
      <c r="C59">
        <v>482</v>
      </c>
    </row>
    <row r="60" spans="1:3" x14ac:dyDescent="0.25">
      <c r="A60">
        <v>17</v>
      </c>
      <c r="B60">
        <v>0</v>
      </c>
      <c r="C60">
        <v>482</v>
      </c>
    </row>
    <row r="61" spans="1:3" x14ac:dyDescent="0.25">
      <c r="A61">
        <v>19</v>
      </c>
      <c r="B61">
        <v>0</v>
      </c>
      <c r="C61">
        <v>482</v>
      </c>
    </row>
    <row r="62" spans="1:3" x14ac:dyDescent="0.25">
      <c r="A62">
        <v>17</v>
      </c>
      <c r="B62">
        <v>0</v>
      </c>
      <c r="C62">
        <v>482</v>
      </c>
    </row>
    <row r="63" spans="1:3" x14ac:dyDescent="0.25">
      <c r="A63">
        <v>21</v>
      </c>
      <c r="B63">
        <v>0</v>
      </c>
      <c r="C63">
        <v>482</v>
      </c>
    </row>
    <row r="64" spans="1:3" x14ac:dyDescent="0.25">
      <c r="A64">
        <v>19</v>
      </c>
      <c r="B64">
        <v>0</v>
      </c>
      <c r="C64">
        <v>482</v>
      </c>
    </row>
    <row r="65" spans="1:3" x14ac:dyDescent="0.25">
      <c r="A65">
        <v>16</v>
      </c>
      <c r="B65">
        <v>0</v>
      </c>
      <c r="C65">
        <v>482</v>
      </c>
    </row>
    <row r="66" spans="1:3" x14ac:dyDescent="0.25">
      <c r="A66">
        <v>19</v>
      </c>
      <c r="B66">
        <v>0</v>
      </c>
      <c r="C66">
        <v>482</v>
      </c>
    </row>
    <row r="67" spans="1:3" x14ac:dyDescent="0.25">
      <c r="A67">
        <v>18</v>
      </c>
      <c r="B67">
        <v>0</v>
      </c>
      <c r="C67">
        <v>539</v>
      </c>
    </row>
    <row r="68" spans="1:3" x14ac:dyDescent="0.25">
      <c r="A68">
        <v>17</v>
      </c>
      <c r="B68">
        <v>0</v>
      </c>
      <c r="C68">
        <v>539</v>
      </c>
    </row>
    <row r="69" spans="1:3" x14ac:dyDescent="0.25">
      <c r="A69">
        <v>18</v>
      </c>
      <c r="B69">
        <v>0</v>
      </c>
      <c r="C69">
        <v>539</v>
      </c>
    </row>
    <row r="70" spans="1:3" x14ac:dyDescent="0.25">
      <c r="A70">
        <v>18</v>
      </c>
      <c r="B70">
        <v>0</v>
      </c>
      <c r="C70">
        <v>539</v>
      </c>
    </row>
    <row r="71" spans="1:3" x14ac:dyDescent="0.25">
      <c r="A71">
        <v>18</v>
      </c>
      <c r="B71">
        <v>0</v>
      </c>
      <c r="C71">
        <v>539</v>
      </c>
    </row>
    <row r="72" spans="1:3" x14ac:dyDescent="0.25">
      <c r="A72">
        <v>15</v>
      </c>
      <c r="B72">
        <v>0</v>
      </c>
      <c r="C72">
        <v>539</v>
      </c>
    </row>
    <row r="73" spans="1:3" x14ac:dyDescent="0.25">
      <c r="A73">
        <v>18</v>
      </c>
      <c r="B73">
        <v>0</v>
      </c>
      <c r="C73">
        <v>539</v>
      </c>
    </row>
    <row r="74" spans="1:3" x14ac:dyDescent="0.25">
      <c r="A74">
        <v>16</v>
      </c>
      <c r="B74">
        <v>0</v>
      </c>
      <c r="C74">
        <v>539</v>
      </c>
    </row>
    <row r="75" spans="1:3" x14ac:dyDescent="0.25">
      <c r="A75">
        <v>19</v>
      </c>
      <c r="B75">
        <v>0</v>
      </c>
      <c r="C75">
        <v>516</v>
      </c>
    </row>
    <row r="76" spans="1:3" x14ac:dyDescent="0.25">
      <c r="A76">
        <v>17</v>
      </c>
      <c r="B76">
        <v>0</v>
      </c>
      <c r="C76">
        <v>516</v>
      </c>
    </row>
    <row r="77" spans="1:3" x14ac:dyDescent="0.25">
      <c r="A77">
        <v>17</v>
      </c>
      <c r="B77">
        <v>0</v>
      </c>
      <c r="C77">
        <v>516</v>
      </c>
    </row>
    <row r="78" spans="1:3" x14ac:dyDescent="0.25">
      <c r="A78">
        <v>21</v>
      </c>
      <c r="B78">
        <v>0</v>
      </c>
      <c r="C78">
        <v>516</v>
      </c>
    </row>
    <row r="79" spans="1:3" x14ac:dyDescent="0.25">
      <c r="A79">
        <v>19</v>
      </c>
      <c r="B79">
        <v>0</v>
      </c>
      <c r="C79">
        <v>516</v>
      </c>
    </row>
    <row r="80" spans="1:3" x14ac:dyDescent="0.25">
      <c r="A80">
        <v>17</v>
      </c>
      <c r="B80">
        <v>0</v>
      </c>
      <c r="C80">
        <v>516</v>
      </c>
    </row>
    <row r="81" spans="1:3" x14ac:dyDescent="0.25">
      <c r="A81">
        <v>14</v>
      </c>
      <c r="B81">
        <v>0</v>
      </c>
      <c r="C81">
        <v>516</v>
      </c>
    </row>
    <row r="82" spans="1:3" x14ac:dyDescent="0.25">
      <c r="A82">
        <v>19</v>
      </c>
      <c r="B82">
        <v>0</v>
      </c>
      <c r="C82">
        <v>516</v>
      </c>
    </row>
    <row r="83" spans="1:3" x14ac:dyDescent="0.25">
      <c r="A83">
        <v>17</v>
      </c>
      <c r="B83">
        <v>0</v>
      </c>
      <c r="C83">
        <v>566</v>
      </c>
    </row>
    <row r="84" spans="1:3" x14ac:dyDescent="0.25">
      <c r="A84">
        <v>19</v>
      </c>
      <c r="B84">
        <v>0</v>
      </c>
      <c r="C84">
        <v>566</v>
      </c>
    </row>
    <row r="85" spans="1:3" x14ac:dyDescent="0.25">
      <c r="A85">
        <v>18</v>
      </c>
      <c r="B85">
        <v>0</v>
      </c>
      <c r="C85">
        <v>566</v>
      </c>
    </row>
    <row r="86" spans="1:3" x14ac:dyDescent="0.25">
      <c r="A86">
        <v>20</v>
      </c>
      <c r="B86">
        <v>0</v>
      </c>
      <c r="C86">
        <v>566</v>
      </c>
    </row>
    <row r="87" spans="1:3" x14ac:dyDescent="0.25">
      <c r="A87">
        <v>16</v>
      </c>
      <c r="B87">
        <v>0</v>
      </c>
      <c r="C87">
        <v>566</v>
      </c>
    </row>
    <row r="88" spans="1:3" x14ac:dyDescent="0.25">
      <c r="A88">
        <v>18</v>
      </c>
      <c r="B88">
        <v>0</v>
      </c>
      <c r="C88">
        <v>566</v>
      </c>
    </row>
    <row r="89" spans="1:3" x14ac:dyDescent="0.25">
      <c r="A89">
        <v>21</v>
      </c>
      <c r="B89">
        <v>0</v>
      </c>
      <c r="C89">
        <v>566</v>
      </c>
    </row>
    <row r="90" spans="1:3" x14ac:dyDescent="0.25">
      <c r="A90">
        <v>18</v>
      </c>
      <c r="B90">
        <v>0</v>
      </c>
      <c r="C90">
        <v>566</v>
      </c>
    </row>
    <row r="91" spans="1:3" x14ac:dyDescent="0.25">
      <c r="A91">
        <v>15</v>
      </c>
      <c r="B91">
        <v>0</v>
      </c>
      <c r="C91">
        <v>481</v>
      </c>
    </row>
    <row r="92" spans="1:3" x14ac:dyDescent="0.25">
      <c r="A92">
        <v>17</v>
      </c>
      <c r="B92">
        <v>0</v>
      </c>
      <c r="C92">
        <v>481</v>
      </c>
    </row>
    <row r="93" spans="1:3" x14ac:dyDescent="0.25">
      <c r="A93">
        <v>18</v>
      </c>
      <c r="B93">
        <v>0</v>
      </c>
      <c r="C93">
        <v>481</v>
      </c>
    </row>
    <row r="94" spans="1:3" x14ac:dyDescent="0.25">
      <c r="A94">
        <v>22</v>
      </c>
      <c r="B94">
        <v>0</v>
      </c>
      <c r="C94">
        <v>481</v>
      </c>
    </row>
    <row r="95" spans="1:3" x14ac:dyDescent="0.25">
      <c r="A95">
        <v>16</v>
      </c>
      <c r="B95">
        <v>0</v>
      </c>
      <c r="C95">
        <v>481</v>
      </c>
    </row>
    <row r="96" spans="1:3" x14ac:dyDescent="0.25">
      <c r="A96">
        <v>17</v>
      </c>
      <c r="B96">
        <v>0</v>
      </c>
      <c r="C96">
        <v>481</v>
      </c>
    </row>
    <row r="97" spans="1:3" x14ac:dyDescent="0.25">
      <c r="A97">
        <v>17</v>
      </c>
      <c r="B97">
        <v>0</v>
      </c>
      <c r="C97">
        <v>481</v>
      </c>
    </row>
    <row r="98" spans="1:3" x14ac:dyDescent="0.25">
      <c r="A98">
        <v>16</v>
      </c>
      <c r="B98">
        <v>0</v>
      </c>
      <c r="C98">
        <v>481</v>
      </c>
    </row>
    <row r="99" spans="1:3" x14ac:dyDescent="0.25">
      <c r="A99">
        <v>16</v>
      </c>
      <c r="B99">
        <v>0</v>
      </c>
      <c r="C99">
        <v>481</v>
      </c>
    </row>
    <row r="100" spans="1:3" x14ac:dyDescent="0.25">
      <c r="A100">
        <v>18</v>
      </c>
      <c r="B100">
        <v>0</v>
      </c>
      <c r="C100">
        <v>538</v>
      </c>
    </row>
    <row r="101" spans="1:3" x14ac:dyDescent="0.25">
      <c r="A101">
        <v>21</v>
      </c>
      <c r="B101">
        <v>0</v>
      </c>
      <c r="C101">
        <v>538</v>
      </c>
    </row>
    <row r="102" spans="1:3" x14ac:dyDescent="0.25">
      <c r="A102">
        <v>19</v>
      </c>
      <c r="B102">
        <v>0</v>
      </c>
      <c r="C102">
        <v>538</v>
      </c>
    </row>
    <row r="103" spans="1:3" x14ac:dyDescent="0.25">
      <c r="A103">
        <v>17</v>
      </c>
      <c r="B103">
        <v>0</v>
      </c>
      <c r="C103">
        <v>538</v>
      </c>
    </row>
    <row r="104" spans="1:3" x14ac:dyDescent="0.25">
      <c r="A104">
        <v>14</v>
      </c>
      <c r="B104">
        <v>0</v>
      </c>
      <c r="C104">
        <v>538</v>
      </c>
    </row>
    <row r="105" spans="1:3" x14ac:dyDescent="0.25">
      <c r="A105">
        <v>14</v>
      </c>
      <c r="B105">
        <v>0</v>
      </c>
      <c r="C105">
        <v>538</v>
      </c>
    </row>
    <row r="106" spans="1:3" x14ac:dyDescent="0.25">
      <c r="A106">
        <v>13</v>
      </c>
      <c r="B106">
        <v>0</v>
      </c>
      <c r="C106">
        <v>538</v>
      </c>
    </row>
    <row r="107" spans="1:3" x14ac:dyDescent="0.25">
      <c r="A107">
        <v>16</v>
      </c>
      <c r="B107">
        <v>0</v>
      </c>
      <c r="C107">
        <v>538</v>
      </c>
    </row>
    <row r="108" spans="1:3" x14ac:dyDescent="0.25">
      <c r="A108">
        <v>16</v>
      </c>
      <c r="B108">
        <v>0</v>
      </c>
      <c r="C108">
        <v>571</v>
      </c>
    </row>
    <row r="109" spans="1:3" x14ac:dyDescent="0.25">
      <c r="A109">
        <v>21</v>
      </c>
      <c r="B109">
        <v>0</v>
      </c>
      <c r="C109">
        <v>571</v>
      </c>
    </row>
    <row r="110" spans="1:3" x14ac:dyDescent="0.25">
      <c r="A110">
        <v>19</v>
      </c>
      <c r="B110">
        <v>0</v>
      </c>
      <c r="C110">
        <v>571</v>
      </c>
    </row>
    <row r="111" spans="1:3" x14ac:dyDescent="0.25">
      <c r="A111">
        <v>18</v>
      </c>
      <c r="B111">
        <v>0</v>
      </c>
      <c r="C111">
        <v>571</v>
      </c>
    </row>
    <row r="112" spans="1:3" x14ac:dyDescent="0.25">
      <c r="A112">
        <v>17</v>
      </c>
      <c r="B112">
        <v>0</v>
      </c>
      <c r="C112">
        <v>571</v>
      </c>
    </row>
    <row r="113" spans="1:3" x14ac:dyDescent="0.25">
      <c r="A113">
        <v>18</v>
      </c>
      <c r="B113">
        <v>0</v>
      </c>
      <c r="C113">
        <v>571</v>
      </c>
    </row>
    <row r="114" spans="1:3" x14ac:dyDescent="0.25">
      <c r="A114">
        <v>16</v>
      </c>
      <c r="B114">
        <v>0</v>
      </c>
      <c r="C114">
        <v>571</v>
      </c>
    </row>
    <row r="115" spans="1:3" x14ac:dyDescent="0.25">
      <c r="A115">
        <v>18</v>
      </c>
      <c r="B115">
        <v>0</v>
      </c>
      <c r="C115">
        <v>571</v>
      </c>
    </row>
    <row r="116" spans="1:3" x14ac:dyDescent="0.25">
      <c r="A116">
        <v>17</v>
      </c>
      <c r="B116">
        <v>0</v>
      </c>
      <c r="C116">
        <v>487</v>
      </c>
    </row>
    <row r="117" spans="1:3" x14ac:dyDescent="0.25">
      <c r="A117">
        <v>21</v>
      </c>
      <c r="B117">
        <v>0</v>
      </c>
      <c r="C117">
        <v>487</v>
      </c>
    </row>
    <row r="118" spans="1:3" x14ac:dyDescent="0.25">
      <c r="A118">
        <v>18</v>
      </c>
      <c r="B118">
        <v>0</v>
      </c>
      <c r="C118">
        <v>487</v>
      </c>
    </row>
    <row r="119" spans="1:3" x14ac:dyDescent="0.25">
      <c r="A119">
        <v>15</v>
      </c>
      <c r="B119">
        <v>0</v>
      </c>
      <c r="C119">
        <v>487</v>
      </c>
    </row>
    <row r="120" spans="1:3" x14ac:dyDescent="0.25">
      <c r="A120">
        <v>14</v>
      </c>
      <c r="B120">
        <v>0</v>
      </c>
      <c r="C120">
        <v>487</v>
      </c>
    </row>
    <row r="121" spans="1:3" x14ac:dyDescent="0.25">
      <c r="A121">
        <v>14</v>
      </c>
      <c r="B121">
        <v>0</v>
      </c>
      <c r="C121">
        <v>487</v>
      </c>
    </row>
    <row r="122" spans="1:3" x14ac:dyDescent="0.25">
      <c r="A122">
        <v>17</v>
      </c>
      <c r="B122">
        <v>0</v>
      </c>
      <c r="C122">
        <v>487</v>
      </c>
    </row>
    <row r="123" spans="1:3" x14ac:dyDescent="0.25">
      <c r="A123">
        <v>19</v>
      </c>
      <c r="B123">
        <v>0</v>
      </c>
      <c r="C123">
        <v>487</v>
      </c>
    </row>
    <row r="124" spans="1:3" x14ac:dyDescent="0.25">
      <c r="A124">
        <v>20</v>
      </c>
      <c r="B124">
        <v>0</v>
      </c>
      <c r="C124">
        <v>627</v>
      </c>
    </row>
    <row r="125" spans="1:3" x14ac:dyDescent="0.25">
      <c r="A125">
        <v>22</v>
      </c>
      <c r="B125">
        <v>0</v>
      </c>
      <c r="C125">
        <v>627</v>
      </c>
    </row>
    <row r="126" spans="1:3" x14ac:dyDescent="0.25">
      <c r="A126">
        <v>22</v>
      </c>
      <c r="B126">
        <v>0</v>
      </c>
      <c r="C126">
        <v>627</v>
      </c>
    </row>
    <row r="127" spans="1:3" x14ac:dyDescent="0.25">
      <c r="A127">
        <v>20</v>
      </c>
      <c r="B127">
        <v>0</v>
      </c>
      <c r="C127">
        <v>627</v>
      </c>
    </row>
    <row r="128" spans="1:3" x14ac:dyDescent="0.25">
      <c r="A128">
        <v>20</v>
      </c>
      <c r="B128">
        <v>0</v>
      </c>
      <c r="C128">
        <v>627</v>
      </c>
    </row>
    <row r="129" spans="1:3" x14ac:dyDescent="0.25">
      <c r="A129">
        <v>18</v>
      </c>
      <c r="B129">
        <v>0</v>
      </c>
      <c r="C129">
        <v>627</v>
      </c>
    </row>
    <row r="130" spans="1:3" x14ac:dyDescent="0.25">
      <c r="A130">
        <v>19</v>
      </c>
      <c r="B130">
        <v>0</v>
      </c>
      <c r="C130">
        <v>627</v>
      </c>
    </row>
    <row r="131" spans="1:3" x14ac:dyDescent="0.25">
      <c r="A131">
        <v>22</v>
      </c>
      <c r="B131">
        <v>0</v>
      </c>
      <c r="C131">
        <v>774</v>
      </c>
    </row>
    <row r="132" spans="1:3" x14ac:dyDescent="0.25">
      <c r="A132">
        <v>21</v>
      </c>
      <c r="B132">
        <v>0</v>
      </c>
      <c r="C132">
        <v>774</v>
      </c>
    </row>
    <row r="133" spans="1:3" x14ac:dyDescent="0.25">
      <c r="A133">
        <v>25</v>
      </c>
      <c r="B133">
        <v>0</v>
      </c>
      <c r="C133">
        <v>774</v>
      </c>
    </row>
    <row r="134" spans="1:3" x14ac:dyDescent="0.25">
      <c r="A134">
        <v>17</v>
      </c>
      <c r="B134">
        <v>0</v>
      </c>
      <c r="C134">
        <v>774</v>
      </c>
    </row>
    <row r="135" spans="1:3" x14ac:dyDescent="0.25">
      <c r="A135">
        <v>20</v>
      </c>
      <c r="B135">
        <v>0</v>
      </c>
      <c r="C135">
        <v>774</v>
      </c>
    </row>
    <row r="136" spans="1:3" x14ac:dyDescent="0.25">
      <c r="A136">
        <v>18</v>
      </c>
      <c r="B136">
        <v>0</v>
      </c>
      <c r="C136">
        <v>774</v>
      </c>
    </row>
    <row r="137" spans="1:3" x14ac:dyDescent="0.25">
      <c r="A137">
        <v>22</v>
      </c>
      <c r="B137">
        <v>0</v>
      </c>
      <c r="C137">
        <v>774</v>
      </c>
    </row>
    <row r="138" spans="1:3" x14ac:dyDescent="0.25">
      <c r="A138">
        <v>19</v>
      </c>
      <c r="B138">
        <v>0</v>
      </c>
      <c r="C138">
        <v>774</v>
      </c>
    </row>
    <row r="139" spans="1:3" x14ac:dyDescent="0.25">
      <c r="A139">
        <v>21</v>
      </c>
      <c r="B139">
        <v>0</v>
      </c>
      <c r="C139">
        <v>703</v>
      </c>
    </row>
    <row r="140" spans="1:3" x14ac:dyDescent="0.25">
      <c r="A140">
        <v>21</v>
      </c>
      <c r="B140">
        <v>0</v>
      </c>
      <c r="C140">
        <v>703</v>
      </c>
    </row>
    <row r="141" spans="1:3" x14ac:dyDescent="0.25">
      <c r="A141">
        <v>17</v>
      </c>
      <c r="B141">
        <v>0</v>
      </c>
      <c r="C141">
        <v>703</v>
      </c>
    </row>
    <row r="142" spans="1:3" x14ac:dyDescent="0.25">
      <c r="A142">
        <v>14</v>
      </c>
      <c r="B142">
        <v>0</v>
      </c>
      <c r="C142">
        <v>703</v>
      </c>
    </row>
    <row r="143" spans="1:3" x14ac:dyDescent="0.25">
      <c r="A143">
        <v>15</v>
      </c>
      <c r="B143">
        <v>0</v>
      </c>
      <c r="C143">
        <v>703</v>
      </c>
    </row>
    <row r="144" spans="1:3" x14ac:dyDescent="0.25">
      <c r="A144">
        <v>17</v>
      </c>
      <c r="B144">
        <v>0</v>
      </c>
      <c r="C144">
        <v>703</v>
      </c>
    </row>
    <row r="145" spans="1:3" x14ac:dyDescent="0.25">
      <c r="A145">
        <v>15</v>
      </c>
      <c r="B145">
        <v>0</v>
      </c>
      <c r="C145">
        <v>703</v>
      </c>
    </row>
    <row r="146" spans="1:3" x14ac:dyDescent="0.25">
      <c r="A146">
        <v>14</v>
      </c>
      <c r="B146">
        <v>0</v>
      </c>
      <c r="C146">
        <v>703</v>
      </c>
    </row>
    <row r="147" spans="1:3" x14ac:dyDescent="0.25">
      <c r="A147">
        <v>22</v>
      </c>
      <c r="B147">
        <v>0</v>
      </c>
      <c r="C147">
        <v>703</v>
      </c>
    </row>
    <row r="148" spans="1:3" x14ac:dyDescent="0.25">
      <c r="A148">
        <v>14</v>
      </c>
      <c r="B148">
        <v>0</v>
      </c>
      <c r="C148">
        <v>497</v>
      </c>
    </row>
    <row r="149" spans="1:3" x14ac:dyDescent="0.25">
      <c r="A149">
        <v>15</v>
      </c>
      <c r="B149">
        <v>0</v>
      </c>
      <c r="C149">
        <v>497</v>
      </c>
    </row>
    <row r="150" spans="1:3" x14ac:dyDescent="0.25">
      <c r="A150">
        <v>17</v>
      </c>
      <c r="B150">
        <v>0</v>
      </c>
      <c r="C150">
        <v>497</v>
      </c>
    </row>
    <row r="151" spans="1:3" x14ac:dyDescent="0.25">
      <c r="A151">
        <v>14</v>
      </c>
      <c r="B151">
        <v>0</v>
      </c>
      <c r="C151">
        <v>497</v>
      </c>
    </row>
    <row r="152" spans="1:3" x14ac:dyDescent="0.25">
      <c r="A152">
        <v>14</v>
      </c>
      <c r="B152">
        <v>0</v>
      </c>
      <c r="C152">
        <v>497</v>
      </c>
    </row>
    <row r="153" spans="1:3" x14ac:dyDescent="0.25">
      <c r="A153">
        <v>17</v>
      </c>
      <c r="B153">
        <v>0</v>
      </c>
      <c r="C153">
        <v>497</v>
      </c>
    </row>
    <row r="154" spans="1:3" x14ac:dyDescent="0.25">
      <c r="A154">
        <v>18</v>
      </c>
      <c r="B154">
        <v>0</v>
      </c>
      <c r="C154">
        <v>497</v>
      </c>
    </row>
    <row r="155" spans="1:3" x14ac:dyDescent="0.25">
      <c r="A155">
        <v>21</v>
      </c>
      <c r="B155">
        <v>0</v>
      </c>
      <c r="C155">
        <v>497</v>
      </c>
    </row>
    <row r="156" spans="1:3" x14ac:dyDescent="0.25">
      <c r="A156">
        <v>19</v>
      </c>
      <c r="B156">
        <v>0</v>
      </c>
      <c r="C156">
        <v>497</v>
      </c>
    </row>
    <row r="157" spans="1:3" x14ac:dyDescent="0.25">
      <c r="A157">
        <v>17</v>
      </c>
      <c r="B157">
        <v>0</v>
      </c>
      <c r="C157">
        <v>512</v>
      </c>
    </row>
    <row r="158" spans="1:3" x14ac:dyDescent="0.25">
      <c r="A158">
        <v>15</v>
      </c>
      <c r="B158">
        <v>0</v>
      </c>
      <c r="C158">
        <v>512</v>
      </c>
    </row>
    <row r="159" spans="1:3" x14ac:dyDescent="0.25">
      <c r="A159">
        <v>17</v>
      </c>
      <c r="B159">
        <v>0</v>
      </c>
      <c r="C159">
        <v>512</v>
      </c>
    </row>
    <row r="160" spans="1:3" x14ac:dyDescent="0.25">
      <c r="A160">
        <v>20</v>
      </c>
      <c r="B160">
        <v>0</v>
      </c>
      <c r="C160">
        <v>512</v>
      </c>
    </row>
    <row r="161" spans="1:3" x14ac:dyDescent="0.25">
      <c r="A161">
        <v>18</v>
      </c>
      <c r="B161">
        <v>0</v>
      </c>
      <c r="C161">
        <v>512</v>
      </c>
    </row>
    <row r="162" spans="1:3" x14ac:dyDescent="0.25">
      <c r="A162">
        <v>20</v>
      </c>
      <c r="B162">
        <v>0</v>
      </c>
      <c r="C162">
        <v>512</v>
      </c>
    </row>
    <row r="163" spans="1:3" x14ac:dyDescent="0.25">
      <c r="A163">
        <v>19</v>
      </c>
      <c r="B163">
        <v>0</v>
      </c>
      <c r="C163">
        <v>512</v>
      </c>
    </row>
    <row r="164" spans="1:3" x14ac:dyDescent="0.25">
      <c r="A164">
        <v>18</v>
      </c>
      <c r="B164">
        <v>0</v>
      </c>
      <c r="C164">
        <v>512</v>
      </c>
    </row>
    <row r="165" spans="1:3" x14ac:dyDescent="0.25">
      <c r="A165">
        <v>13</v>
      </c>
      <c r="B165">
        <v>0</v>
      </c>
      <c r="C165">
        <v>512</v>
      </c>
    </row>
    <row r="166" spans="1:3" x14ac:dyDescent="0.25">
      <c r="A166">
        <v>19</v>
      </c>
      <c r="B166">
        <v>0</v>
      </c>
      <c r="C166">
        <v>529</v>
      </c>
    </row>
    <row r="167" spans="1:3" x14ac:dyDescent="0.25">
      <c r="A167">
        <v>14</v>
      </c>
      <c r="B167">
        <v>0</v>
      </c>
      <c r="C167">
        <v>529</v>
      </c>
    </row>
    <row r="168" spans="1:3" x14ac:dyDescent="0.25">
      <c r="A168">
        <v>16</v>
      </c>
      <c r="B168">
        <v>0</v>
      </c>
      <c r="C168">
        <v>529</v>
      </c>
    </row>
    <row r="169" spans="1:3" x14ac:dyDescent="0.25">
      <c r="A169">
        <v>17</v>
      </c>
      <c r="B169">
        <v>0</v>
      </c>
      <c r="C169">
        <v>529</v>
      </c>
    </row>
    <row r="170" spans="1:3" x14ac:dyDescent="0.25">
      <c r="A170">
        <v>16</v>
      </c>
      <c r="B170">
        <v>0</v>
      </c>
      <c r="C170">
        <v>529</v>
      </c>
    </row>
    <row r="171" spans="1:3" x14ac:dyDescent="0.25">
      <c r="A171">
        <v>17</v>
      </c>
      <c r="B171">
        <v>0</v>
      </c>
      <c r="C171">
        <v>529</v>
      </c>
    </row>
    <row r="172" spans="1:3" x14ac:dyDescent="0.25">
      <c r="A172">
        <v>16</v>
      </c>
      <c r="B172">
        <v>0</v>
      </c>
      <c r="C172">
        <v>529</v>
      </c>
    </row>
    <row r="173" spans="1:3" x14ac:dyDescent="0.25">
      <c r="A173">
        <v>16</v>
      </c>
      <c r="B173">
        <v>0</v>
      </c>
      <c r="C173">
        <v>529</v>
      </c>
    </row>
    <row r="174" spans="1:3" x14ac:dyDescent="0.25">
      <c r="A174">
        <v>16</v>
      </c>
      <c r="B174">
        <v>0</v>
      </c>
      <c r="C174">
        <v>529</v>
      </c>
    </row>
    <row r="175" spans="1:3" x14ac:dyDescent="0.25">
      <c r="A175">
        <v>17</v>
      </c>
      <c r="B175">
        <v>0</v>
      </c>
      <c r="C175">
        <v>516</v>
      </c>
    </row>
    <row r="176" spans="1:3" x14ac:dyDescent="0.25">
      <c r="A176">
        <v>20</v>
      </c>
      <c r="B176">
        <v>0</v>
      </c>
      <c r="C176">
        <v>516</v>
      </c>
    </row>
    <row r="177" spans="1:3" x14ac:dyDescent="0.25">
      <c r="A177">
        <v>19</v>
      </c>
      <c r="B177">
        <v>0</v>
      </c>
      <c r="C177">
        <v>516</v>
      </c>
    </row>
    <row r="178" spans="1:3" x14ac:dyDescent="0.25">
      <c r="A178">
        <v>13</v>
      </c>
      <c r="B178">
        <v>0</v>
      </c>
      <c r="C178">
        <v>516</v>
      </c>
    </row>
    <row r="179" spans="1:3" x14ac:dyDescent="0.25">
      <c r="A179">
        <v>15</v>
      </c>
      <c r="B179">
        <v>0</v>
      </c>
      <c r="C179">
        <v>516</v>
      </c>
    </row>
    <row r="180" spans="1:3" x14ac:dyDescent="0.25">
      <c r="A180">
        <v>22</v>
      </c>
      <c r="B180">
        <v>0</v>
      </c>
      <c r="C180">
        <v>516</v>
      </c>
    </row>
    <row r="181" spans="1:3" x14ac:dyDescent="0.25">
      <c r="A181">
        <v>18</v>
      </c>
      <c r="B181">
        <v>0</v>
      </c>
      <c r="C181">
        <v>516</v>
      </c>
    </row>
    <row r="182" spans="1:3" x14ac:dyDescent="0.25">
      <c r="A182">
        <v>14</v>
      </c>
      <c r="B182">
        <v>0</v>
      </c>
      <c r="C182">
        <v>516</v>
      </c>
    </row>
    <row r="183" spans="1:3" x14ac:dyDescent="0.25">
      <c r="A183">
        <v>16</v>
      </c>
      <c r="B183">
        <v>0</v>
      </c>
      <c r="C183">
        <v>516</v>
      </c>
    </row>
    <row r="184" spans="1:3" x14ac:dyDescent="0.25">
      <c r="A184">
        <v>17</v>
      </c>
      <c r="B184">
        <v>0</v>
      </c>
      <c r="C184">
        <v>480</v>
      </c>
    </row>
    <row r="185" spans="1:3" x14ac:dyDescent="0.25">
      <c r="A185">
        <v>17</v>
      </c>
      <c r="B185">
        <v>0</v>
      </c>
      <c r="C185">
        <v>480</v>
      </c>
    </row>
    <row r="186" spans="1:3" x14ac:dyDescent="0.25">
      <c r="A186">
        <v>18</v>
      </c>
      <c r="B186">
        <v>0</v>
      </c>
      <c r="C186">
        <v>480</v>
      </c>
    </row>
    <row r="187" spans="1:3" x14ac:dyDescent="0.25">
      <c r="A187">
        <v>17</v>
      </c>
      <c r="B187">
        <v>0</v>
      </c>
      <c r="C187">
        <v>480</v>
      </c>
    </row>
    <row r="188" spans="1:3" x14ac:dyDescent="0.25">
      <c r="A188">
        <v>22</v>
      </c>
      <c r="B188">
        <v>0</v>
      </c>
      <c r="C188">
        <v>480</v>
      </c>
    </row>
    <row r="189" spans="1:3" x14ac:dyDescent="0.25">
      <c r="A189">
        <v>19</v>
      </c>
      <c r="B189">
        <v>0</v>
      </c>
      <c r="C189">
        <v>480</v>
      </c>
    </row>
    <row r="190" spans="1:3" x14ac:dyDescent="0.25">
      <c r="A190">
        <v>25</v>
      </c>
      <c r="B190">
        <v>0</v>
      </c>
      <c r="C190">
        <v>480</v>
      </c>
    </row>
    <row r="191" spans="1:3" x14ac:dyDescent="0.25">
      <c r="A191">
        <v>14</v>
      </c>
      <c r="B191">
        <v>0</v>
      </c>
      <c r="C191">
        <v>480</v>
      </c>
    </row>
    <row r="192" spans="1:3" x14ac:dyDescent="0.25">
      <c r="A192">
        <v>16</v>
      </c>
      <c r="B192">
        <v>0</v>
      </c>
      <c r="C192">
        <v>480</v>
      </c>
    </row>
    <row r="193" spans="1:3" x14ac:dyDescent="0.25">
      <c r="A193">
        <v>18</v>
      </c>
      <c r="B193">
        <v>0</v>
      </c>
      <c r="C193">
        <v>521</v>
      </c>
    </row>
    <row r="194" spans="1:3" x14ac:dyDescent="0.25">
      <c r="A194">
        <v>13</v>
      </c>
      <c r="B194">
        <v>0</v>
      </c>
      <c r="C194">
        <v>521</v>
      </c>
    </row>
    <row r="195" spans="1:3" x14ac:dyDescent="0.25">
      <c r="A195">
        <v>15</v>
      </c>
      <c r="B195">
        <v>0</v>
      </c>
      <c r="C195">
        <v>521</v>
      </c>
    </row>
    <row r="196" spans="1:3" x14ac:dyDescent="0.25">
      <c r="A196">
        <v>21</v>
      </c>
      <c r="B196">
        <v>0</v>
      </c>
      <c r="C196">
        <v>521</v>
      </c>
    </row>
    <row r="197" spans="1:3" x14ac:dyDescent="0.25">
      <c r="A197">
        <v>21</v>
      </c>
      <c r="B197">
        <v>0</v>
      </c>
      <c r="C197">
        <v>521</v>
      </c>
    </row>
    <row r="198" spans="1:3" x14ac:dyDescent="0.25">
      <c r="A198">
        <v>16</v>
      </c>
      <c r="B198">
        <v>0</v>
      </c>
      <c r="C198">
        <v>521</v>
      </c>
    </row>
    <row r="199" spans="1:3" x14ac:dyDescent="0.25">
      <c r="A199">
        <v>16</v>
      </c>
      <c r="B199">
        <v>0</v>
      </c>
      <c r="C199">
        <v>521</v>
      </c>
    </row>
    <row r="200" spans="1:3" x14ac:dyDescent="0.25">
      <c r="A200">
        <v>15</v>
      </c>
      <c r="B200">
        <v>0</v>
      </c>
      <c r="C200">
        <v>521</v>
      </c>
    </row>
    <row r="201" spans="1:3" x14ac:dyDescent="0.25">
      <c r="A201">
        <v>13</v>
      </c>
      <c r="B201">
        <v>0</v>
      </c>
      <c r="C201">
        <v>521</v>
      </c>
    </row>
    <row r="202" spans="1:3" x14ac:dyDescent="0.25">
      <c r="A202">
        <v>19</v>
      </c>
      <c r="B202">
        <v>0</v>
      </c>
      <c r="C202">
        <v>516</v>
      </c>
    </row>
    <row r="203" spans="1:3" x14ac:dyDescent="0.25">
      <c r="A203">
        <v>18</v>
      </c>
      <c r="B203">
        <v>0</v>
      </c>
      <c r="C203">
        <v>516</v>
      </c>
    </row>
    <row r="204" spans="1:3" x14ac:dyDescent="0.25">
      <c r="A204">
        <v>16</v>
      </c>
      <c r="B204">
        <v>0</v>
      </c>
      <c r="C204">
        <v>516</v>
      </c>
    </row>
    <row r="205" spans="1:3" x14ac:dyDescent="0.25">
      <c r="A205">
        <v>17</v>
      </c>
      <c r="B205">
        <v>0</v>
      </c>
      <c r="C205">
        <v>516</v>
      </c>
    </row>
    <row r="206" spans="1:3" x14ac:dyDescent="0.25">
      <c r="A206">
        <v>20</v>
      </c>
      <c r="B206">
        <v>0</v>
      </c>
      <c r="C206">
        <v>516</v>
      </c>
    </row>
    <row r="207" spans="1:3" x14ac:dyDescent="0.25">
      <c r="A207">
        <v>13</v>
      </c>
      <c r="B207">
        <v>0</v>
      </c>
      <c r="C207">
        <v>516</v>
      </c>
    </row>
    <row r="208" spans="1:3" x14ac:dyDescent="0.25">
      <c r="A208">
        <v>18</v>
      </c>
      <c r="B208">
        <v>0</v>
      </c>
      <c r="C208">
        <v>516</v>
      </c>
    </row>
    <row r="209" spans="1:3" x14ac:dyDescent="0.25">
      <c r="A209">
        <v>17</v>
      </c>
      <c r="B209">
        <v>0</v>
      </c>
      <c r="C209">
        <v>516</v>
      </c>
    </row>
    <row r="210" spans="1:3" x14ac:dyDescent="0.25">
      <c r="A210">
        <v>16</v>
      </c>
      <c r="B210">
        <v>0</v>
      </c>
      <c r="C210">
        <v>522</v>
      </c>
    </row>
    <row r="211" spans="1:3" x14ac:dyDescent="0.25">
      <c r="A211">
        <v>18</v>
      </c>
      <c r="B211">
        <v>0</v>
      </c>
      <c r="C211">
        <v>522</v>
      </c>
    </row>
    <row r="212" spans="1:3" x14ac:dyDescent="0.25">
      <c r="A212">
        <v>22</v>
      </c>
      <c r="B212">
        <v>0</v>
      </c>
      <c r="C212">
        <v>522</v>
      </c>
    </row>
    <row r="213" spans="1:3" x14ac:dyDescent="0.25">
      <c r="A213">
        <v>21</v>
      </c>
      <c r="B213">
        <v>0</v>
      </c>
      <c r="C213">
        <v>522</v>
      </c>
    </row>
    <row r="214" spans="1:3" x14ac:dyDescent="0.25">
      <c r="A214">
        <v>16</v>
      </c>
      <c r="B214">
        <v>0</v>
      </c>
      <c r="C214">
        <v>522</v>
      </c>
    </row>
    <row r="215" spans="1:3" x14ac:dyDescent="0.25">
      <c r="A215">
        <v>16</v>
      </c>
      <c r="B215">
        <v>0</v>
      </c>
      <c r="C215">
        <v>522</v>
      </c>
    </row>
    <row r="216" spans="1:3" x14ac:dyDescent="0.25">
      <c r="A216">
        <v>15</v>
      </c>
      <c r="B216">
        <v>0</v>
      </c>
      <c r="C216">
        <v>522</v>
      </c>
    </row>
    <row r="217" spans="1:3" x14ac:dyDescent="0.25">
      <c r="A217">
        <v>15</v>
      </c>
      <c r="B217">
        <v>0</v>
      </c>
      <c r="C217">
        <v>522</v>
      </c>
    </row>
    <row r="218" spans="1:3" x14ac:dyDescent="0.25">
      <c r="A218">
        <v>19</v>
      </c>
      <c r="B218">
        <v>0</v>
      </c>
      <c r="C218">
        <v>522</v>
      </c>
    </row>
    <row r="219" spans="1:3" x14ac:dyDescent="0.25">
      <c r="A219">
        <v>18</v>
      </c>
      <c r="B219">
        <v>0</v>
      </c>
      <c r="C219">
        <v>564</v>
      </c>
    </row>
    <row r="220" spans="1:3" x14ac:dyDescent="0.25">
      <c r="A220">
        <v>19</v>
      </c>
      <c r="B220">
        <v>0</v>
      </c>
      <c r="C220">
        <v>564</v>
      </c>
    </row>
    <row r="221" spans="1:3" x14ac:dyDescent="0.25">
      <c r="A221">
        <v>17</v>
      </c>
      <c r="B221">
        <v>0</v>
      </c>
      <c r="C221">
        <v>564</v>
      </c>
    </row>
    <row r="222" spans="1:3" x14ac:dyDescent="0.25">
      <c r="A222">
        <v>18</v>
      </c>
      <c r="B222">
        <v>0</v>
      </c>
      <c r="C222">
        <v>564</v>
      </c>
    </row>
    <row r="223" spans="1:3" x14ac:dyDescent="0.25">
      <c r="A223">
        <v>15</v>
      </c>
      <c r="B223">
        <v>0</v>
      </c>
      <c r="C223">
        <v>564</v>
      </c>
    </row>
    <row r="224" spans="1:3" x14ac:dyDescent="0.25">
      <c r="A224">
        <v>15</v>
      </c>
      <c r="B224">
        <v>0</v>
      </c>
      <c r="C224">
        <v>564</v>
      </c>
    </row>
    <row r="225" spans="1:3" x14ac:dyDescent="0.25">
      <c r="A225">
        <v>13</v>
      </c>
      <c r="B225">
        <v>0</v>
      </c>
      <c r="C225">
        <v>564</v>
      </c>
    </row>
    <row r="226" spans="1:3" x14ac:dyDescent="0.25">
      <c r="A226">
        <v>16</v>
      </c>
      <c r="B226">
        <v>0</v>
      </c>
      <c r="C226">
        <v>564</v>
      </c>
    </row>
    <row r="227" spans="1:3" x14ac:dyDescent="0.25">
      <c r="A227">
        <v>18</v>
      </c>
      <c r="B227">
        <v>0</v>
      </c>
      <c r="C227">
        <v>564</v>
      </c>
    </row>
    <row r="228" spans="1:3" x14ac:dyDescent="0.25">
      <c r="A228">
        <v>21</v>
      </c>
      <c r="B228">
        <v>0</v>
      </c>
      <c r="C228">
        <v>528</v>
      </c>
    </row>
    <row r="229" spans="1:3" x14ac:dyDescent="0.25">
      <c r="A229">
        <v>21</v>
      </c>
      <c r="B229">
        <v>0</v>
      </c>
      <c r="C229">
        <v>528</v>
      </c>
    </row>
    <row r="230" spans="1:3" x14ac:dyDescent="0.25">
      <c r="A230">
        <v>14</v>
      </c>
      <c r="B230">
        <v>0</v>
      </c>
      <c r="C230">
        <v>528</v>
      </c>
    </row>
    <row r="231" spans="1:3" x14ac:dyDescent="0.25">
      <c r="A231">
        <v>14</v>
      </c>
      <c r="B231">
        <v>0</v>
      </c>
      <c r="C231">
        <v>528</v>
      </c>
    </row>
    <row r="232" spans="1:3" x14ac:dyDescent="0.25">
      <c r="A232">
        <v>16</v>
      </c>
      <c r="B232">
        <v>0</v>
      </c>
      <c r="C232">
        <v>528</v>
      </c>
    </row>
    <row r="233" spans="1:3" x14ac:dyDescent="0.25">
      <c r="A233">
        <v>15</v>
      </c>
      <c r="B233">
        <v>0</v>
      </c>
      <c r="C233">
        <v>528</v>
      </c>
    </row>
    <row r="234" spans="1:3" x14ac:dyDescent="0.25">
      <c r="A234">
        <v>20</v>
      </c>
      <c r="B234">
        <v>0</v>
      </c>
      <c r="C234">
        <v>528</v>
      </c>
    </row>
    <row r="235" spans="1:3" x14ac:dyDescent="0.25">
      <c r="A235">
        <v>14</v>
      </c>
      <c r="B235">
        <v>0</v>
      </c>
      <c r="C235">
        <v>528</v>
      </c>
    </row>
    <row r="236" spans="1:3" x14ac:dyDescent="0.25">
      <c r="A236">
        <v>27</v>
      </c>
      <c r="B236">
        <v>0</v>
      </c>
      <c r="C236">
        <v>567</v>
      </c>
    </row>
    <row r="237" spans="1:3" x14ac:dyDescent="0.25">
      <c r="A237">
        <v>21</v>
      </c>
      <c r="B237">
        <v>0</v>
      </c>
      <c r="C237">
        <v>567</v>
      </c>
    </row>
    <row r="238" spans="1:3" x14ac:dyDescent="0.25">
      <c r="A238">
        <v>19</v>
      </c>
      <c r="B238">
        <v>0</v>
      </c>
      <c r="C238">
        <v>567</v>
      </c>
    </row>
    <row r="239" spans="1:3" x14ac:dyDescent="0.25">
      <c r="A239">
        <v>18</v>
      </c>
      <c r="B239">
        <v>0</v>
      </c>
      <c r="C239">
        <v>567</v>
      </c>
    </row>
    <row r="240" spans="1:3" x14ac:dyDescent="0.25">
      <c r="A240">
        <v>20</v>
      </c>
      <c r="B240">
        <v>0</v>
      </c>
      <c r="C240">
        <v>567</v>
      </c>
    </row>
    <row r="241" spans="1:3" x14ac:dyDescent="0.25">
      <c r="A241">
        <v>19</v>
      </c>
      <c r="B241">
        <v>0</v>
      </c>
      <c r="C241">
        <v>567</v>
      </c>
    </row>
    <row r="242" spans="1:3" x14ac:dyDescent="0.25">
      <c r="A242">
        <v>20</v>
      </c>
      <c r="B242">
        <v>0</v>
      </c>
      <c r="C242">
        <v>567</v>
      </c>
    </row>
    <row r="243" spans="1:3" x14ac:dyDescent="0.25">
      <c r="A243">
        <v>20</v>
      </c>
      <c r="B243">
        <v>0</v>
      </c>
      <c r="C243">
        <v>567</v>
      </c>
    </row>
    <row r="244" spans="1:3" x14ac:dyDescent="0.25">
      <c r="A244">
        <v>22</v>
      </c>
      <c r="B244">
        <v>0</v>
      </c>
      <c r="C244">
        <v>520</v>
      </c>
    </row>
    <row r="245" spans="1:3" x14ac:dyDescent="0.25">
      <c r="A245">
        <v>16</v>
      </c>
      <c r="B245">
        <v>0</v>
      </c>
      <c r="C245">
        <v>520</v>
      </c>
    </row>
    <row r="246" spans="1:3" x14ac:dyDescent="0.25">
      <c r="A246">
        <v>16</v>
      </c>
      <c r="B246">
        <v>0</v>
      </c>
      <c r="C246">
        <v>520</v>
      </c>
    </row>
    <row r="247" spans="1:3" x14ac:dyDescent="0.25">
      <c r="A247">
        <v>16</v>
      </c>
      <c r="B247">
        <v>0</v>
      </c>
      <c r="C247">
        <v>520</v>
      </c>
    </row>
    <row r="248" spans="1:3" x14ac:dyDescent="0.25">
      <c r="A248">
        <v>19</v>
      </c>
      <c r="B248">
        <v>0</v>
      </c>
      <c r="C248">
        <v>520</v>
      </c>
    </row>
    <row r="249" spans="1:3" x14ac:dyDescent="0.25">
      <c r="A249">
        <v>16</v>
      </c>
      <c r="B249">
        <v>0</v>
      </c>
      <c r="C249">
        <v>520</v>
      </c>
    </row>
    <row r="250" spans="1:3" x14ac:dyDescent="0.25">
      <c r="A250">
        <v>17</v>
      </c>
      <c r="B250">
        <v>0</v>
      </c>
      <c r="C250">
        <v>520</v>
      </c>
    </row>
    <row r="251" spans="1:3" x14ac:dyDescent="0.25">
      <c r="A251">
        <v>22</v>
      </c>
      <c r="B251">
        <v>0</v>
      </c>
      <c r="C251">
        <v>520</v>
      </c>
    </row>
    <row r="252" spans="1:3" x14ac:dyDescent="0.25">
      <c r="A252">
        <v>16</v>
      </c>
      <c r="B252">
        <v>0</v>
      </c>
      <c r="C252">
        <v>499</v>
      </c>
    </row>
    <row r="253" spans="1:3" x14ac:dyDescent="0.25">
      <c r="A253">
        <v>19</v>
      </c>
      <c r="B253">
        <v>0</v>
      </c>
      <c r="C253">
        <v>499</v>
      </c>
    </row>
    <row r="254" spans="1:3" x14ac:dyDescent="0.25">
      <c r="A254">
        <v>12</v>
      </c>
      <c r="B254">
        <v>0</v>
      </c>
      <c r="C254">
        <v>499</v>
      </c>
    </row>
    <row r="255" spans="1:3" x14ac:dyDescent="0.25">
      <c r="A255">
        <v>14</v>
      </c>
      <c r="B255">
        <v>0</v>
      </c>
      <c r="C255">
        <v>499</v>
      </c>
    </row>
    <row r="256" spans="1:3" x14ac:dyDescent="0.25">
      <c r="A256">
        <v>20</v>
      </c>
      <c r="B256">
        <v>0</v>
      </c>
      <c r="C256">
        <v>499</v>
      </c>
    </row>
    <row r="257" spans="1:3" x14ac:dyDescent="0.25">
      <c r="A257">
        <v>20</v>
      </c>
      <c r="B257">
        <v>0</v>
      </c>
      <c r="C257">
        <v>499</v>
      </c>
    </row>
    <row r="258" spans="1:3" x14ac:dyDescent="0.25">
      <c r="A258">
        <v>19</v>
      </c>
      <c r="B258">
        <v>0</v>
      </c>
      <c r="C258">
        <v>499</v>
      </c>
    </row>
    <row r="259" spans="1:3" x14ac:dyDescent="0.25">
      <c r="A259">
        <v>21</v>
      </c>
      <c r="B259">
        <v>0</v>
      </c>
      <c r="C259">
        <v>499</v>
      </c>
    </row>
    <row r="260" spans="1:3" x14ac:dyDescent="0.25">
      <c r="A260">
        <v>18</v>
      </c>
      <c r="B260">
        <v>0</v>
      </c>
      <c r="C260">
        <v>487</v>
      </c>
    </row>
    <row r="261" spans="1:3" x14ac:dyDescent="0.25">
      <c r="A261">
        <v>16</v>
      </c>
      <c r="B261">
        <v>0</v>
      </c>
      <c r="C261">
        <v>487</v>
      </c>
    </row>
    <row r="262" spans="1:3" x14ac:dyDescent="0.25">
      <c r="A262">
        <v>17</v>
      </c>
      <c r="B262">
        <v>0</v>
      </c>
      <c r="C262">
        <v>487</v>
      </c>
    </row>
    <row r="263" spans="1:3" x14ac:dyDescent="0.25">
      <c r="A263">
        <v>16</v>
      </c>
      <c r="B263">
        <v>0</v>
      </c>
      <c r="C263">
        <v>487</v>
      </c>
    </row>
    <row r="264" spans="1:3" x14ac:dyDescent="0.25">
      <c r="A264">
        <v>17</v>
      </c>
      <c r="B264">
        <v>0</v>
      </c>
      <c r="C264">
        <v>487</v>
      </c>
    </row>
    <row r="265" spans="1:3" x14ac:dyDescent="0.25">
      <c r="A265">
        <v>20</v>
      </c>
      <c r="B265">
        <v>0</v>
      </c>
      <c r="C265">
        <v>487</v>
      </c>
    </row>
    <row r="266" spans="1:3" x14ac:dyDescent="0.25">
      <c r="A266">
        <v>21</v>
      </c>
      <c r="B266">
        <v>0</v>
      </c>
      <c r="C266">
        <v>487</v>
      </c>
    </row>
    <row r="267" spans="1:3" x14ac:dyDescent="0.25">
      <c r="A267">
        <v>26</v>
      </c>
      <c r="B267">
        <v>0</v>
      </c>
      <c r="C267">
        <v>487</v>
      </c>
    </row>
    <row r="268" spans="1:3" x14ac:dyDescent="0.25">
      <c r="A268">
        <v>19</v>
      </c>
      <c r="B268">
        <v>0</v>
      </c>
      <c r="C268">
        <v>530</v>
      </c>
    </row>
    <row r="269" spans="1:3" x14ac:dyDescent="0.25">
      <c r="A269">
        <v>15</v>
      </c>
      <c r="B269">
        <v>0</v>
      </c>
      <c r="C269">
        <v>530</v>
      </c>
    </row>
    <row r="270" spans="1:3" x14ac:dyDescent="0.25">
      <c r="A270">
        <v>16</v>
      </c>
      <c r="B270">
        <v>0</v>
      </c>
      <c r="C270">
        <v>530</v>
      </c>
    </row>
    <row r="271" spans="1:3" x14ac:dyDescent="0.25">
      <c r="A271">
        <v>15</v>
      </c>
      <c r="B271">
        <v>0</v>
      </c>
      <c r="C271">
        <v>530</v>
      </c>
    </row>
    <row r="272" spans="1:3" x14ac:dyDescent="0.25">
      <c r="A272">
        <v>18</v>
      </c>
      <c r="B272">
        <v>0</v>
      </c>
      <c r="C272">
        <v>530</v>
      </c>
    </row>
    <row r="273" spans="1:3" x14ac:dyDescent="0.25">
      <c r="A273">
        <v>17</v>
      </c>
      <c r="B273">
        <v>0</v>
      </c>
      <c r="C273">
        <v>530</v>
      </c>
    </row>
    <row r="274" spans="1:3" x14ac:dyDescent="0.25">
      <c r="A274">
        <v>24</v>
      </c>
      <c r="B274">
        <v>0</v>
      </c>
      <c r="C274">
        <v>530</v>
      </c>
    </row>
    <row r="275" spans="1:3" x14ac:dyDescent="0.25">
      <c r="A275">
        <v>20</v>
      </c>
      <c r="B275">
        <v>0</v>
      </c>
      <c r="C275">
        <v>530</v>
      </c>
    </row>
    <row r="276" spans="1:3" x14ac:dyDescent="0.25">
      <c r="A276">
        <v>15</v>
      </c>
      <c r="B276">
        <v>0</v>
      </c>
      <c r="C276">
        <v>509</v>
      </c>
    </row>
    <row r="277" spans="1:3" x14ac:dyDescent="0.25">
      <c r="A277">
        <v>15</v>
      </c>
      <c r="B277">
        <v>0</v>
      </c>
      <c r="C277">
        <v>509</v>
      </c>
    </row>
    <row r="278" spans="1:3" x14ac:dyDescent="0.25">
      <c r="A278">
        <v>19</v>
      </c>
      <c r="B278">
        <v>0</v>
      </c>
      <c r="C278">
        <v>509</v>
      </c>
    </row>
    <row r="279" spans="1:3" x14ac:dyDescent="0.25">
      <c r="A279">
        <v>15</v>
      </c>
      <c r="B279">
        <v>0</v>
      </c>
      <c r="C279">
        <v>509</v>
      </c>
    </row>
    <row r="280" spans="1:3" x14ac:dyDescent="0.25">
      <c r="A280">
        <v>20</v>
      </c>
      <c r="B280">
        <v>0</v>
      </c>
      <c r="C280">
        <v>509</v>
      </c>
    </row>
    <row r="281" spans="1:3" x14ac:dyDescent="0.25">
      <c r="A281">
        <v>21</v>
      </c>
      <c r="B281">
        <v>0</v>
      </c>
      <c r="C281">
        <v>509</v>
      </c>
    </row>
    <row r="282" spans="1:3" x14ac:dyDescent="0.25">
      <c r="A282">
        <v>19</v>
      </c>
      <c r="B282">
        <v>0</v>
      </c>
      <c r="C282">
        <v>509</v>
      </c>
    </row>
    <row r="283" spans="1:3" x14ac:dyDescent="0.25">
      <c r="A283">
        <v>15</v>
      </c>
      <c r="B283">
        <v>0</v>
      </c>
      <c r="C283">
        <v>535</v>
      </c>
    </row>
    <row r="284" spans="1:3" x14ac:dyDescent="0.25">
      <c r="A284">
        <v>18</v>
      </c>
      <c r="B284">
        <v>0</v>
      </c>
      <c r="C284">
        <v>535</v>
      </c>
    </row>
    <row r="285" spans="1:3" x14ac:dyDescent="0.25">
      <c r="A285">
        <v>19</v>
      </c>
      <c r="B285">
        <v>0</v>
      </c>
      <c r="C285">
        <v>535</v>
      </c>
    </row>
    <row r="286" spans="1:3" x14ac:dyDescent="0.25">
      <c r="A286">
        <v>18</v>
      </c>
      <c r="B286">
        <v>0</v>
      </c>
      <c r="C286">
        <v>535</v>
      </c>
    </row>
    <row r="287" spans="1:3" x14ac:dyDescent="0.25">
      <c r="A287">
        <v>15</v>
      </c>
      <c r="B287">
        <v>0</v>
      </c>
      <c r="C287">
        <v>535</v>
      </c>
    </row>
    <row r="288" spans="1:3" x14ac:dyDescent="0.25">
      <c r="A288">
        <v>23</v>
      </c>
      <c r="B288">
        <v>0</v>
      </c>
      <c r="C288">
        <v>535</v>
      </c>
    </row>
    <row r="289" spans="1:3" x14ac:dyDescent="0.25">
      <c r="A289">
        <v>15</v>
      </c>
      <c r="B289">
        <v>0</v>
      </c>
      <c r="C289">
        <v>535</v>
      </c>
    </row>
    <row r="290" spans="1:3" x14ac:dyDescent="0.25">
      <c r="A290">
        <v>17</v>
      </c>
      <c r="B290">
        <v>0</v>
      </c>
      <c r="C290">
        <v>535</v>
      </c>
    </row>
    <row r="291" spans="1:3" x14ac:dyDescent="0.25">
      <c r="A291">
        <v>17</v>
      </c>
      <c r="B291">
        <v>0</v>
      </c>
      <c r="C291">
        <v>493</v>
      </c>
    </row>
    <row r="292" spans="1:3" x14ac:dyDescent="0.25">
      <c r="A292">
        <v>13</v>
      </c>
      <c r="B292">
        <v>0</v>
      </c>
      <c r="C292">
        <v>493</v>
      </c>
    </row>
    <row r="293" spans="1:3" x14ac:dyDescent="0.25">
      <c r="A293">
        <v>14</v>
      </c>
      <c r="B293">
        <v>0</v>
      </c>
      <c r="C293">
        <v>493</v>
      </c>
    </row>
    <row r="294" spans="1:3" x14ac:dyDescent="0.25">
      <c r="A294">
        <v>15</v>
      </c>
      <c r="B294">
        <v>0</v>
      </c>
      <c r="C294">
        <v>493</v>
      </c>
    </row>
    <row r="295" spans="1:3" x14ac:dyDescent="0.25">
      <c r="A295">
        <v>14</v>
      </c>
      <c r="B295">
        <v>0</v>
      </c>
      <c r="C295">
        <v>493</v>
      </c>
    </row>
    <row r="296" spans="1:3" x14ac:dyDescent="0.25">
      <c r="A296">
        <v>22</v>
      </c>
      <c r="B296">
        <v>0</v>
      </c>
      <c r="C296">
        <v>493</v>
      </c>
    </row>
    <row r="297" spans="1:3" x14ac:dyDescent="0.25">
      <c r="A297">
        <v>18</v>
      </c>
      <c r="B297">
        <v>0</v>
      </c>
      <c r="C297">
        <v>493</v>
      </c>
    </row>
    <row r="298" spans="1:3" x14ac:dyDescent="0.25">
      <c r="A298">
        <v>15</v>
      </c>
      <c r="B298">
        <v>0</v>
      </c>
      <c r="C298">
        <v>493</v>
      </c>
    </row>
    <row r="299" spans="1:3" x14ac:dyDescent="0.25">
      <c r="A299">
        <v>14</v>
      </c>
      <c r="B299">
        <v>0</v>
      </c>
      <c r="C299">
        <v>493</v>
      </c>
    </row>
    <row r="300" spans="1:3" x14ac:dyDescent="0.25">
      <c r="A300">
        <v>13</v>
      </c>
      <c r="B300">
        <v>0</v>
      </c>
      <c r="C300">
        <v>491</v>
      </c>
    </row>
    <row r="301" spans="1:3" x14ac:dyDescent="0.25">
      <c r="A301">
        <v>13</v>
      </c>
      <c r="B301">
        <v>0</v>
      </c>
      <c r="C301">
        <v>491</v>
      </c>
    </row>
    <row r="302" spans="1:3" x14ac:dyDescent="0.25">
      <c r="A302">
        <v>18</v>
      </c>
      <c r="B302">
        <v>0</v>
      </c>
      <c r="C302">
        <v>491</v>
      </c>
    </row>
    <row r="303" spans="1:3" x14ac:dyDescent="0.25">
      <c r="A303">
        <v>17</v>
      </c>
      <c r="B303">
        <v>0</v>
      </c>
      <c r="C303">
        <v>491</v>
      </c>
    </row>
    <row r="304" spans="1:3" x14ac:dyDescent="0.25">
      <c r="A304">
        <v>21</v>
      </c>
      <c r="B304">
        <v>0</v>
      </c>
      <c r="C304">
        <v>491</v>
      </c>
    </row>
    <row r="305" spans="1:3" x14ac:dyDescent="0.25">
      <c r="A305">
        <v>15</v>
      </c>
      <c r="B305">
        <v>0</v>
      </c>
      <c r="C305">
        <v>491</v>
      </c>
    </row>
    <row r="306" spans="1:3" x14ac:dyDescent="0.25">
      <c r="A306">
        <v>17</v>
      </c>
      <c r="B306">
        <v>0</v>
      </c>
      <c r="C306">
        <v>491</v>
      </c>
    </row>
    <row r="307" spans="1:3" x14ac:dyDescent="0.25">
      <c r="A307">
        <v>17</v>
      </c>
      <c r="B307">
        <v>0</v>
      </c>
      <c r="C307">
        <v>491</v>
      </c>
    </row>
    <row r="308" spans="1:3" x14ac:dyDescent="0.25">
      <c r="A308">
        <v>15</v>
      </c>
      <c r="B308">
        <v>0</v>
      </c>
      <c r="C308">
        <v>517</v>
      </c>
    </row>
    <row r="309" spans="1:3" x14ac:dyDescent="0.25">
      <c r="A309">
        <v>18</v>
      </c>
      <c r="B309">
        <v>0</v>
      </c>
      <c r="C309">
        <v>517</v>
      </c>
    </row>
    <row r="310" spans="1:3" x14ac:dyDescent="0.25">
      <c r="A310">
        <v>17</v>
      </c>
      <c r="B310">
        <v>0</v>
      </c>
      <c r="C310">
        <v>517</v>
      </c>
    </row>
    <row r="311" spans="1:3" x14ac:dyDescent="0.25">
      <c r="A311">
        <v>18</v>
      </c>
      <c r="B311">
        <v>0</v>
      </c>
      <c r="C311">
        <v>517</v>
      </c>
    </row>
    <row r="312" spans="1:3" x14ac:dyDescent="0.25">
      <c r="A312">
        <v>23</v>
      </c>
      <c r="B312">
        <v>0</v>
      </c>
      <c r="C312">
        <v>517</v>
      </c>
    </row>
    <row r="313" spans="1:3" x14ac:dyDescent="0.25">
      <c r="A313">
        <v>19</v>
      </c>
      <c r="B313">
        <v>0</v>
      </c>
      <c r="C313">
        <v>517</v>
      </c>
    </row>
    <row r="314" spans="1:3" x14ac:dyDescent="0.25">
      <c r="A314">
        <v>14</v>
      </c>
      <c r="B314">
        <v>0</v>
      </c>
      <c r="C314">
        <v>517</v>
      </c>
    </row>
    <row r="315" spans="1:3" x14ac:dyDescent="0.25">
      <c r="A315">
        <v>15</v>
      </c>
      <c r="B315">
        <v>0</v>
      </c>
      <c r="C315">
        <v>517</v>
      </c>
    </row>
    <row r="316" spans="1:3" x14ac:dyDescent="0.25">
      <c r="A316">
        <v>14</v>
      </c>
      <c r="B316">
        <v>0</v>
      </c>
      <c r="C316">
        <v>517</v>
      </c>
    </row>
    <row r="317" spans="1:3" x14ac:dyDescent="0.25">
      <c r="A317">
        <v>14</v>
      </c>
      <c r="B317">
        <v>0</v>
      </c>
      <c r="C317">
        <v>461</v>
      </c>
    </row>
    <row r="318" spans="1:3" x14ac:dyDescent="0.25">
      <c r="A318">
        <v>14</v>
      </c>
      <c r="B318">
        <v>0</v>
      </c>
      <c r="C318">
        <v>461</v>
      </c>
    </row>
    <row r="319" spans="1:3" x14ac:dyDescent="0.25">
      <c r="A319">
        <v>16</v>
      </c>
      <c r="B319">
        <v>0</v>
      </c>
      <c r="C319">
        <v>461</v>
      </c>
    </row>
    <row r="320" spans="1:3" x14ac:dyDescent="0.25">
      <c r="A320">
        <v>21</v>
      </c>
      <c r="B320">
        <v>0</v>
      </c>
      <c r="C320">
        <v>461</v>
      </c>
    </row>
    <row r="321" spans="1:3" x14ac:dyDescent="0.25">
      <c r="A321">
        <v>18</v>
      </c>
      <c r="B321">
        <v>0</v>
      </c>
      <c r="C321">
        <v>461</v>
      </c>
    </row>
    <row r="322" spans="1:3" x14ac:dyDescent="0.25">
      <c r="A322">
        <v>14</v>
      </c>
      <c r="B322">
        <v>0</v>
      </c>
      <c r="C322">
        <v>461</v>
      </c>
    </row>
    <row r="323" spans="1:3" x14ac:dyDescent="0.25">
      <c r="A323">
        <v>16</v>
      </c>
      <c r="B323">
        <v>0</v>
      </c>
      <c r="C323">
        <v>461</v>
      </c>
    </row>
    <row r="324" spans="1:3" x14ac:dyDescent="0.25">
      <c r="A324">
        <v>18</v>
      </c>
      <c r="B324">
        <v>0</v>
      </c>
      <c r="C324">
        <v>461</v>
      </c>
    </row>
    <row r="325" spans="1:3" x14ac:dyDescent="0.25">
      <c r="A325">
        <v>16</v>
      </c>
      <c r="B325">
        <v>0</v>
      </c>
      <c r="C325">
        <v>548</v>
      </c>
    </row>
    <row r="326" spans="1:3" x14ac:dyDescent="0.25">
      <c r="A326">
        <v>16</v>
      </c>
      <c r="B326">
        <v>0</v>
      </c>
      <c r="C326">
        <v>548</v>
      </c>
    </row>
    <row r="327" spans="1:3" x14ac:dyDescent="0.25">
      <c r="A327">
        <v>19</v>
      </c>
      <c r="B327">
        <v>0</v>
      </c>
      <c r="C327">
        <v>548</v>
      </c>
    </row>
    <row r="328" spans="1:3" x14ac:dyDescent="0.25">
      <c r="A328">
        <v>27</v>
      </c>
      <c r="B328">
        <v>0</v>
      </c>
      <c r="C328">
        <v>548</v>
      </c>
    </row>
    <row r="329" spans="1:3" x14ac:dyDescent="0.25">
      <c r="A329">
        <v>19</v>
      </c>
      <c r="B329">
        <v>0</v>
      </c>
      <c r="C329">
        <v>548</v>
      </c>
    </row>
    <row r="330" spans="1:3" x14ac:dyDescent="0.25">
      <c r="A330">
        <v>19</v>
      </c>
      <c r="B330">
        <v>0</v>
      </c>
      <c r="C330">
        <v>548</v>
      </c>
    </row>
    <row r="331" spans="1:3" x14ac:dyDescent="0.25">
      <c r="A331">
        <v>14</v>
      </c>
      <c r="B331">
        <v>0</v>
      </c>
      <c r="C331">
        <v>548</v>
      </c>
    </row>
    <row r="332" spans="1:3" x14ac:dyDescent="0.25">
      <c r="A332">
        <v>15</v>
      </c>
      <c r="B332">
        <v>0</v>
      </c>
      <c r="C332">
        <v>548</v>
      </c>
    </row>
    <row r="333" spans="1:3" x14ac:dyDescent="0.25">
      <c r="A333">
        <v>18</v>
      </c>
      <c r="B333">
        <v>0</v>
      </c>
      <c r="C333">
        <v>620</v>
      </c>
    </row>
    <row r="334" spans="1:3" x14ac:dyDescent="0.25">
      <c r="A334">
        <v>21</v>
      </c>
      <c r="B334">
        <v>0</v>
      </c>
      <c r="C334">
        <v>620</v>
      </c>
    </row>
    <row r="335" spans="1:3" x14ac:dyDescent="0.25">
      <c r="A335">
        <v>17</v>
      </c>
      <c r="B335">
        <v>0</v>
      </c>
      <c r="C335">
        <v>620</v>
      </c>
    </row>
    <row r="336" spans="1:3" x14ac:dyDescent="0.25">
      <c r="A336">
        <v>13</v>
      </c>
      <c r="B336">
        <v>0</v>
      </c>
      <c r="C336">
        <v>620</v>
      </c>
    </row>
    <row r="337" spans="1:3" x14ac:dyDescent="0.25">
      <c r="A337">
        <v>17</v>
      </c>
      <c r="B337">
        <v>0</v>
      </c>
      <c r="C337">
        <v>620</v>
      </c>
    </row>
    <row r="338" spans="1:3" x14ac:dyDescent="0.25">
      <c r="A338">
        <v>17</v>
      </c>
      <c r="B338">
        <v>0</v>
      </c>
      <c r="C338">
        <v>620</v>
      </c>
    </row>
    <row r="339" spans="1:3" x14ac:dyDescent="0.25">
      <c r="A339">
        <v>17</v>
      </c>
      <c r="B339">
        <v>0</v>
      </c>
      <c r="C339">
        <v>620</v>
      </c>
    </row>
    <row r="340" spans="1:3" x14ac:dyDescent="0.25">
      <c r="A340">
        <v>14</v>
      </c>
      <c r="B340">
        <v>0</v>
      </c>
      <c r="C340">
        <v>620</v>
      </c>
    </row>
    <row r="341" spans="1:3" x14ac:dyDescent="0.25">
      <c r="A341">
        <v>17</v>
      </c>
      <c r="B341">
        <v>0</v>
      </c>
      <c r="C341">
        <v>620</v>
      </c>
    </row>
    <row r="342" spans="1:3" x14ac:dyDescent="0.25">
      <c r="A342">
        <v>17</v>
      </c>
      <c r="B342">
        <v>0</v>
      </c>
      <c r="C342">
        <v>542</v>
      </c>
    </row>
    <row r="343" spans="1:3" x14ac:dyDescent="0.25">
      <c r="A343">
        <v>21</v>
      </c>
      <c r="B343">
        <v>0</v>
      </c>
      <c r="C343">
        <v>542</v>
      </c>
    </row>
    <row r="344" spans="1:3" x14ac:dyDescent="0.25">
      <c r="A344">
        <v>14</v>
      </c>
      <c r="B344">
        <v>0</v>
      </c>
      <c r="C344">
        <v>542</v>
      </c>
    </row>
    <row r="345" spans="1:3" x14ac:dyDescent="0.25">
      <c r="A345">
        <v>15</v>
      </c>
      <c r="B345">
        <v>0</v>
      </c>
      <c r="C345">
        <v>542</v>
      </c>
    </row>
    <row r="346" spans="1:3" x14ac:dyDescent="0.25">
      <c r="A346">
        <v>16</v>
      </c>
      <c r="B346">
        <v>0</v>
      </c>
      <c r="C346">
        <v>542</v>
      </c>
    </row>
    <row r="347" spans="1:3" x14ac:dyDescent="0.25">
      <c r="A347">
        <v>17</v>
      </c>
      <c r="B347">
        <v>0</v>
      </c>
      <c r="C347">
        <v>542</v>
      </c>
    </row>
    <row r="348" spans="1:3" x14ac:dyDescent="0.25">
      <c r="A348">
        <v>16</v>
      </c>
      <c r="B348">
        <v>0</v>
      </c>
      <c r="C348">
        <v>542</v>
      </c>
    </row>
    <row r="349" spans="1:3" x14ac:dyDescent="0.25">
      <c r="A349">
        <v>19</v>
      </c>
      <c r="B349">
        <v>0</v>
      </c>
      <c r="C349">
        <v>542</v>
      </c>
    </row>
    <row r="350" spans="1:3" x14ac:dyDescent="0.25">
      <c r="A350">
        <v>21</v>
      </c>
      <c r="B350">
        <v>0</v>
      </c>
      <c r="C350">
        <v>507</v>
      </c>
    </row>
    <row r="351" spans="1:3" x14ac:dyDescent="0.25">
      <c r="A351">
        <v>20</v>
      </c>
      <c r="B351">
        <v>0</v>
      </c>
      <c r="C351">
        <v>507</v>
      </c>
    </row>
    <row r="352" spans="1:3" x14ac:dyDescent="0.25">
      <c r="A352">
        <v>15</v>
      </c>
      <c r="B352">
        <v>0</v>
      </c>
      <c r="C352">
        <v>507</v>
      </c>
    </row>
    <row r="353" spans="1:3" x14ac:dyDescent="0.25">
      <c r="A353">
        <v>14</v>
      </c>
      <c r="B353">
        <v>0</v>
      </c>
      <c r="C353">
        <v>507</v>
      </c>
    </row>
    <row r="354" spans="1:3" x14ac:dyDescent="0.25">
      <c r="A354">
        <v>15</v>
      </c>
      <c r="B354">
        <v>0</v>
      </c>
      <c r="C354">
        <v>507</v>
      </c>
    </row>
    <row r="355" spans="1:3" x14ac:dyDescent="0.25">
      <c r="A355">
        <v>16</v>
      </c>
      <c r="B355">
        <v>0</v>
      </c>
      <c r="C355">
        <v>507</v>
      </c>
    </row>
    <row r="356" spans="1:3" x14ac:dyDescent="0.25">
      <c r="A356">
        <v>17</v>
      </c>
      <c r="B356">
        <v>0</v>
      </c>
      <c r="C356">
        <v>507</v>
      </c>
    </row>
    <row r="357" spans="1:3" x14ac:dyDescent="0.25">
      <c r="A357">
        <v>19</v>
      </c>
      <c r="B357">
        <v>0</v>
      </c>
      <c r="C357">
        <v>507</v>
      </c>
    </row>
    <row r="358" spans="1:3" x14ac:dyDescent="0.25">
      <c r="A358">
        <v>14</v>
      </c>
      <c r="B358">
        <v>0</v>
      </c>
      <c r="C358">
        <v>524</v>
      </c>
    </row>
    <row r="359" spans="1:3" x14ac:dyDescent="0.25">
      <c r="A359">
        <v>21</v>
      </c>
      <c r="B359">
        <v>0</v>
      </c>
      <c r="C359">
        <v>524</v>
      </c>
    </row>
    <row r="360" spans="1:3" x14ac:dyDescent="0.25">
      <c r="A360">
        <v>19</v>
      </c>
      <c r="B360">
        <v>0</v>
      </c>
      <c r="C360">
        <v>524</v>
      </c>
    </row>
    <row r="361" spans="1:3" x14ac:dyDescent="0.25">
      <c r="A361">
        <v>15</v>
      </c>
      <c r="B361">
        <v>0</v>
      </c>
      <c r="C361">
        <v>524</v>
      </c>
    </row>
    <row r="362" spans="1:3" x14ac:dyDescent="0.25">
      <c r="A362">
        <v>16</v>
      </c>
      <c r="B362">
        <v>0</v>
      </c>
      <c r="C362">
        <v>524</v>
      </c>
    </row>
    <row r="363" spans="1:3" x14ac:dyDescent="0.25">
      <c r="A363">
        <v>14</v>
      </c>
      <c r="B363">
        <v>0</v>
      </c>
      <c r="C363">
        <v>524</v>
      </c>
    </row>
    <row r="364" spans="1:3" x14ac:dyDescent="0.25">
      <c r="A364">
        <v>18</v>
      </c>
      <c r="B364">
        <v>0</v>
      </c>
      <c r="C364">
        <v>524</v>
      </c>
    </row>
    <row r="365" spans="1:3" x14ac:dyDescent="0.25">
      <c r="A365">
        <v>15</v>
      </c>
      <c r="B365">
        <v>0</v>
      </c>
      <c r="C365">
        <v>524</v>
      </c>
    </row>
    <row r="366" spans="1:3" x14ac:dyDescent="0.25">
      <c r="A366">
        <v>15</v>
      </c>
      <c r="B366">
        <v>0</v>
      </c>
      <c r="C366">
        <v>524</v>
      </c>
    </row>
    <row r="367" spans="1:3" x14ac:dyDescent="0.25">
      <c r="A367">
        <v>20</v>
      </c>
      <c r="B367">
        <v>0</v>
      </c>
      <c r="C367">
        <v>487</v>
      </c>
    </row>
    <row r="368" spans="1:3" x14ac:dyDescent="0.25">
      <c r="A368">
        <v>14</v>
      </c>
      <c r="B368">
        <v>0</v>
      </c>
      <c r="C368">
        <v>487</v>
      </c>
    </row>
    <row r="369" spans="1:3" x14ac:dyDescent="0.25">
      <c r="A369">
        <v>14</v>
      </c>
      <c r="B369">
        <v>0</v>
      </c>
      <c r="C369">
        <v>487</v>
      </c>
    </row>
    <row r="370" spans="1:3" x14ac:dyDescent="0.25">
      <c r="A370">
        <v>16</v>
      </c>
      <c r="B370">
        <v>0</v>
      </c>
      <c r="C370">
        <v>487</v>
      </c>
    </row>
    <row r="371" spans="1:3" x14ac:dyDescent="0.25">
      <c r="A371">
        <v>16</v>
      </c>
      <c r="B371">
        <v>0</v>
      </c>
      <c r="C371">
        <v>487</v>
      </c>
    </row>
    <row r="372" spans="1:3" x14ac:dyDescent="0.25">
      <c r="A372">
        <v>17</v>
      </c>
      <c r="B372">
        <v>0</v>
      </c>
      <c r="C372">
        <v>487</v>
      </c>
    </row>
    <row r="373" spans="1:3" x14ac:dyDescent="0.25">
      <c r="A373">
        <v>18</v>
      </c>
      <c r="B373">
        <v>0</v>
      </c>
      <c r="C373">
        <v>487</v>
      </c>
    </row>
    <row r="374" spans="1:3" x14ac:dyDescent="0.25">
      <c r="A374">
        <v>13</v>
      </c>
      <c r="B374">
        <v>0</v>
      </c>
      <c r="C374">
        <v>487</v>
      </c>
    </row>
    <row r="375" spans="1:3" x14ac:dyDescent="0.25">
      <c r="A375">
        <v>22</v>
      </c>
      <c r="B375">
        <v>0</v>
      </c>
      <c r="C375">
        <v>487</v>
      </c>
    </row>
    <row r="376" spans="1:3" x14ac:dyDescent="0.25">
      <c r="A376">
        <v>15</v>
      </c>
      <c r="B376">
        <v>0</v>
      </c>
      <c r="C376">
        <v>472</v>
      </c>
    </row>
    <row r="377" spans="1:3" x14ac:dyDescent="0.25">
      <c r="A377">
        <v>16</v>
      </c>
      <c r="B377">
        <v>0</v>
      </c>
      <c r="C377">
        <v>472</v>
      </c>
    </row>
    <row r="378" spans="1:3" x14ac:dyDescent="0.25">
      <c r="A378">
        <v>20</v>
      </c>
      <c r="B378">
        <v>0</v>
      </c>
      <c r="C378">
        <v>472</v>
      </c>
    </row>
    <row r="379" spans="1:3" x14ac:dyDescent="0.25">
      <c r="A379">
        <v>15</v>
      </c>
      <c r="B379">
        <v>0</v>
      </c>
      <c r="C379">
        <v>472</v>
      </c>
    </row>
    <row r="380" spans="1:3" x14ac:dyDescent="0.25">
      <c r="A380">
        <v>18</v>
      </c>
      <c r="B380">
        <v>0</v>
      </c>
      <c r="C380">
        <v>472</v>
      </c>
    </row>
    <row r="381" spans="1:3" x14ac:dyDescent="0.25">
      <c r="A381">
        <v>17</v>
      </c>
      <c r="B381">
        <v>0</v>
      </c>
      <c r="C381">
        <v>472</v>
      </c>
    </row>
    <row r="382" spans="1:3" x14ac:dyDescent="0.25">
      <c r="A382">
        <v>17</v>
      </c>
      <c r="B382">
        <v>0</v>
      </c>
      <c r="C382">
        <v>472</v>
      </c>
    </row>
    <row r="383" spans="1:3" x14ac:dyDescent="0.25">
      <c r="A383">
        <v>19</v>
      </c>
      <c r="B383">
        <v>0</v>
      </c>
      <c r="C383">
        <v>472</v>
      </c>
    </row>
    <row r="384" spans="1:3" x14ac:dyDescent="0.25">
      <c r="A384">
        <v>14</v>
      </c>
      <c r="B384">
        <v>0</v>
      </c>
      <c r="C384">
        <v>472</v>
      </c>
    </row>
    <row r="385" spans="1:3" x14ac:dyDescent="0.25">
      <c r="A385">
        <v>16</v>
      </c>
      <c r="B385">
        <v>0</v>
      </c>
      <c r="C385">
        <v>497</v>
      </c>
    </row>
    <row r="386" spans="1:3" x14ac:dyDescent="0.25">
      <c r="A386">
        <v>19</v>
      </c>
      <c r="B386">
        <v>0</v>
      </c>
      <c r="C386">
        <v>497</v>
      </c>
    </row>
    <row r="387" spans="1:3" x14ac:dyDescent="0.25">
      <c r="A387">
        <v>17</v>
      </c>
      <c r="B387">
        <v>0</v>
      </c>
      <c r="C387">
        <v>497</v>
      </c>
    </row>
    <row r="388" spans="1:3" x14ac:dyDescent="0.25">
      <c r="A388">
        <v>17</v>
      </c>
      <c r="B388">
        <v>0</v>
      </c>
      <c r="C388">
        <v>497</v>
      </c>
    </row>
    <row r="389" spans="1:3" x14ac:dyDescent="0.25">
      <c r="A389">
        <v>16</v>
      </c>
      <c r="B389">
        <v>0</v>
      </c>
      <c r="C389">
        <v>497</v>
      </c>
    </row>
    <row r="390" spans="1:3" x14ac:dyDescent="0.25">
      <c r="A390">
        <v>17</v>
      </c>
      <c r="B390">
        <v>0</v>
      </c>
      <c r="C390">
        <v>497</v>
      </c>
    </row>
    <row r="391" spans="1:3" x14ac:dyDescent="0.25">
      <c r="A391">
        <v>22</v>
      </c>
      <c r="B391">
        <v>0</v>
      </c>
      <c r="C391">
        <v>497</v>
      </c>
    </row>
    <row r="392" spans="1:3" x14ac:dyDescent="0.25">
      <c r="A392">
        <v>15</v>
      </c>
      <c r="B392">
        <v>0</v>
      </c>
      <c r="C392">
        <v>497</v>
      </c>
    </row>
    <row r="393" spans="1:3" x14ac:dyDescent="0.25">
      <c r="A393">
        <v>16</v>
      </c>
      <c r="B393">
        <v>0</v>
      </c>
      <c r="C393">
        <v>502</v>
      </c>
    </row>
    <row r="394" spans="1:3" x14ac:dyDescent="0.25">
      <c r="A394">
        <v>15</v>
      </c>
      <c r="B394">
        <v>0</v>
      </c>
      <c r="C394">
        <v>502</v>
      </c>
    </row>
    <row r="395" spans="1:3" x14ac:dyDescent="0.25">
      <c r="A395">
        <v>15</v>
      </c>
      <c r="B395">
        <v>0</v>
      </c>
      <c r="C395">
        <v>502</v>
      </c>
    </row>
    <row r="396" spans="1:3" x14ac:dyDescent="0.25">
      <c r="A396">
        <v>16</v>
      </c>
      <c r="B396">
        <v>0</v>
      </c>
      <c r="C396">
        <v>502</v>
      </c>
    </row>
    <row r="397" spans="1:3" x14ac:dyDescent="0.25">
      <c r="A397">
        <v>15</v>
      </c>
      <c r="B397">
        <v>0</v>
      </c>
      <c r="C397">
        <v>502</v>
      </c>
    </row>
    <row r="398" spans="1:3" x14ac:dyDescent="0.25">
      <c r="A398">
        <v>15</v>
      </c>
      <c r="B398">
        <v>0</v>
      </c>
      <c r="C398">
        <v>502</v>
      </c>
    </row>
    <row r="399" spans="1:3" x14ac:dyDescent="0.25">
      <c r="A399">
        <v>19</v>
      </c>
      <c r="B399">
        <v>0</v>
      </c>
      <c r="C399">
        <v>502</v>
      </c>
    </row>
    <row r="400" spans="1:3" x14ac:dyDescent="0.25">
      <c r="A400">
        <v>14</v>
      </c>
      <c r="B400">
        <v>0</v>
      </c>
      <c r="C400">
        <v>502</v>
      </c>
    </row>
    <row r="401" spans="1:3" x14ac:dyDescent="0.25">
      <c r="A401">
        <v>17</v>
      </c>
      <c r="B401">
        <v>0</v>
      </c>
      <c r="C401">
        <v>532</v>
      </c>
    </row>
    <row r="402" spans="1:3" x14ac:dyDescent="0.25">
      <c r="A402">
        <v>16</v>
      </c>
      <c r="B402">
        <v>0</v>
      </c>
      <c r="C402">
        <v>532</v>
      </c>
    </row>
    <row r="403" spans="1:3" x14ac:dyDescent="0.25">
      <c r="A403">
        <v>15</v>
      </c>
      <c r="B403">
        <v>0</v>
      </c>
      <c r="C403">
        <v>532</v>
      </c>
    </row>
    <row r="404" spans="1:3" x14ac:dyDescent="0.25">
      <c r="A404">
        <v>13</v>
      </c>
      <c r="B404">
        <v>0</v>
      </c>
      <c r="C404">
        <v>532</v>
      </c>
    </row>
    <row r="405" spans="1:3" x14ac:dyDescent="0.25">
      <c r="A405">
        <v>12</v>
      </c>
      <c r="B405">
        <v>0</v>
      </c>
      <c r="C405">
        <v>532</v>
      </c>
    </row>
    <row r="406" spans="1:3" x14ac:dyDescent="0.25">
      <c r="A406">
        <v>15</v>
      </c>
      <c r="B406">
        <v>0</v>
      </c>
      <c r="C406">
        <v>532</v>
      </c>
    </row>
    <row r="407" spans="1:3" x14ac:dyDescent="0.25">
      <c r="A407">
        <v>20</v>
      </c>
      <c r="B407">
        <v>0</v>
      </c>
      <c r="C407">
        <v>532</v>
      </c>
    </row>
    <row r="408" spans="1:3" x14ac:dyDescent="0.25">
      <c r="A408">
        <v>19</v>
      </c>
      <c r="B408">
        <v>0</v>
      </c>
      <c r="C408">
        <v>532</v>
      </c>
    </row>
    <row r="409" spans="1:3" x14ac:dyDescent="0.25">
      <c r="A409">
        <v>16</v>
      </c>
      <c r="B409">
        <v>0</v>
      </c>
      <c r="C409">
        <v>532</v>
      </c>
    </row>
    <row r="410" spans="1:3" x14ac:dyDescent="0.25">
      <c r="A410">
        <v>16</v>
      </c>
      <c r="B410">
        <v>0</v>
      </c>
      <c r="C410">
        <v>529</v>
      </c>
    </row>
    <row r="411" spans="1:3" x14ac:dyDescent="0.25">
      <c r="A411">
        <v>23</v>
      </c>
      <c r="B411">
        <v>0</v>
      </c>
      <c r="C411">
        <v>529</v>
      </c>
    </row>
    <row r="412" spans="1:3" x14ac:dyDescent="0.25">
      <c r="A412">
        <v>15</v>
      </c>
      <c r="B412">
        <v>0</v>
      </c>
      <c r="C412">
        <v>529</v>
      </c>
    </row>
    <row r="413" spans="1:3" x14ac:dyDescent="0.25">
      <c r="A413">
        <v>16</v>
      </c>
      <c r="B413">
        <v>0</v>
      </c>
      <c r="C413">
        <v>529</v>
      </c>
    </row>
    <row r="414" spans="1:3" x14ac:dyDescent="0.25">
      <c r="A414">
        <v>14</v>
      </c>
      <c r="B414">
        <v>0</v>
      </c>
      <c r="C414">
        <v>529</v>
      </c>
    </row>
    <row r="415" spans="1:3" x14ac:dyDescent="0.25">
      <c r="A415">
        <v>20</v>
      </c>
      <c r="B415">
        <v>0</v>
      </c>
      <c r="C415">
        <v>529</v>
      </c>
    </row>
    <row r="416" spans="1:3" x14ac:dyDescent="0.25">
      <c r="A416">
        <v>16</v>
      </c>
      <c r="B416">
        <v>0</v>
      </c>
      <c r="C416">
        <v>529</v>
      </c>
    </row>
    <row r="417" spans="1:3" x14ac:dyDescent="0.25">
      <c r="A417">
        <v>14</v>
      </c>
      <c r="B417">
        <v>0</v>
      </c>
      <c r="C417">
        <v>529</v>
      </c>
    </row>
    <row r="418" spans="1:3" x14ac:dyDescent="0.25">
      <c r="A418">
        <v>14</v>
      </c>
      <c r="B418">
        <v>0</v>
      </c>
      <c r="C418">
        <v>529</v>
      </c>
    </row>
    <row r="419" spans="1:3" x14ac:dyDescent="0.25">
      <c r="A419">
        <v>14</v>
      </c>
      <c r="B419">
        <v>0</v>
      </c>
      <c r="C419">
        <v>506</v>
      </c>
    </row>
    <row r="420" spans="1:3" x14ac:dyDescent="0.25">
      <c r="A420">
        <v>12</v>
      </c>
      <c r="B420">
        <v>0</v>
      </c>
      <c r="C420">
        <v>506</v>
      </c>
    </row>
    <row r="421" spans="1:3" x14ac:dyDescent="0.25">
      <c r="A421">
        <v>15</v>
      </c>
      <c r="B421">
        <v>0</v>
      </c>
      <c r="C421">
        <v>506</v>
      </c>
    </row>
    <row r="422" spans="1:3" x14ac:dyDescent="0.25">
      <c r="A422">
        <v>17</v>
      </c>
      <c r="B422">
        <v>0</v>
      </c>
      <c r="C422">
        <v>506</v>
      </c>
    </row>
    <row r="423" spans="1:3" x14ac:dyDescent="0.25">
      <c r="A423">
        <v>19</v>
      </c>
      <c r="B423">
        <v>0</v>
      </c>
      <c r="C423">
        <v>506</v>
      </c>
    </row>
    <row r="424" spans="1:3" x14ac:dyDescent="0.25">
      <c r="A424">
        <v>19</v>
      </c>
      <c r="B424">
        <v>0</v>
      </c>
      <c r="C424">
        <v>506</v>
      </c>
    </row>
    <row r="425" spans="1:3" x14ac:dyDescent="0.25">
      <c r="A425">
        <v>20</v>
      </c>
      <c r="B425">
        <v>0</v>
      </c>
      <c r="C425">
        <v>506</v>
      </c>
    </row>
    <row r="426" spans="1:3" x14ac:dyDescent="0.25">
      <c r="A426">
        <v>14</v>
      </c>
      <c r="B426">
        <v>0</v>
      </c>
      <c r="C426">
        <v>506</v>
      </c>
    </row>
    <row r="427" spans="1:3" x14ac:dyDescent="0.25">
      <c r="A427">
        <v>15</v>
      </c>
      <c r="B427">
        <v>0</v>
      </c>
      <c r="C427">
        <v>516</v>
      </c>
    </row>
    <row r="428" spans="1:3" x14ac:dyDescent="0.25">
      <c r="A428">
        <v>16</v>
      </c>
      <c r="B428">
        <v>0</v>
      </c>
      <c r="C428">
        <v>516</v>
      </c>
    </row>
    <row r="429" spans="1:3" x14ac:dyDescent="0.25">
      <c r="A429">
        <v>17</v>
      </c>
      <c r="B429">
        <v>0</v>
      </c>
      <c r="C429">
        <v>516</v>
      </c>
    </row>
    <row r="430" spans="1:3" x14ac:dyDescent="0.25">
      <c r="A430">
        <v>19</v>
      </c>
      <c r="B430">
        <v>0</v>
      </c>
      <c r="C430">
        <v>516</v>
      </c>
    </row>
    <row r="431" spans="1:3" x14ac:dyDescent="0.25">
      <c r="A431">
        <v>20</v>
      </c>
      <c r="B431">
        <v>0</v>
      </c>
      <c r="C431">
        <v>516</v>
      </c>
    </row>
    <row r="432" spans="1:3" x14ac:dyDescent="0.25">
      <c r="A432">
        <v>15</v>
      </c>
      <c r="B432">
        <v>0</v>
      </c>
      <c r="C432">
        <v>516</v>
      </c>
    </row>
    <row r="433" spans="1:3" x14ac:dyDescent="0.25">
      <c r="A433">
        <v>16</v>
      </c>
      <c r="B433">
        <v>0</v>
      </c>
      <c r="C433">
        <v>516</v>
      </c>
    </row>
    <row r="434" spans="1:3" x14ac:dyDescent="0.25">
      <c r="A434">
        <v>17</v>
      </c>
      <c r="B434">
        <v>0</v>
      </c>
      <c r="C434">
        <v>516</v>
      </c>
    </row>
    <row r="435" spans="1:3" x14ac:dyDescent="0.25">
      <c r="A435">
        <v>14</v>
      </c>
      <c r="B435">
        <v>0</v>
      </c>
      <c r="C435">
        <v>553</v>
      </c>
    </row>
    <row r="436" spans="1:3" x14ac:dyDescent="0.25">
      <c r="A436">
        <v>17</v>
      </c>
      <c r="B436">
        <v>0</v>
      </c>
      <c r="C436">
        <v>553</v>
      </c>
    </row>
    <row r="437" spans="1:3" x14ac:dyDescent="0.25">
      <c r="A437">
        <v>15</v>
      </c>
      <c r="B437">
        <v>0</v>
      </c>
      <c r="C437">
        <v>553</v>
      </c>
    </row>
    <row r="438" spans="1:3" x14ac:dyDescent="0.25">
      <c r="A438">
        <v>16</v>
      </c>
      <c r="B438">
        <v>0</v>
      </c>
      <c r="C438">
        <v>553</v>
      </c>
    </row>
    <row r="439" spans="1:3" x14ac:dyDescent="0.25">
      <c r="A439">
        <v>23</v>
      </c>
      <c r="B439">
        <v>0</v>
      </c>
      <c r="C439">
        <v>553</v>
      </c>
    </row>
    <row r="440" spans="1:3" x14ac:dyDescent="0.25">
      <c r="A440">
        <v>17</v>
      </c>
      <c r="B440">
        <v>0</v>
      </c>
      <c r="C440">
        <v>553</v>
      </c>
    </row>
    <row r="441" spans="1:3" x14ac:dyDescent="0.25">
      <c r="A441">
        <v>15</v>
      </c>
      <c r="B441">
        <v>0</v>
      </c>
      <c r="C441">
        <v>553</v>
      </c>
    </row>
    <row r="442" spans="1:3" x14ac:dyDescent="0.25">
      <c r="A442">
        <v>18</v>
      </c>
      <c r="B442">
        <v>0</v>
      </c>
      <c r="C442">
        <v>553</v>
      </c>
    </row>
    <row r="443" spans="1:3" x14ac:dyDescent="0.25">
      <c r="A443">
        <v>17</v>
      </c>
      <c r="B443">
        <v>0</v>
      </c>
      <c r="C443">
        <v>534</v>
      </c>
    </row>
    <row r="444" spans="1:3" x14ac:dyDescent="0.25">
      <c r="A444">
        <v>15</v>
      </c>
      <c r="B444">
        <v>0</v>
      </c>
      <c r="C444">
        <v>534</v>
      </c>
    </row>
    <row r="445" spans="1:3" x14ac:dyDescent="0.25">
      <c r="A445">
        <v>16</v>
      </c>
      <c r="B445">
        <v>0</v>
      </c>
      <c r="C445">
        <v>534</v>
      </c>
    </row>
    <row r="446" spans="1:3" x14ac:dyDescent="0.25">
      <c r="A446">
        <v>17</v>
      </c>
      <c r="B446">
        <v>0</v>
      </c>
      <c r="C446">
        <v>534</v>
      </c>
    </row>
    <row r="447" spans="1:3" x14ac:dyDescent="0.25">
      <c r="A447">
        <v>20</v>
      </c>
      <c r="B447">
        <v>0</v>
      </c>
      <c r="C447">
        <v>534</v>
      </c>
    </row>
    <row r="448" spans="1:3" x14ac:dyDescent="0.25">
      <c r="A448">
        <v>14</v>
      </c>
      <c r="B448">
        <v>0</v>
      </c>
      <c r="C448">
        <v>534</v>
      </c>
    </row>
    <row r="449" spans="1:3" x14ac:dyDescent="0.25">
      <c r="A449">
        <v>17</v>
      </c>
      <c r="B449">
        <v>0</v>
      </c>
      <c r="C449">
        <v>534</v>
      </c>
    </row>
    <row r="450" spans="1:3" x14ac:dyDescent="0.25">
      <c r="A450">
        <v>17</v>
      </c>
      <c r="B450">
        <v>0</v>
      </c>
      <c r="C450">
        <v>534</v>
      </c>
    </row>
    <row r="451" spans="1:3" x14ac:dyDescent="0.25">
      <c r="A451">
        <v>16</v>
      </c>
      <c r="B451">
        <v>0</v>
      </c>
      <c r="C451">
        <v>508</v>
      </c>
    </row>
    <row r="452" spans="1:3" x14ac:dyDescent="0.25">
      <c r="A452">
        <v>17</v>
      </c>
      <c r="B452">
        <v>0</v>
      </c>
      <c r="C452">
        <v>508</v>
      </c>
    </row>
    <row r="453" spans="1:3" x14ac:dyDescent="0.25">
      <c r="A453">
        <v>14</v>
      </c>
      <c r="B453">
        <v>0</v>
      </c>
      <c r="C453">
        <v>508</v>
      </c>
    </row>
    <row r="454" spans="1:3" x14ac:dyDescent="0.25">
      <c r="A454">
        <v>17</v>
      </c>
      <c r="B454">
        <v>0</v>
      </c>
      <c r="C454">
        <v>508</v>
      </c>
    </row>
    <row r="455" spans="1:3" x14ac:dyDescent="0.25">
      <c r="A455">
        <v>19</v>
      </c>
      <c r="B455">
        <v>0</v>
      </c>
      <c r="C455">
        <v>508</v>
      </c>
    </row>
    <row r="456" spans="1:3" x14ac:dyDescent="0.25">
      <c r="A456">
        <v>18</v>
      </c>
      <c r="B456">
        <v>0</v>
      </c>
      <c r="C456">
        <v>508</v>
      </c>
    </row>
    <row r="457" spans="1:3" x14ac:dyDescent="0.25">
      <c r="A457">
        <v>16</v>
      </c>
      <c r="B457">
        <v>0</v>
      </c>
      <c r="C457">
        <v>508</v>
      </c>
    </row>
    <row r="458" spans="1:3" x14ac:dyDescent="0.25">
      <c r="A458">
        <v>14</v>
      </c>
      <c r="B458">
        <v>0</v>
      </c>
      <c r="C458">
        <v>508</v>
      </c>
    </row>
    <row r="459" spans="1:3" x14ac:dyDescent="0.25">
      <c r="A459">
        <v>17</v>
      </c>
      <c r="B459">
        <v>0</v>
      </c>
      <c r="C459">
        <v>426</v>
      </c>
    </row>
    <row r="460" spans="1:3" x14ac:dyDescent="0.25">
      <c r="A460">
        <v>18</v>
      </c>
      <c r="B460">
        <v>0</v>
      </c>
      <c r="C460">
        <v>426</v>
      </c>
    </row>
    <row r="461" spans="1:3" x14ac:dyDescent="0.25">
      <c r="A461">
        <v>17</v>
      </c>
      <c r="B461">
        <v>0</v>
      </c>
      <c r="C461">
        <v>426</v>
      </c>
    </row>
    <row r="462" spans="1:3" x14ac:dyDescent="0.25">
      <c r="A462">
        <v>21</v>
      </c>
      <c r="B462">
        <v>0</v>
      </c>
      <c r="C462">
        <v>426</v>
      </c>
    </row>
    <row r="463" spans="1:3" x14ac:dyDescent="0.25">
      <c r="A463">
        <v>20</v>
      </c>
      <c r="B463">
        <v>0</v>
      </c>
      <c r="C463">
        <v>426</v>
      </c>
    </row>
    <row r="464" spans="1:3" x14ac:dyDescent="0.25">
      <c r="A464">
        <v>16</v>
      </c>
      <c r="B464">
        <v>0</v>
      </c>
      <c r="C464">
        <v>426</v>
      </c>
    </row>
    <row r="465" spans="1:3" x14ac:dyDescent="0.25">
      <c r="A465">
        <v>17</v>
      </c>
      <c r="B465">
        <v>0</v>
      </c>
      <c r="C465">
        <v>426</v>
      </c>
    </row>
    <row r="466" spans="1:3" x14ac:dyDescent="0.25">
      <c r="A466">
        <v>17</v>
      </c>
      <c r="B466">
        <v>0</v>
      </c>
      <c r="C466">
        <v>426</v>
      </c>
    </row>
    <row r="467" spans="1:3" x14ac:dyDescent="0.25">
      <c r="A467">
        <v>15</v>
      </c>
      <c r="B467">
        <v>0</v>
      </c>
      <c r="C467">
        <v>518</v>
      </c>
    </row>
    <row r="468" spans="1:3" x14ac:dyDescent="0.25">
      <c r="A468">
        <v>16</v>
      </c>
      <c r="B468">
        <v>0</v>
      </c>
      <c r="C468">
        <v>518</v>
      </c>
    </row>
    <row r="469" spans="1:3" x14ac:dyDescent="0.25">
      <c r="A469">
        <v>16</v>
      </c>
      <c r="B469">
        <v>0</v>
      </c>
      <c r="C469">
        <v>518</v>
      </c>
    </row>
    <row r="470" spans="1:3" x14ac:dyDescent="0.25">
      <c r="A470">
        <v>21</v>
      </c>
      <c r="B470">
        <v>0</v>
      </c>
      <c r="C470">
        <v>518</v>
      </c>
    </row>
    <row r="471" spans="1:3" x14ac:dyDescent="0.25">
      <c r="A471">
        <v>16</v>
      </c>
      <c r="B471">
        <v>0</v>
      </c>
      <c r="C471">
        <v>518</v>
      </c>
    </row>
    <row r="472" spans="1:3" x14ac:dyDescent="0.25">
      <c r="A472">
        <v>16</v>
      </c>
      <c r="B472">
        <v>0</v>
      </c>
      <c r="C472">
        <v>518</v>
      </c>
    </row>
    <row r="473" spans="1:3" x14ac:dyDescent="0.25">
      <c r="A473">
        <v>14</v>
      </c>
      <c r="B473">
        <v>0</v>
      </c>
      <c r="C473">
        <v>518</v>
      </c>
    </row>
    <row r="474" spans="1:3" x14ac:dyDescent="0.25">
      <c r="A474">
        <v>14</v>
      </c>
      <c r="B474">
        <v>0</v>
      </c>
      <c r="C474">
        <v>518</v>
      </c>
    </row>
    <row r="475" spans="1:3" x14ac:dyDescent="0.25">
      <c r="A475">
        <v>15</v>
      </c>
      <c r="B475">
        <v>0</v>
      </c>
      <c r="C475">
        <v>518</v>
      </c>
    </row>
    <row r="476" spans="1:3" x14ac:dyDescent="0.25">
      <c r="A476">
        <v>15</v>
      </c>
      <c r="B476">
        <v>0</v>
      </c>
      <c r="C476">
        <v>510</v>
      </c>
    </row>
    <row r="477" spans="1:3" x14ac:dyDescent="0.25">
      <c r="A477">
        <v>20</v>
      </c>
      <c r="B477">
        <v>0</v>
      </c>
      <c r="C477">
        <v>510</v>
      </c>
    </row>
    <row r="478" spans="1:3" x14ac:dyDescent="0.25">
      <c r="A478">
        <v>22</v>
      </c>
      <c r="B478">
        <v>0</v>
      </c>
      <c r="C478">
        <v>510</v>
      </c>
    </row>
    <row r="479" spans="1:3" x14ac:dyDescent="0.25">
      <c r="A479">
        <v>17</v>
      </c>
      <c r="B479">
        <v>0</v>
      </c>
      <c r="C479">
        <v>510</v>
      </c>
    </row>
    <row r="480" spans="1:3" x14ac:dyDescent="0.25">
      <c r="A480">
        <v>15</v>
      </c>
      <c r="B480">
        <v>0</v>
      </c>
      <c r="C480">
        <v>510</v>
      </c>
    </row>
    <row r="481" spans="1:3" x14ac:dyDescent="0.25">
      <c r="A481">
        <v>17</v>
      </c>
      <c r="B481">
        <v>0</v>
      </c>
      <c r="C481">
        <v>510</v>
      </c>
    </row>
    <row r="482" spans="1:3" x14ac:dyDescent="0.25">
      <c r="A482">
        <v>18</v>
      </c>
      <c r="B482">
        <v>0</v>
      </c>
      <c r="C482">
        <v>510</v>
      </c>
    </row>
    <row r="483" spans="1:3" x14ac:dyDescent="0.25">
      <c r="A483">
        <v>17</v>
      </c>
      <c r="B483">
        <v>0</v>
      </c>
      <c r="C483">
        <v>510</v>
      </c>
    </row>
    <row r="484" spans="1:3" x14ac:dyDescent="0.25">
      <c r="A484">
        <v>15</v>
      </c>
      <c r="B484">
        <v>0</v>
      </c>
      <c r="C484">
        <v>510</v>
      </c>
    </row>
    <row r="485" spans="1:3" x14ac:dyDescent="0.25">
      <c r="A485">
        <v>14</v>
      </c>
      <c r="B485">
        <v>0</v>
      </c>
      <c r="C485">
        <v>549</v>
      </c>
    </row>
    <row r="486" spans="1:3" x14ac:dyDescent="0.25">
      <c r="A486">
        <v>22</v>
      </c>
      <c r="B486">
        <v>0</v>
      </c>
      <c r="C486">
        <v>549</v>
      </c>
    </row>
    <row r="487" spans="1:3" x14ac:dyDescent="0.25">
      <c r="A487">
        <v>17</v>
      </c>
      <c r="B487">
        <v>0</v>
      </c>
      <c r="C487">
        <v>549</v>
      </c>
    </row>
    <row r="488" spans="1:3" x14ac:dyDescent="0.25">
      <c r="A488">
        <v>16</v>
      </c>
      <c r="B488">
        <v>0</v>
      </c>
      <c r="C488">
        <v>549</v>
      </c>
    </row>
    <row r="489" spans="1:3" x14ac:dyDescent="0.25">
      <c r="A489">
        <v>18</v>
      </c>
      <c r="B489">
        <v>0</v>
      </c>
      <c r="C489">
        <v>549</v>
      </c>
    </row>
    <row r="490" spans="1:3" x14ac:dyDescent="0.25">
      <c r="A490">
        <v>14</v>
      </c>
      <c r="B490">
        <v>0</v>
      </c>
      <c r="C490">
        <v>549</v>
      </c>
    </row>
    <row r="491" spans="1:3" x14ac:dyDescent="0.25">
      <c r="A491">
        <v>18</v>
      </c>
      <c r="B491">
        <v>0</v>
      </c>
      <c r="C491">
        <v>549</v>
      </c>
    </row>
    <row r="492" spans="1:3" x14ac:dyDescent="0.25">
      <c r="A492">
        <v>16</v>
      </c>
      <c r="B492">
        <v>0</v>
      </c>
      <c r="C492">
        <v>549</v>
      </c>
    </row>
    <row r="493" spans="1:3" x14ac:dyDescent="0.25">
      <c r="A493">
        <v>19</v>
      </c>
      <c r="B493">
        <v>0</v>
      </c>
      <c r="C493">
        <v>567</v>
      </c>
    </row>
    <row r="494" spans="1:3" x14ac:dyDescent="0.25">
      <c r="A494">
        <v>19</v>
      </c>
      <c r="B494">
        <v>0</v>
      </c>
      <c r="C494">
        <v>567</v>
      </c>
    </row>
    <row r="495" spans="1:3" x14ac:dyDescent="0.25">
      <c r="A495">
        <v>13</v>
      </c>
      <c r="B495">
        <v>0</v>
      </c>
      <c r="C495">
        <v>567</v>
      </c>
    </row>
    <row r="496" spans="1:3" x14ac:dyDescent="0.25">
      <c r="A496">
        <v>14</v>
      </c>
      <c r="B496">
        <v>0</v>
      </c>
      <c r="C496">
        <v>567</v>
      </c>
    </row>
    <row r="497" spans="1:3" x14ac:dyDescent="0.25">
      <c r="A497">
        <v>18</v>
      </c>
      <c r="B497">
        <v>0</v>
      </c>
      <c r="C497">
        <v>567</v>
      </c>
    </row>
    <row r="498" spans="1:3" x14ac:dyDescent="0.25">
      <c r="A498">
        <v>16</v>
      </c>
      <c r="B498">
        <v>0</v>
      </c>
      <c r="C498">
        <v>567</v>
      </c>
    </row>
    <row r="499" spans="1:3" x14ac:dyDescent="0.25">
      <c r="A499">
        <v>18</v>
      </c>
      <c r="B499">
        <v>0</v>
      </c>
      <c r="C499">
        <v>567</v>
      </c>
    </row>
    <row r="500" spans="1:3" x14ac:dyDescent="0.25">
      <c r="A500">
        <v>16</v>
      </c>
      <c r="B500">
        <v>0</v>
      </c>
      <c r="C500">
        <v>567</v>
      </c>
    </row>
    <row r="501" spans="1:3" x14ac:dyDescent="0.25">
      <c r="A501">
        <v>21</v>
      </c>
      <c r="B501">
        <v>0</v>
      </c>
      <c r="C501">
        <v>567</v>
      </c>
    </row>
    <row r="502" spans="1:3" x14ac:dyDescent="0.25">
      <c r="A502">
        <v>19</v>
      </c>
      <c r="B502">
        <v>0</v>
      </c>
      <c r="C502">
        <v>480</v>
      </c>
    </row>
    <row r="503" spans="1:3" x14ac:dyDescent="0.25">
      <c r="A503">
        <v>15</v>
      </c>
      <c r="B503">
        <v>0</v>
      </c>
      <c r="C503">
        <v>480</v>
      </c>
    </row>
    <row r="504" spans="1:3" x14ac:dyDescent="0.25">
      <c r="A504">
        <v>17</v>
      </c>
      <c r="B504">
        <v>0</v>
      </c>
      <c r="C504">
        <v>480</v>
      </c>
    </row>
    <row r="505" spans="1:3" x14ac:dyDescent="0.25">
      <c r="A505">
        <v>17</v>
      </c>
      <c r="B505">
        <v>0</v>
      </c>
      <c r="C505">
        <v>480</v>
      </c>
    </row>
    <row r="506" spans="1:3" x14ac:dyDescent="0.25">
      <c r="A506">
        <v>16</v>
      </c>
      <c r="B506">
        <v>0</v>
      </c>
      <c r="C506">
        <v>480</v>
      </c>
    </row>
    <row r="507" spans="1:3" x14ac:dyDescent="0.25">
      <c r="A507">
        <v>17</v>
      </c>
      <c r="B507">
        <v>0</v>
      </c>
      <c r="C507">
        <v>480</v>
      </c>
    </row>
    <row r="508" spans="1:3" x14ac:dyDescent="0.25">
      <c r="A508">
        <v>16</v>
      </c>
      <c r="B508">
        <v>0</v>
      </c>
      <c r="C508">
        <v>480</v>
      </c>
    </row>
    <row r="509" spans="1:3" x14ac:dyDescent="0.25">
      <c r="A509">
        <v>20</v>
      </c>
      <c r="B509">
        <v>0</v>
      </c>
      <c r="C509">
        <v>480</v>
      </c>
    </row>
    <row r="510" spans="1:3" x14ac:dyDescent="0.25">
      <c r="A510">
        <v>13</v>
      </c>
      <c r="B510">
        <v>0</v>
      </c>
      <c r="C510">
        <v>480</v>
      </c>
    </row>
    <row r="511" spans="1:3" x14ac:dyDescent="0.25">
      <c r="A511">
        <v>14</v>
      </c>
      <c r="B511">
        <v>0</v>
      </c>
      <c r="C511">
        <v>483</v>
      </c>
    </row>
    <row r="512" spans="1:3" x14ac:dyDescent="0.25">
      <c r="A512">
        <v>16</v>
      </c>
      <c r="B512">
        <v>0</v>
      </c>
      <c r="C512">
        <v>483</v>
      </c>
    </row>
    <row r="513" spans="1:3" x14ac:dyDescent="0.25">
      <c r="A513">
        <v>17</v>
      </c>
      <c r="B513">
        <v>0</v>
      </c>
      <c r="C513">
        <v>483</v>
      </c>
    </row>
    <row r="514" spans="1:3" x14ac:dyDescent="0.25">
      <c r="A514">
        <v>16</v>
      </c>
      <c r="B514">
        <v>0</v>
      </c>
      <c r="C514">
        <v>483</v>
      </c>
    </row>
    <row r="515" spans="1:3" x14ac:dyDescent="0.25">
      <c r="A515">
        <v>15</v>
      </c>
      <c r="B515">
        <v>0</v>
      </c>
      <c r="C515">
        <v>483</v>
      </c>
    </row>
    <row r="516" spans="1:3" x14ac:dyDescent="0.25">
      <c r="A516">
        <v>16</v>
      </c>
      <c r="B516">
        <v>0</v>
      </c>
      <c r="C516">
        <v>483</v>
      </c>
    </row>
    <row r="517" spans="1:3" x14ac:dyDescent="0.25">
      <c r="A517">
        <v>21</v>
      </c>
      <c r="B517">
        <v>0</v>
      </c>
      <c r="C517">
        <v>483</v>
      </c>
    </row>
    <row r="518" spans="1:3" x14ac:dyDescent="0.25">
      <c r="A518">
        <v>20</v>
      </c>
      <c r="B518">
        <v>0</v>
      </c>
      <c r="C518">
        <v>483</v>
      </c>
    </row>
    <row r="519" spans="1:3" x14ac:dyDescent="0.25">
      <c r="A519">
        <v>18</v>
      </c>
      <c r="B519">
        <v>0</v>
      </c>
      <c r="C519">
        <v>548</v>
      </c>
    </row>
    <row r="520" spans="1:3" x14ac:dyDescent="0.25">
      <c r="A520">
        <v>14</v>
      </c>
      <c r="B520">
        <v>0</v>
      </c>
      <c r="C520">
        <v>548</v>
      </c>
    </row>
    <row r="521" spans="1:3" x14ac:dyDescent="0.25">
      <c r="A521">
        <v>17</v>
      </c>
      <c r="B521">
        <v>0</v>
      </c>
      <c r="C521">
        <v>548</v>
      </c>
    </row>
    <row r="522" spans="1:3" x14ac:dyDescent="0.25">
      <c r="A522">
        <v>15</v>
      </c>
      <c r="B522">
        <v>0</v>
      </c>
      <c r="C522">
        <v>548</v>
      </c>
    </row>
    <row r="523" spans="1:3" x14ac:dyDescent="0.25">
      <c r="A523">
        <v>17</v>
      </c>
      <c r="B523">
        <v>0</v>
      </c>
      <c r="C523">
        <v>548</v>
      </c>
    </row>
    <row r="524" spans="1:3" x14ac:dyDescent="0.25">
      <c r="A524">
        <v>16</v>
      </c>
      <c r="B524">
        <v>0</v>
      </c>
      <c r="C524">
        <v>548</v>
      </c>
    </row>
    <row r="525" spans="1:3" x14ac:dyDescent="0.25">
      <c r="A525">
        <v>17</v>
      </c>
      <c r="B525">
        <v>0</v>
      </c>
      <c r="C525">
        <v>548</v>
      </c>
    </row>
    <row r="526" spans="1:3" x14ac:dyDescent="0.25">
      <c r="A526">
        <v>16</v>
      </c>
      <c r="B526">
        <v>0</v>
      </c>
      <c r="C526">
        <v>548</v>
      </c>
    </row>
    <row r="527" spans="1:3" x14ac:dyDescent="0.25">
      <c r="A527">
        <v>15</v>
      </c>
      <c r="B527">
        <v>0</v>
      </c>
      <c r="C527">
        <v>548</v>
      </c>
    </row>
    <row r="528" spans="1:3" x14ac:dyDescent="0.25">
      <c r="A528">
        <v>15</v>
      </c>
      <c r="B528">
        <v>0</v>
      </c>
      <c r="C528">
        <v>485</v>
      </c>
    </row>
    <row r="529" spans="1:3" x14ac:dyDescent="0.25">
      <c r="A529">
        <v>15</v>
      </c>
      <c r="B529">
        <v>0</v>
      </c>
      <c r="C529">
        <v>485</v>
      </c>
    </row>
    <row r="530" spans="1:3" x14ac:dyDescent="0.25">
      <c r="A530">
        <v>14</v>
      </c>
      <c r="B530">
        <v>0</v>
      </c>
      <c r="C530">
        <v>485</v>
      </c>
    </row>
    <row r="531" spans="1:3" x14ac:dyDescent="0.25">
      <c r="A531">
        <v>14</v>
      </c>
      <c r="B531">
        <v>0</v>
      </c>
      <c r="C531">
        <v>485</v>
      </c>
    </row>
    <row r="532" spans="1:3" x14ac:dyDescent="0.25">
      <c r="A532">
        <v>17</v>
      </c>
      <c r="B532">
        <v>0</v>
      </c>
      <c r="C532">
        <v>485</v>
      </c>
    </row>
    <row r="533" spans="1:3" x14ac:dyDescent="0.25">
      <c r="A533">
        <v>21</v>
      </c>
      <c r="B533">
        <v>0</v>
      </c>
      <c r="C533">
        <v>485</v>
      </c>
    </row>
    <row r="534" spans="1:3" x14ac:dyDescent="0.25">
      <c r="A534">
        <v>17</v>
      </c>
      <c r="B534">
        <v>0</v>
      </c>
      <c r="C534">
        <v>485</v>
      </c>
    </row>
    <row r="535" spans="1:3" x14ac:dyDescent="0.25">
      <c r="A535">
        <v>17</v>
      </c>
      <c r="B535">
        <v>0</v>
      </c>
      <c r="C535">
        <v>485</v>
      </c>
    </row>
    <row r="536" spans="1:3" x14ac:dyDescent="0.25">
      <c r="A536">
        <v>18</v>
      </c>
      <c r="B536">
        <v>0</v>
      </c>
      <c r="C536">
        <v>507</v>
      </c>
    </row>
    <row r="537" spans="1:3" x14ac:dyDescent="0.25">
      <c r="A537">
        <v>18</v>
      </c>
      <c r="B537">
        <v>0</v>
      </c>
      <c r="C537">
        <v>507</v>
      </c>
    </row>
    <row r="538" spans="1:3" x14ac:dyDescent="0.25">
      <c r="A538">
        <v>18</v>
      </c>
      <c r="B538">
        <v>0</v>
      </c>
      <c r="C538">
        <v>507</v>
      </c>
    </row>
    <row r="539" spans="1:3" x14ac:dyDescent="0.25">
      <c r="A539">
        <v>16</v>
      </c>
      <c r="B539">
        <v>0</v>
      </c>
      <c r="C539">
        <v>507</v>
      </c>
    </row>
    <row r="540" spans="1:3" x14ac:dyDescent="0.25">
      <c r="A540">
        <v>19</v>
      </c>
      <c r="B540">
        <v>0</v>
      </c>
      <c r="C540">
        <v>507</v>
      </c>
    </row>
    <row r="541" spans="1:3" x14ac:dyDescent="0.25">
      <c r="A541">
        <v>17</v>
      </c>
      <c r="B541">
        <v>0</v>
      </c>
      <c r="C541">
        <v>507</v>
      </c>
    </row>
    <row r="542" spans="1:3" x14ac:dyDescent="0.25">
      <c r="A542">
        <v>17</v>
      </c>
      <c r="B542">
        <v>0</v>
      </c>
      <c r="C542">
        <v>507</v>
      </c>
    </row>
    <row r="543" spans="1:3" x14ac:dyDescent="0.25">
      <c r="A543">
        <v>14</v>
      </c>
      <c r="B543">
        <v>0</v>
      </c>
      <c r="C543">
        <v>507</v>
      </c>
    </row>
    <row r="544" spans="1:3" x14ac:dyDescent="0.25">
      <c r="A544">
        <v>16</v>
      </c>
      <c r="B544">
        <v>0</v>
      </c>
      <c r="C544">
        <v>493</v>
      </c>
    </row>
    <row r="545" spans="1:3" x14ac:dyDescent="0.25">
      <c r="A545">
        <v>16</v>
      </c>
      <c r="B545">
        <v>0</v>
      </c>
      <c r="C545">
        <v>493</v>
      </c>
    </row>
    <row r="546" spans="1:3" x14ac:dyDescent="0.25">
      <c r="A546">
        <v>17</v>
      </c>
      <c r="B546">
        <v>0</v>
      </c>
      <c r="C546">
        <v>493</v>
      </c>
    </row>
    <row r="547" spans="1:3" x14ac:dyDescent="0.25">
      <c r="A547">
        <v>14</v>
      </c>
      <c r="B547">
        <v>0</v>
      </c>
      <c r="C547">
        <v>493</v>
      </c>
    </row>
    <row r="548" spans="1:3" x14ac:dyDescent="0.25">
      <c r="A548">
        <v>18</v>
      </c>
      <c r="B548">
        <v>0</v>
      </c>
      <c r="C548">
        <v>493</v>
      </c>
    </row>
    <row r="549" spans="1:3" x14ac:dyDescent="0.25">
      <c r="A549">
        <v>17</v>
      </c>
      <c r="B549">
        <v>0</v>
      </c>
      <c r="C549">
        <v>493</v>
      </c>
    </row>
    <row r="550" spans="1:3" x14ac:dyDescent="0.25">
      <c r="A550">
        <v>16</v>
      </c>
      <c r="B550">
        <v>0</v>
      </c>
      <c r="C550">
        <v>493</v>
      </c>
    </row>
    <row r="551" spans="1:3" x14ac:dyDescent="0.25">
      <c r="A551">
        <v>14</v>
      </c>
      <c r="B551">
        <v>0</v>
      </c>
      <c r="C551">
        <v>493</v>
      </c>
    </row>
    <row r="552" spans="1:3" x14ac:dyDescent="0.25">
      <c r="A552">
        <v>17</v>
      </c>
      <c r="B552">
        <v>0</v>
      </c>
      <c r="C552">
        <v>493</v>
      </c>
    </row>
    <row r="553" spans="1:3" x14ac:dyDescent="0.25">
      <c r="A553">
        <v>15</v>
      </c>
      <c r="B553">
        <v>0</v>
      </c>
      <c r="C553">
        <v>511</v>
      </c>
    </row>
    <row r="554" spans="1:3" x14ac:dyDescent="0.25">
      <c r="A554">
        <v>14</v>
      </c>
      <c r="B554">
        <v>0</v>
      </c>
      <c r="C554">
        <v>511</v>
      </c>
    </row>
    <row r="555" spans="1:3" x14ac:dyDescent="0.25">
      <c r="A555">
        <v>16</v>
      </c>
      <c r="B555">
        <v>0</v>
      </c>
      <c r="C555">
        <v>511</v>
      </c>
    </row>
    <row r="556" spans="1:3" x14ac:dyDescent="0.25">
      <c r="A556">
        <v>14</v>
      </c>
      <c r="B556">
        <v>0</v>
      </c>
      <c r="C556">
        <v>511</v>
      </c>
    </row>
    <row r="557" spans="1:3" x14ac:dyDescent="0.25">
      <c r="A557">
        <v>21</v>
      </c>
      <c r="B557">
        <v>0</v>
      </c>
      <c r="C557">
        <v>511</v>
      </c>
    </row>
    <row r="558" spans="1:3" x14ac:dyDescent="0.25">
      <c r="A558">
        <v>23</v>
      </c>
      <c r="B558">
        <v>0</v>
      </c>
      <c r="C558">
        <v>511</v>
      </c>
    </row>
    <row r="559" spans="1:3" x14ac:dyDescent="0.25">
      <c r="A559">
        <v>17</v>
      </c>
      <c r="B559">
        <v>0</v>
      </c>
      <c r="C559">
        <v>511</v>
      </c>
    </row>
    <row r="560" spans="1:3" x14ac:dyDescent="0.25">
      <c r="A560">
        <v>18</v>
      </c>
      <c r="B560">
        <v>0</v>
      </c>
      <c r="C560">
        <v>511</v>
      </c>
    </row>
    <row r="561" spans="1:3" x14ac:dyDescent="0.25">
      <c r="A561">
        <v>15</v>
      </c>
      <c r="B561">
        <v>0</v>
      </c>
      <c r="C561">
        <v>511</v>
      </c>
    </row>
    <row r="562" spans="1:3" x14ac:dyDescent="0.25">
      <c r="A562">
        <v>17</v>
      </c>
      <c r="B562">
        <v>0</v>
      </c>
      <c r="C562">
        <v>466</v>
      </c>
    </row>
    <row r="563" spans="1:3" x14ac:dyDescent="0.25">
      <c r="A563">
        <v>16</v>
      </c>
      <c r="B563">
        <v>0</v>
      </c>
      <c r="C563">
        <v>466</v>
      </c>
    </row>
    <row r="564" spans="1:3" x14ac:dyDescent="0.25">
      <c r="A564">
        <v>18</v>
      </c>
      <c r="B564">
        <v>0</v>
      </c>
      <c r="C564">
        <v>466</v>
      </c>
    </row>
    <row r="565" spans="1:3" x14ac:dyDescent="0.25">
      <c r="A565">
        <v>19</v>
      </c>
      <c r="B565">
        <v>0</v>
      </c>
      <c r="C565">
        <v>466</v>
      </c>
    </row>
    <row r="566" spans="1:3" x14ac:dyDescent="0.25">
      <c r="A566">
        <v>18</v>
      </c>
      <c r="B566">
        <v>0</v>
      </c>
      <c r="C566">
        <v>466</v>
      </c>
    </row>
    <row r="567" spans="1:3" x14ac:dyDescent="0.25">
      <c r="A567">
        <v>14</v>
      </c>
      <c r="B567">
        <v>0</v>
      </c>
      <c r="C567">
        <v>466</v>
      </c>
    </row>
    <row r="568" spans="1:3" x14ac:dyDescent="0.25">
      <c r="A568">
        <v>17</v>
      </c>
      <c r="B568">
        <v>0</v>
      </c>
      <c r="C568">
        <v>466</v>
      </c>
    </row>
    <row r="569" spans="1:3" x14ac:dyDescent="0.25">
      <c r="A569">
        <v>16</v>
      </c>
      <c r="B569">
        <v>0</v>
      </c>
      <c r="C569">
        <v>466</v>
      </c>
    </row>
    <row r="570" spans="1:3" x14ac:dyDescent="0.25">
      <c r="A570">
        <v>16</v>
      </c>
      <c r="B570">
        <v>0</v>
      </c>
      <c r="C570">
        <v>491</v>
      </c>
    </row>
    <row r="571" spans="1:3" x14ac:dyDescent="0.25">
      <c r="A571">
        <v>18</v>
      </c>
      <c r="B571">
        <v>0</v>
      </c>
      <c r="C571">
        <v>491</v>
      </c>
    </row>
    <row r="572" spans="1:3" x14ac:dyDescent="0.25">
      <c r="A572">
        <v>18</v>
      </c>
      <c r="B572">
        <v>0</v>
      </c>
      <c r="C572">
        <v>491</v>
      </c>
    </row>
    <row r="573" spans="1:3" x14ac:dyDescent="0.25">
      <c r="A573">
        <v>21</v>
      </c>
      <c r="B573">
        <v>0</v>
      </c>
      <c r="C573">
        <v>491</v>
      </c>
    </row>
    <row r="574" spans="1:3" x14ac:dyDescent="0.25">
      <c r="A574">
        <v>16</v>
      </c>
      <c r="B574">
        <v>0</v>
      </c>
      <c r="C574">
        <v>491</v>
      </c>
    </row>
    <row r="575" spans="1:3" x14ac:dyDescent="0.25">
      <c r="A575">
        <v>14</v>
      </c>
      <c r="B575">
        <v>0</v>
      </c>
      <c r="C575">
        <v>491</v>
      </c>
    </row>
    <row r="576" spans="1:3" x14ac:dyDescent="0.25">
      <c r="A576">
        <v>15</v>
      </c>
      <c r="B576">
        <v>0</v>
      </c>
      <c r="C576">
        <v>491</v>
      </c>
    </row>
    <row r="577" spans="1:3" x14ac:dyDescent="0.25">
      <c r="A577">
        <v>13</v>
      </c>
      <c r="B577">
        <v>0</v>
      </c>
      <c r="C577">
        <v>491</v>
      </c>
    </row>
    <row r="578" spans="1:3" x14ac:dyDescent="0.25">
      <c r="A578">
        <v>16</v>
      </c>
      <c r="B578">
        <v>0</v>
      </c>
      <c r="C578">
        <v>478</v>
      </c>
    </row>
    <row r="579" spans="1:3" x14ac:dyDescent="0.25">
      <c r="A579">
        <v>16</v>
      </c>
      <c r="B579">
        <v>0</v>
      </c>
      <c r="C579">
        <v>478</v>
      </c>
    </row>
    <row r="580" spans="1:3" x14ac:dyDescent="0.25">
      <c r="A580">
        <v>20</v>
      </c>
      <c r="B580">
        <v>0</v>
      </c>
      <c r="C580">
        <v>478</v>
      </c>
    </row>
    <row r="581" spans="1:3" x14ac:dyDescent="0.25">
      <c r="A581">
        <v>16</v>
      </c>
      <c r="B581">
        <v>0</v>
      </c>
      <c r="C581">
        <v>478</v>
      </c>
    </row>
    <row r="582" spans="1:3" x14ac:dyDescent="0.25">
      <c r="A582">
        <v>16</v>
      </c>
      <c r="B582">
        <v>0</v>
      </c>
      <c r="C582">
        <v>478</v>
      </c>
    </row>
    <row r="583" spans="1:3" x14ac:dyDescent="0.25">
      <c r="A583">
        <v>18</v>
      </c>
      <c r="B583">
        <v>0</v>
      </c>
      <c r="C583">
        <v>478</v>
      </c>
    </row>
    <row r="584" spans="1:3" x14ac:dyDescent="0.25">
      <c r="A584">
        <v>12</v>
      </c>
      <c r="B584">
        <v>0</v>
      </c>
      <c r="C584">
        <v>478</v>
      </c>
    </row>
    <row r="585" spans="1:3" x14ac:dyDescent="0.25">
      <c r="A585">
        <v>13</v>
      </c>
      <c r="B585">
        <v>0</v>
      </c>
      <c r="C585">
        <v>478</v>
      </c>
    </row>
    <row r="586" spans="1:3" x14ac:dyDescent="0.25">
      <c r="A586">
        <v>15</v>
      </c>
      <c r="B586">
        <v>0</v>
      </c>
      <c r="C586">
        <v>478</v>
      </c>
    </row>
    <row r="587" spans="1:3" x14ac:dyDescent="0.25">
      <c r="A587">
        <v>15</v>
      </c>
      <c r="B587">
        <v>0</v>
      </c>
      <c r="C587">
        <v>529</v>
      </c>
    </row>
    <row r="588" spans="1:3" x14ac:dyDescent="0.25">
      <c r="A588">
        <v>16</v>
      </c>
      <c r="B588">
        <v>0</v>
      </c>
      <c r="C588">
        <v>529</v>
      </c>
    </row>
    <row r="589" spans="1:3" x14ac:dyDescent="0.25">
      <c r="A589">
        <v>24</v>
      </c>
      <c r="B589">
        <v>0</v>
      </c>
      <c r="C589">
        <v>529</v>
      </c>
    </row>
    <row r="590" spans="1:3" x14ac:dyDescent="0.25">
      <c r="A590">
        <v>14</v>
      </c>
      <c r="B590">
        <v>0</v>
      </c>
      <c r="C590">
        <v>529</v>
      </c>
    </row>
    <row r="591" spans="1:3" x14ac:dyDescent="0.25">
      <c r="A591">
        <v>15</v>
      </c>
      <c r="B591">
        <v>0</v>
      </c>
      <c r="C591">
        <v>529</v>
      </c>
    </row>
    <row r="592" spans="1:3" x14ac:dyDescent="0.25">
      <c r="A592">
        <v>13</v>
      </c>
      <c r="B592">
        <v>0</v>
      </c>
      <c r="C592">
        <v>529</v>
      </c>
    </row>
    <row r="593" spans="1:3" x14ac:dyDescent="0.25">
      <c r="A593">
        <v>15</v>
      </c>
      <c r="B593">
        <v>0</v>
      </c>
      <c r="C593">
        <v>529</v>
      </c>
    </row>
    <row r="594" spans="1:3" x14ac:dyDescent="0.25">
      <c r="A594">
        <v>15</v>
      </c>
      <c r="B594">
        <v>0</v>
      </c>
      <c r="C594">
        <v>529</v>
      </c>
    </row>
    <row r="595" spans="1:3" x14ac:dyDescent="0.25">
      <c r="A595">
        <v>17</v>
      </c>
      <c r="B595">
        <v>0</v>
      </c>
      <c r="C595">
        <v>504</v>
      </c>
    </row>
    <row r="596" spans="1:3" x14ac:dyDescent="0.25">
      <c r="A596">
        <v>18</v>
      </c>
      <c r="B596">
        <v>0</v>
      </c>
      <c r="C596">
        <v>504</v>
      </c>
    </row>
    <row r="597" spans="1:3" x14ac:dyDescent="0.25">
      <c r="A597">
        <v>19</v>
      </c>
      <c r="B597">
        <v>0</v>
      </c>
      <c r="C597">
        <v>504</v>
      </c>
    </row>
    <row r="598" spans="1:3" x14ac:dyDescent="0.25">
      <c r="A598">
        <v>18</v>
      </c>
      <c r="B598">
        <v>0</v>
      </c>
      <c r="C598">
        <v>504</v>
      </c>
    </row>
    <row r="599" spans="1:3" x14ac:dyDescent="0.25">
      <c r="A599">
        <v>12</v>
      </c>
      <c r="B599">
        <v>0</v>
      </c>
      <c r="C599">
        <v>504</v>
      </c>
    </row>
    <row r="600" spans="1:3" x14ac:dyDescent="0.25">
      <c r="A600">
        <v>13</v>
      </c>
      <c r="B600">
        <v>0</v>
      </c>
      <c r="C600">
        <v>504</v>
      </c>
    </row>
    <row r="601" spans="1:3" x14ac:dyDescent="0.25">
      <c r="A601">
        <v>15</v>
      </c>
      <c r="B601">
        <v>0</v>
      </c>
      <c r="C601">
        <v>504</v>
      </c>
    </row>
    <row r="602" spans="1:3" x14ac:dyDescent="0.25">
      <c r="A602">
        <v>16</v>
      </c>
      <c r="B602">
        <v>0</v>
      </c>
      <c r="C602">
        <v>504</v>
      </c>
    </row>
    <row r="603" spans="1:3" x14ac:dyDescent="0.25">
      <c r="A603">
        <v>16</v>
      </c>
      <c r="B603">
        <v>0</v>
      </c>
      <c r="C603">
        <v>504</v>
      </c>
    </row>
    <row r="604" spans="1:3" x14ac:dyDescent="0.25">
      <c r="A604">
        <v>15</v>
      </c>
      <c r="B604">
        <v>0</v>
      </c>
      <c r="C604">
        <v>517</v>
      </c>
    </row>
    <row r="605" spans="1:3" x14ac:dyDescent="0.25">
      <c r="A605">
        <v>19</v>
      </c>
      <c r="B605">
        <v>0</v>
      </c>
      <c r="C605">
        <v>517</v>
      </c>
    </row>
    <row r="606" spans="1:3" x14ac:dyDescent="0.25">
      <c r="A606">
        <v>15</v>
      </c>
      <c r="B606">
        <v>0</v>
      </c>
      <c r="C606">
        <v>517</v>
      </c>
    </row>
    <row r="607" spans="1:3" x14ac:dyDescent="0.25">
      <c r="A607">
        <v>15</v>
      </c>
      <c r="B607">
        <v>0</v>
      </c>
      <c r="C607">
        <v>517</v>
      </c>
    </row>
    <row r="608" spans="1:3" x14ac:dyDescent="0.25">
      <c r="A608">
        <v>18</v>
      </c>
      <c r="B608">
        <v>0</v>
      </c>
      <c r="C608">
        <v>517</v>
      </c>
    </row>
    <row r="609" spans="1:3" x14ac:dyDescent="0.25">
      <c r="A609">
        <v>18</v>
      </c>
      <c r="B609">
        <v>0</v>
      </c>
      <c r="C609">
        <v>517</v>
      </c>
    </row>
    <row r="610" spans="1:3" x14ac:dyDescent="0.25">
      <c r="A610">
        <v>16</v>
      </c>
      <c r="B610">
        <v>0</v>
      </c>
      <c r="C610">
        <v>517</v>
      </c>
    </row>
    <row r="611" spans="1:3" x14ac:dyDescent="0.25">
      <c r="A611">
        <v>16</v>
      </c>
      <c r="B611">
        <v>0</v>
      </c>
      <c r="C611">
        <v>517</v>
      </c>
    </row>
    <row r="612" spans="1:3" x14ac:dyDescent="0.25">
      <c r="A612">
        <v>16</v>
      </c>
      <c r="B612">
        <v>0</v>
      </c>
      <c r="C612">
        <v>504</v>
      </c>
    </row>
    <row r="613" spans="1:3" x14ac:dyDescent="0.25">
      <c r="A613">
        <v>22</v>
      </c>
      <c r="B613">
        <v>0</v>
      </c>
      <c r="C613">
        <v>504</v>
      </c>
    </row>
    <row r="614" spans="1:3" x14ac:dyDescent="0.25">
      <c r="A614">
        <v>16</v>
      </c>
      <c r="B614">
        <v>0</v>
      </c>
      <c r="C614">
        <v>504</v>
      </c>
    </row>
    <row r="615" spans="1:3" x14ac:dyDescent="0.25">
      <c r="A615">
        <v>18</v>
      </c>
      <c r="B615">
        <v>0</v>
      </c>
      <c r="C615">
        <v>504</v>
      </c>
    </row>
    <row r="616" spans="1:3" x14ac:dyDescent="0.25">
      <c r="A616">
        <v>16</v>
      </c>
      <c r="B616">
        <v>0</v>
      </c>
      <c r="C616">
        <v>504</v>
      </c>
    </row>
    <row r="617" spans="1:3" x14ac:dyDescent="0.25">
      <c r="A617">
        <v>15</v>
      </c>
      <c r="B617">
        <v>0</v>
      </c>
      <c r="C617">
        <v>504</v>
      </c>
    </row>
    <row r="618" spans="1:3" x14ac:dyDescent="0.25">
      <c r="A618">
        <v>16</v>
      </c>
      <c r="B618">
        <v>0</v>
      </c>
      <c r="C618">
        <v>504</v>
      </c>
    </row>
    <row r="619" spans="1:3" x14ac:dyDescent="0.25">
      <c r="A619">
        <v>14</v>
      </c>
      <c r="B619">
        <v>0</v>
      </c>
      <c r="C619">
        <v>504</v>
      </c>
    </row>
    <row r="620" spans="1:3" x14ac:dyDescent="0.25">
      <c r="A620">
        <v>17</v>
      </c>
      <c r="B620">
        <v>0</v>
      </c>
      <c r="C620">
        <v>517</v>
      </c>
    </row>
    <row r="621" spans="1:3" x14ac:dyDescent="0.25">
      <c r="A621">
        <v>29</v>
      </c>
      <c r="B621">
        <v>0</v>
      </c>
      <c r="C621">
        <v>517</v>
      </c>
    </row>
    <row r="622" spans="1:3" x14ac:dyDescent="0.25">
      <c r="A622">
        <v>18</v>
      </c>
      <c r="B622">
        <v>0</v>
      </c>
      <c r="C622">
        <v>517</v>
      </c>
    </row>
    <row r="623" spans="1:3" x14ac:dyDescent="0.25">
      <c r="A623">
        <v>16</v>
      </c>
      <c r="B623">
        <v>0</v>
      </c>
      <c r="C623">
        <v>517</v>
      </c>
    </row>
    <row r="624" spans="1:3" x14ac:dyDescent="0.25">
      <c r="A624">
        <v>17</v>
      </c>
      <c r="B624">
        <v>0</v>
      </c>
      <c r="C624">
        <v>517</v>
      </c>
    </row>
    <row r="625" spans="1:3" x14ac:dyDescent="0.25">
      <c r="A625">
        <v>16</v>
      </c>
      <c r="B625">
        <v>0</v>
      </c>
      <c r="C625">
        <v>517</v>
      </c>
    </row>
    <row r="626" spans="1:3" x14ac:dyDescent="0.25">
      <c r="A626">
        <v>14</v>
      </c>
      <c r="B626">
        <v>0</v>
      </c>
      <c r="C626">
        <v>517</v>
      </c>
    </row>
    <row r="627" spans="1:3" x14ac:dyDescent="0.25">
      <c r="A627">
        <v>14</v>
      </c>
      <c r="B627">
        <v>0</v>
      </c>
      <c r="C627">
        <v>517</v>
      </c>
    </row>
    <row r="628" spans="1:3" x14ac:dyDescent="0.25">
      <c r="A628">
        <v>20</v>
      </c>
      <c r="B628">
        <v>0</v>
      </c>
      <c r="C628">
        <v>462</v>
      </c>
    </row>
    <row r="629" spans="1:3" x14ac:dyDescent="0.25">
      <c r="A629">
        <v>18</v>
      </c>
      <c r="B629">
        <v>0</v>
      </c>
      <c r="C629">
        <v>462</v>
      </c>
    </row>
    <row r="630" spans="1:3" x14ac:dyDescent="0.25">
      <c r="A630">
        <v>20</v>
      </c>
      <c r="B630">
        <v>0</v>
      </c>
      <c r="C630">
        <v>462</v>
      </c>
    </row>
    <row r="631" spans="1:3" x14ac:dyDescent="0.25">
      <c r="A631">
        <v>15</v>
      </c>
      <c r="B631">
        <v>0</v>
      </c>
      <c r="C631">
        <v>462</v>
      </c>
    </row>
    <row r="632" spans="1:3" x14ac:dyDescent="0.25">
      <c r="A632">
        <v>17</v>
      </c>
      <c r="B632">
        <v>0</v>
      </c>
      <c r="C632">
        <v>462</v>
      </c>
    </row>
    <row r="633" spans="1:3" x14ac:dyDescent="0.25">
      <c r="A633">
        <v>15</v>
      </c>
      <c r="B633">
        <v>0</v>
      </c>
      <c r="C633">
        <v>462</v>
      </c>
    </row>
    <row r="634" spans="1:3" x14ac:dyDescent="0.25">
      <c r="A634">
        <v>14</v>
      </c>
      <c r="B634">
        <v>0</v>
      </c>
      <c r="C634">
        <v>462</v>
      </c>
    </row>
    <row r="635" spans="1:3" x14ac:dyDescent="0.25">
      <c r="A635">
        <v>15</v>
      </c>
      <c r="B635">
        <v>0</v>
      </c>
      <c r="C635">
        <v>462</v>
      </c>
    </row>
    <row r="636" spans="1:3" x14ac:dyDescent="0.25">
      <c r="A636">
        <v>19</v>
      </c>
      <c r="B636">
        <v>0</v>
      </c>
      <c r="C636">
        <v>460</v>
      </c>
    </row>
    <row r="637" spans="1:3" x14ac:dyDescent="0.25">
      <c r="A637">
        <v>15</v>
      </c>
      <c r="B637">
        <v>0</v>
      </c>
      <c r="C637">
        <v>460</v>
      </c>
    </row>
    <row r="638" spans="1:3" x14ac:dyDescent="0.25">
      <c r="A638">
        <v>17</v>
      </c>
      <c r="B638">
        <v>0</v>
      </c>
      <c r="C638">
        <v>460</v>
      </c>
    </row>
    <row r="639" spans="1:3" x14ac:dyDescent="0.25">
      <c r="A639">
        <v>16</v>
      </c>
      <c r="B639">
        <v>0</v>
      </c>
      <c r="C639">
        <v>460</v>
      </c>
    </row>
    <row r="640" spans="1:3" x14ac:dyDescent="0.25">
      <c r="A640">
        <v>14</v>
      </c>
      <c r="B640">
        <v>0</v>
      </c>
      <c r="C640">
        <v>460</v>
      </c>
    </row>
    <row r="641" spans="1:3" x14ac:dyDescent="0.25">
      <c r="A641">
        <v>13</v>
      </c>
      <c r="B641">
        <v>0</v>
      </c>
      <c r="C641">
        <v>460</v>
      </c>
    </row>
    <row r="642" spans="1:3" x14ac:dyDescent="0.25">
      <c r="A642">
        <v>16</v>
      </c>
      <c r="B642">
        <v>0</v>
      </c>
      <c r="C642">
        <v>460</v>
      </c>
    </row>
    <row r="643" spans="1:3" x14ac:dyDescent="0.25">
      <c r="A643">
        <v>18</v>
      </c>
      <c r="B643">
        <v>0</v>
      </c>
      <c r="C643">
        <v>460</v>
      </c>
    </row>
    <row r="644" spans="1:3" x14ac:dyDescent="0.25">
      <c r="A644">
        <v>21</v>
      </c>
      <c r="B644">
        <v>0</v>
      </c>
      <c r="C644">
        <v>531</v>
      </c>
    </row>
    <row r="645" spans="1:3" x14ac:dyDescent="0.25">
      <c r="A645">
        <v>14</v>
      </c>
      <c r="B645">
        <v>0</v>
      </c>
      <c r="C645">
        <v>531</v>
      </c>
    </row>
    <row r="646" spans="1:3" x14ac:dyDescent="0.25">
      <c r="A646">
        <v>16</v>
      </c>
      <c r="B646">
        <v>0</v>
      </c>
      <c r="C646">
        <v>531</v>
      </c>
    </row>
    <row r="647" spans="1:3" x14ac:dyDescent="0.25">
      <c r="A647">
        <v>15</v>
      </c>
      <c r="B647">
        <v>0</v>
      </c>
      <c r="C647">
        <v>531</v>
      </c>
    </row>
    <row r="648" spans="1:3" x14ac:dyDescent="0.25">
      <c r="A648">
        <v>16</v>
      </c>
      <c r="B648">
        <v>0</v>
      </c>
      <c r="C648">
        <v>531</v>
      </c>
    </row>
    <row r="649" spans="1:3" x14ac:dyDescent="0.25">
      <c r="A649">
        <v>13</v>
      </c>
      <c r="B649">
        <v>0</v>
      </c>
      <c r="C649">
        <v>531</v>
      </c>
    </row>
    <row r="650" spans="1:3" x14ac:dyDescent="0.25">
      <c r="A650">
        <v>16</v>
      </c>
      <c r="B650">
        <v>0</v>
      </c>
      <c r="C650">
        <v>531</v>
      </c>
    </row>
    <row r="651" spans="1:3" x14ac:dyDescent="0.25">
      <c r="A651">
        <v>15</v>
      </c>
      <c r="B651">
        <v>0</v>
      </c>
      <c r="C651">
        <v>531</v>
      </c>
    </row>
    <row r="652" spans="1:3" x14ac:dyDescent="0.25">
      <c r="A652">
        <v>19</v>
      </c>
      <c r="B652">
        <v>0</v>
      </c>
      <c r="C652">
        <v>531</v>
      </c>
    </row>
    <row r="653" spans="1:3" x14ac:dyDescent="0.25">
      <c r="A653">
        <v>19</v>
      </c>
      <c r="B653">
        <v>0</v>
      </c>
      <c r="C653">
        <v>468</v>
      </c>
    </row>
    <row r="654" spans="1:3" x14ac:dyDescent="0.25">
      <c r="A654">
        <v>17</v>
      </c>
      <c r="B654">
        <v>0</v>
      </c>
      <c r="C654">
        <v>468</v>
      </c>
    </row>
    <row r="655" spans="1:3" x14ac:dyDescent="0.25">
      <c r="A655">
        <v>17</v>
      </c>
      <c r="B655">
        <v>0</v>
      </c>
      <c r="C655">
        <v>468</v>
      </c>
    </row>
    <row r="656" spans="1:3" x14ac:dyDescent="0.25">
      <c r="A656">
        <v>18</v>
      </c>
      <c r="B656">
        <v>0</v>
      </c>
      <c r="C656">
        <v>468</v>
      </c>
    </row>
    <row r="657" spans="1:3" x14ac:dyDescent="0.25">
      <c r="A657">
        <v>18</v>
      </c>
      <c r="B657">
        <v>0</v>
      </c>
      <c r="C657">
        <v>468</v>
      </c>
    </row>
    <row r="658" spans="1:3" x14ac:dyDescent="0.25">
      <c r="A658">
        <v>14</v>
      </c>
      <c r="B658">
        <v>0</v>
      </c>
      <c r="C658">
        <v>468</v>
      </c>
    </row>
    <row r="659" spans="1:3" x14ac:dyDescent="0.25">
      <c r="A659">
        <v>14</v>
      </c>
      <c r="B659">
        <v>0</v>
      </c>
      <c r="C659">
        <v>468</v>
      </c>
    </row>
    <row r="660" spans="1:3" x14ac:dyDescent="0.25">
      <c r="A660">
        <v>21</v>
      </c>
      <c r="B660">
        <v>0</v>
      </c>
      <c r="C660">
        <v>468</v>
      </c>
    </row>
    <row r="661" spans="1:3" x14ac:dyDescent="0.25">
      <c r="A661">
        <v>18</v>
      </c>
      <c r="B661">
        <v>0</v>
      </c>
      <c r="C661">
        <v>468</v>
      </c>
    </row>
    <row r="662" spans="1:3" x14ac:dyDescent="0.25">
      <c r="A662">
        <v>14</v>
      </c>
      <c r="B662">
        <v>0</v>
      </c>
      <c r="C662">
        <v>463</v>
      </c>
    </row>
    <row r="663" spans="1:3" x14ac:dyDescent="0.25">
      <c r="A663">
        <v>17</v>
      </c>
      <c r="B663">
        <v>0</v>
      </c>
      <c r="C663">
        <v>463</v>
      </c>
    </row>
    <row r="664" spans="1:3" x14ac:dyDescent="0.25">
      <c r="A664">
        <v>15</v>
      </c>
      <c r="B664">
        <v>0</v>
      </c>
      <c r="C664">
        <v>463</v>
      </c>
    </row>
    <row r="665" spans="1:3" x14ac:dyDescent="0.25">
      <c r="A665">
        <v>16</v>
      </c>
      <c r="B665">
        <v>0</v>
      </c>
      <c r="C665">
        <v>463</v>
      </c>
    </row>
    <row r="666" spans="1:3" x14ac:dyDescent="0.25">
      <c r="A666">
        <v>14</v>
      </c>
      <c r="B666">
        <v>0</v>
      </c>
      <c r="C666">
        <v>463</v>
      </c>
    </row>
    <row r="667" spans="1:3" x14ac:dyDescent="0.25">
      <c r="A667">
        <v>16</v>
      </c>
      <c r="B667">
        <v>0</v>
      </c>
      <c r="C667">
        <v>463</v>
      </c>
    </row>
    <row r="668" spans="1:3" x14ac:dyDescent="0.25">
      <c r="A668">
        <v>21</v>
      </c>
      <c r="B668">
        <v>0</v>
      </c>
      <c r="C668">
        <v>463</v>
      </c>
    </row>
    <row r="669" spans="1:3" x14ac:dyDescent="0.25">
      <c r="A669">
        <v>21</v>
      </c>
      <c r="B669">
        <v>0</v>
      </c>
      <c r="C669">
        <v>463</v>
      </c>
    </row>
    <row r="670" spans="1:3" x14ac:dyDescent="0.25">
      <c r="A670">
        <v>16</v>
      </c>
      <c r="B670">
        <v>0</v>
      </c>
      <c r="C670">
        <v>463</v>
      </c>
    </row>
    <row r="671" spans="1:3" x14ac:dyDescent="0.25">
      <c r="A671">
        <v>16</v>
      </c>
      <c r="B671">
        <v>0</v>
      </c>
      <c r="C671">
        <v>504</v>
      </c>
    </row>
    <row r="672" spans="1:3" x14ac:dyDescent="0.25">
      <c r="A672">
        <v>16</v>
      </c>
      <c r="B672">
        <v>0</v>
      </c>
      <c r="C672">
        <v>504</v>
      </c>
    </row>
    <row r="673" spans="1:3" x14ac:dyDescent="0.25">
      <c r="A673">
        <v>15</v>
      </c>
      <c r="B673">
        <v>0</v>
      </c>
      <c r="C673">
        <v>504</v>
      </c>
    </row>
    <row r="674" spans="1:3" x14ac:dyDescent="0.25">
      <c r="A674">
        <v>13</v>
      </c>
      <c r="B674">
        <v>0</v>
      </c>
      <c r="C674">
        <v>504</v>
      </c>
    </row>
    <row r="675" spans="1:3" x14ac:dyDescent="0.25">
      <c r="A675">
        <v>12</v>
      </c>
      <c r="B675">
        <v>0</v>
      </c>
      <c r="C675">
        <v>504</v>
      </c>
    </row>
    <row r="676" spans="1:3" x14ac:dyDescent="0.25">
      <c r="A676">
        <v>18</v>
      </c>
      <c r="B676">
        <v>0</v>
      </c>
      <c r="C676">
        <v>504</v>
      </c>
    </row>
    <row r="677" spans="1:3" x14ac:dyDescent="0.25">
      <c r="A677">
        <v>20</v>
      </c>
      <c r="B677">
        <v>0</v>
      </c>
      <c r="C677">
        <v>504</v>
      </c>
    </row>
    <row r="678" spans="1:3" x14ac:dyDescent="0.25">
      <c r="A678">
        <v>18</v>
      </c>
      <c r="B678">
        <v>0</v>
      </c>
      <c r="C678">
        <v>504</v>
      </c>
    </row>
    <row r="679" spans="1:3" x14ac:dyDescent="0.25">
      <c r="A679">
        <v>16</v>
      </c>
      <c r="B679">
        <v>0</v>
      </c>
      <c r="C679">
        <v>504</v>
      </c>
    </row>
    <row r="680" spans="1:3" x14ac:dyDescent="0.25">
      <c r="A680">
        <v>18</v>
      </c>
      <c r="B680">
        <v>0</v>
      </c>
      <c r="C680">
        <v>451</v>
      </c>
    </row>
    <row r="681" spans="1:3" x14ac:dyDescent="0.25">
      <c r="A681">
        <v>15</v>
      </c>
      <c r="B681">
        <v>0</v>
      </c>
      <c r="C681">
        <v>451</v>
      </c>
    </row>
    <row r="682" spans="1:3" x14ac:dyDescent="0.25">
      <c r="A682">
        <v>14</v>
      </c>
      <c r="B682">
        <v>0</v>
      </c>
      <c r="C682">
        <v>451</v>
      </c>
    </row>
    <row r="683" spans="1:3" x14ac:dyDescent="0.25">
      <c r="A683">
        <v>16</v>
      </c>
      <c r="B683">
        <v>0</v>
      </c>
      <c r="C683">
        <v>451</v>
      </c>
    </row>
    <row r="684" spans="1:3" x14ac:dyDescent="0.25">
      <c r="A684">
        <v>21</v>
      </c>
      <c r="B684">
        <v>0</v>
      </c>
      <c r="C684">
        <v>451</v>
      </c>
    </row>
    <row r="685" spans="1:3" x14ac:dyDescent="0.25">
      <c r="A685">
        <v>14</v>
      </c>
      <c r="B685">
        <v>0</v>
      </c>
      <c r="C685">
        <v>451</v>
      </c>
    </row>
    <row r="686" spans="1:3" x14ac:dyDescent="0.25">
      <c r="A686">
        <v>20</v>
      </c>
      <c r="B686">
        <v>0</v>
      </c>
      <c r="C686">
        <v>451</v>
      </c>
    </row>
    <row r="687" spans="1:3" x14ac:dyDescent="0.25">
      <c r="A687">
        <v>16</v>
      </c>
      <c r="B687">
        <v>0</v>
      </c>
      <c r="C687">
        <v>451</v>
      </c>
    </row>
    <row r="688" spans="1:3" x14ac:dyDescent="0.25">
      <c r="A688">
        <v>19</v>
      </c>
      <c r="B688">
        <v>0</v>
      </c>
      <c r="C688">
        <v>602</v>
      </c>
    </row>
    <row r="689" spans="1:3" x14ac:dyDescent="0.25">
      <c r="A689">
        <v>19</v>
      </c>
      <c r="B689">
        <v>0</v>
      </c>
      <c r="C689">
        <v>602</v>
      </c>
    </row>
    <row r="690" spans="1:3" x14ac:dyDescent="0.25">
      <c r="A690">
        <v>20</v>
      </c>
      <c r="B690">
        <v>0</v>
      </c>
      <c r="C690">
        <v>602</v>
      </c>
    </row>
    <row r="691" spans="1:3" x14ac:dyDescent="0.25">
      <c r="A691">
        <v>22</v>
      </c>
      <c r="B691">
        <v>0</v>
      </c>
      <c r="C691">
        <v>602</v>
      </c>
    </row>
    <row r="692" spans="1:3" x14ac:dyDescent="0.25">
      <c r="A692">
        <v>15</v>
      </c>
      <c r="B692">
        <v>0</v>
      </c>
      <c r="C692">
        <v>602</v>
      </c>
    </row>
    <row r="693" spans="1:3" x14ac:dyDescent="0.25">
      <c r="A693">
        <v>15</v>
      </c>
      <c r="B693">
        <v>0</v>
      </c>
      <c r="C693">
        <v>602</v>
      </c>
    </row>
    <row r="694" spans="1:3" x14ac:dyDescent="0.25">
      <c r="A694">
        <v>14</v>
      </c>
      <c r="B694">
        <v>0</v>
      </c>
      <c r="C694">
        <v>602</v>
      </c>
    </row>
    <row r="695" spans="1:3" x14ac:dyDescent="0.25">
      <c r="A695">
        <v>16</v>
      </c>
      <c r="B695">
        <v>0</v>
      </c>
      <c r="C695">
        <v>602</v>
      </c>
    </row>
    <row r="696" spans="1:3" x14ac:dyDescent="0.25">
      <c r="A696">
        <v>15</v>
      </c>
      <c r="B696">
        <v>0</v>
      </c>
      <c r="C696">
        <v>533</v>
      </c>
    </row>
    <row r="697" spans="1:3" x14ac:dyDescent="0.25">
      <c r="A697">
        <v>14</v>
      </c>
      <c r="B697">
        <v>0</v>
      </c>
      <c r="C697">
        <v>533</v>
      </c>
    </row>
    <row r="698" spans="1:3" x14ac:dyDescent="0.25">
      <c r="A698">
        <v>17</v>
      </c>
      <c r="B698">
        <v>0</v>
      </c>
      <c r="C698">
        <v>533</v>
      </c>
    </row>
    <row r="699" spans="1:3" x14ac:dyDescent="0.25">
      <c r="A699">
        <v>20</v>
      </c>
      <c r="B699">
        <v>0</v>
      </c>
      <c r="C699">
        <v>533</v>
      </c>
    </row>
    <row r="700" spans="1:3" x14ac:dyDescent="0.25">
      <c r="A700">
        <v>16</v>
      </c>
      <c r="B700">
        <v>0</v>
      </c>
      <c r="C700">
        <v>533</v>
      </c>
    </row>
    <row r="701" spans="1:3" x14ac:dyDescent="0.25">
      <c r="A701">
        <v>17</v>
      </c>
      <c r="B701">
        <v>0</v>
      </c>
      <c r="C701">
        <v>533</v>
      </c>
    </row>
    <row r="702" spans="1:3" x14ac:dyDescent="0.25">
      <c r="A702">
        <v>14</v>
      </c>
      <c r="B702">
        <v>0</v>
      </c>
      <c r="C702">
        <v>533</v>
      </c>
    </row>
    <row r="703" spans="1:3" x14ac:dyDescent="0.25">
      <c r="A703">
        <v>13</v>
      </c>
      <c r="B703">
        <v>0</v>
      </c>
      <c r="C703">
        <v>533</v>
      </c>
    </row>
    <row r="704" spans="1:3" x14ac:dyDescent="0.25">
      <c r="A704">
        <v>14</v>
      </c>
      <c r="B704">
        <v>0</v>
      </c>
      <c r="C704">
        <v>533</v>
      </c>
    </row>
    <row r="705" spans="1:3" x14ac:dyDescent="0.25">
      <c r="A705">
        <v>13</v>
      </c>
      <c r="B705">
        <v>0</v>
      </c>
      <c r="C705">
        <v>508</v>
      </c>
    </row>
    <row r="706" spans="1:3" x14ac:dyDescent="0.25">
      <c r="A706">
        <v>18</v>
      </c>
      <c r="B706">
        <v>0</v>
      </c>
      <c r="C706">
        <v>508</v>
      </c>
    </row>
    <row r="707" spans="1:3" x14ac:dyDescent="0.25">
      <c r="A707">
        <v>20</v>
      </c>
      <c r="B707">
        <v>0</v>
      </c>
      <c r="C707">
        <v>508</v>
      </c>
    </row>
    <row r="708" spans="1:3" x14ac:dyDescent="0.25">
      <c r="A708">
        <v>15</v>
      </c>
      <c r="B708">
        <v>0</v>
      </c>
      <c r="C708">
        <v>508</v>
      </c>
    </row>
    <row r="709" spans="1:3" x14ac:dyDescent="0.25">
      <c r="A709">
        <v>17</v>
      </c>
      <c r="B709">
        <v>0</v>
      </c>
      <c r="C709">
        <v>508</v>
      </c>
    </row>
    <row r="710" spans="1:3" x14ac:dyDescent="0.25">
      <c r="A710">
        <v>17</v>
      </c>
      <c r="B710">
        <v>0</v>
      </c>
      <c r="C710">
        <v>508</v>
      </c>
    </row>
    <row r="711" spans="1:3" x14ac:dyDescent="0.25">
      <c r="A711">
        <v>17</v>
      </c>
      <c r="B711">
        <v>0</v>
      </c>
      <c r="C711">
        <v>508</v>
      </c>
    </row>
    <row r="712" spans="1:3" x14ac:dyDescent="0.25">
      <c r="A712">
        <v>16</v>
      </c>
      <c r="B712">
        <v>0</v>
      </c>
      <c r="C712">
        <v>508</v>
      </c>
    </row>
    <row r="713" spans="1:3" x14ac:dyDescent="0.25">
      <c r="A713">
        <v>17</v>
      </c>
      <c r="B713">
        <v>0</v>
      </c>
      <c r="C713">
        <v>473</v>
      </c>
    </row>
    <row r="714" spans="1:3" x14ac:dyDescent="0.25">
      <c r="A714">
        <v>16</v>
      </c>
      <c r="B714">
        <v>0</v>
      </c>
      <c r="C714">
        <v>473</v>
      </c>
    </row>
    <row r="715" spans="1:3" x14ac:dyDescent="0.25">
      <c r="A715">
        <v>19</v>
      </c>
      <c r="B715">
        <v>0</v>
      </c>
      <c r="C715">
        <v>473</v>
      </c>
    </row>
    <row r="716" spans="1:3" x14ac:dyDescent="0.25">
      <c r="A716">
        <v>16</v>
      </c>
      <c r="B716">
        <v>0</v>
      </c>
      <c r="C716">
        <v>473</v>
      </c>
    </row>
    <row r="717" spans="1:3" x14ac:dyDescent="0.25">
      <c r="A717">
        <v>15</v>
      </c>
      <c r="B717">
        <v>0</v>
      </c>
      <c r="C717">
        <v>473</v>
      </c>
    </row>
    <row r="718" spans="1:3" x14ac:dyDescent="0.25">
      <c r="A718">
        <v>17</v>
      </c>
      <c r="B718">
        <v>0</v>
      </c>
      <c r="C718">
        <v>473</v>
      </c>
    </row>
    <row r="719" spans="1:3" x14ac:dyDescent="0.25">
      <c r="A719">
        <v>15</v>
      </c>
      <c r="B719">
        <v>0</v>
      </c>
      <c r="C719">
        <v>473</v>
      </c>
    </row>
    <row r="720" spans="1:3" x14ac:dyDescent="0.25">
      <c r="A720">
        <v>18</v>
      </c>
      <c r="B720">
        <v>0</v>
      </c>
      <c r="C720">
        <v>473</v>
      </c>
    </row>
    <row r="721" spans="1:3" x14ac:dyDescent="0.25">
      <c r="A721">
        <v>16</v>
      </c>
      <c r="B721">
        <v>0</v>
      </c>
      <c r="C721">
        <v>549</v>
      </c>
    </row>
    <row r="722" spans="1:3" x14ac:dyDescent="0.25">
      <c r="A722">
        <v>21</v>
      </c>
      <c r="B722">
        <v>0</v>
      </c>
      <c r="C722">
        <v>549</v>
      </c>
    </row>
    <row r="723" spans="1:3" x14ac:dyDescent="0.25">
      <c r="A723">
        <v>22</v>
      </c>
      <c r="B723">
        <v>0</v>
      </c>
      <c r="C723">
        <v>549</v>
      </c>
    </row>
    <row r="724" spans="1:3" x14ac:dyDescent="0.25">
      <c r="A724">
        <v>19</v>
      </c>
      <c r="B724">
        <v>0</v>
      </c>
      <c r="C724">
        <v>549</v>
      </c>
    </row>
    <row r="725" spans="1:3" x14ac:dyDescent="0.25">
      <c r="A725">
        <v>16</v>
      </c>
      <c r="B725">
        <v>0</v>
      </c>
      <c r="C725">
        <v>549</v>
      </c>
    </row>
    <row r="726" spans="1:3" x14ac:dyDescent="0.25">
      <c r="A726">
        <v>15</v>
      </c>
      <c r="B726">
        <v>0</v>
      </c>
      <c r="C726">
        <v>549</v>
      </c>
    </row>
    <row r="727" spans="1:3" x14ac:dyDescent="0.25">
      <c r="A727">
        <v>15</v>
      </c>
      <c r="B727">
        <v>0</v>
      </c>
      <c r="C727">
        <v>549</v>
      </c>
    </row>
    <row r="728" spans="1:3" x14ac:dyDescent="0.25">
      <c r="A728">
        <v>82</v>
      </c>
      <c r="B728">
        <v>0</v>
      </c>
      <c r="C728">
        <v>549</v>
      </c>
    </row>
    <row r="729" spans="1:3" x14ac:dyDescent="0.25">
      <c r="A729">
        <v>21</v>
      </c>
      <c r="B729">
        <v>0</v>
      </c>
      <c r="C729">
        <v>571</v>
      </c>
    </row>
    <row r="730" spans="1:3" x14ac:dyDescent="0.25">
      <c r="A730">
        <v>21</v>
      </c>
      <c r="B730">
        <v>0</v>
      </c>
      <c r="C730">
        <v>571</v>
      </c>
    </row>
    <row r="731" spans="1:3" x14ac:dyDescent="0.25">
      <c r="A731">
        <v>20</v>
      </c>
      <c r="B731">
        <v>0</v>
      </c>
      <c r="C731">
        <v>571</v>
      </c>
    </row>
    <row r="732" spans="1:3" x14ac:dyDescent="0.25">
      <c r="A732">
        <v>14</v>
      </c>
      <c r="B732">
        <v>0</v>
      </c>
      <c r="C732">
        <v>571</v>
      </c>
    </row>
    <row r="733" spans="1:3" x14ac:dyDescent="0.25">
      <c r="A733">
        <v>14</v>
      </c>
      <c r="B733">
        <v>0</v>
      </c>
      <c r="C733">
        <v>571</v>
      </c>
    </row>
    <row r="734" spans="1:3" x14ac:dyDescent="0.25">
      <c r="A734">
        <v>20</v>
      </c>
      <c r="B734">
        <v>0</v>
      </c>
      <c r="C734">
        <v>571</v>
      </c>
    </row>
    <row r="735" spans="1:3" x14ac:dyDescent="0.25">
      <c r="A735">
        <v>17</v>
      </c>
      <c r="B735">
        <v>0</v>
      </c>
      <c r="C735">
        <v>571</v>
      </c>
    </row>
    <row r="736" spans="1:3" x14ac:dyDescent="0.25">
      <c r="A736">
        <v>14</v>
      </c>
      <c r="B736">
        <v>0</v>
      </c>
      <c r="C736">
        <v>571</v>
      </c>
    </row>
    <row r="737" spans="1:3" x14ac:dyDescent="0.25">
      <c r="A737">
        <v>14</v>
      </c>
      <c r="B737">
        <v>0</v>
      </c>
      <c r="C737">
        <v>511</v>
      </c>
    </row>
    <row r="738" spans="1:3" x14ac:dyDescent="0.25">
      <c r="A738">
        <v>21</v>
      </c>
      <c r="B738">
        <v>0</v>
      </c>
      <c r="C738">
        <v>511</v>
      </c>
    </row>
    <row r="739" spans="1:3" x14ac:dyDescent="0.25">
      <c r="A739">
        <v>14</v>
      </c>
      <c r="B739">
        <v>0</v>
      </c>
      <c r="C739">
        <v>511</v>
      </c>
    </row>
    <row r="740" spans="1:3" x14ac:dyDescent="0.25">
      <c r="A740">
        <v>15</v>
      </c>
      <c r="B740">
        <v>0</v>
      </c>
      <c r="C740">
        <v>511</v>
      </c>
    </row>
    <row r="741" spans="1:3" x14ac:dyDescent="0.25">
      <c r="A741">
        <v>16</v>
      </c>
      <c r="B741">
        <v>0</v>
      </c>
      <c r="C741">
        <v>511</v>
      </c>
    </row>
    <row r="742" spans="1:3" x14ac:dyDescent="0.25">
      <c r="A742">
        <v>18</v>
      </c>
      <c r="B742">
        <v>0</v>
      </c>
      <c r="C742">
        <v>511</v>
      </c>
    </row>
    <row r="743" spans="1:3" x14ac:dyDescent="0.25">
      <c r="A743">
        <v>16</v>
      </c>
      <c r="B743">
        <v>0</v>
      </c>
      <c r="C743">
        <v>511</v>
      </c>
    </row>
    <row r="744" spans="1:3" x14ac:dyDescent="0.25">
      <c r="A744">
        <v>19</v>
      </c>
      <c r="B744">
        <v>0</v>
      </c>
      <c r="C744">
        <v>511</v>
      </c>
    </row>
    <row r="745" spans="1:3" x14ac:dyDescent="0.25">
      <c r="A745">
        <v>17</v>
      </c>
      <c r="B745">
        <v>0</v>
      </c>
      <c r="C745">
        <v>501</v>
      </c>
    </row>
    <row r="746" spans="1:3" x14ac:dyDescent="0.25">
      <c r="A746">
        <v>18</v>
      </c>
      <c r="B746">
        <v>0</v>
      </c>
      <c r="C746">
        <v>501</v>
      </c>
    </row>
    <row r="747" spans="1:3" x14ac:dyDescent="0.25">
      <c r="A747">
        <v>18</v>
      </c>
      <c r="B747">
        <v>0</v>
      </c>
      <c r="C747">
        <v>501</v>
      </c>
    </row>
    <row r="748" spans="1:3" x14ac:dyDescent="0.25">
      <c r="A748">
        <v>16</v>
      </c>
      <c r="B748">
        <v>0</v>
      </c>
      <c r="C748">
        <v>501</v>
      </c>
    </row>
    <row r="749" spans="1:3" x14ac:dyDescent="0.25">
      <c r="A749">
        <v>13</v>
      </c>
      <c r="B749">
        <v>0</v>
      </c>
      <c r="C749">
        <v>501</v>
      </c>
    </row>
    <row r="750" spans="1:3" x14ac:dyDescent="0.25">
      <c r="A750">
        <v>15</v>
      </c>
      <c r="B750">
        <v>0</v>
      </c>
      <c r="C750">
        <v>501</v>
      </c>
    </row>
    <row r="751" spans="1:3" x14ac:dyDescent="0.25">
      <c r="A751">
        <v>17</v>
      </c>
      <c r="B751">
        <v>0</v>
      </c>
      <c r="C751">
        <v>501</v>
      </c>
    </row>
    <row r="752" spans="1:3" x14ac:dyDescent="0.25">
      <c r="A752">
        <v>21</v>
      </c>
      <c r="B752">
        <v>0</v>
      </c>
      <c r="C752">
        <v>501</v>
      </c>
    </row>
    <row r="753" spans="1:3" x14ac:dyDescent="0.25">
      <c r="A753">
        <v>20</v>
      </c>
      <c r="B753">
        <v>0</v>
      </c>
      <c r="C753">
        <v>583</v>
      </c>
    </row>
    <row r="754" spans="1:3" x14ac:dyDescent="0.25">
      <c r="A754">
        <v>17</v>
      </c>
      <c r="B754">
        <v>0</v>
      </c>
      <c r="C754">
        <v>583</v>
      </c>
    </row>
    <row r="755" spans="1:3" x14ac:dyDescent="0.25">
      <c r="A755">
        <v>16</v>
      </c>
      <c r="B755">
        <v>0</v>
      </c>
      <c r="C755">
        <v>583</v>
      </c>
    </row>
    <row r="756" spans="1:3" x14ac:dyDescent="0.25">
      <c r="A756">
        <v>18</v>
      </c>
      <c r="B756">
        <v>0</v>
      </c>
      <c r="C756">
        <v>583</v>
      </c>
    </row>
    <row r="757" spans="1:3" x14ac:dyDescent="0.25">
      <c r="A757">
        <v>14</v>
      </c>
      <c r="B757">
        <v>0</v>
      </c>
      <c r="C757">
        <v>583</v>
      </c>
    </row>
    <row r="758" spans="1:3" x14ac:dyDescent="0.25">
      <c r="A758">
        <v>16</v>
      </c>
      <c r="B758">
        <v>0</v>
      </c>
      <c r="C758">
        <v>583</v>
      </c>
    </row>
    <row r="759" spans="1:3" x14ac:dyDescent="0.25">
      <c r="A759">
        <v>15</v>
      </c>
      <c r="B759">
        <v>0</v>
      </c>
      <c r="C759">
        <v>583</v>
      </c>
    </row>
    <row r="760" spans="1:3" x14ac:dyDescent="0.25">
      <c r="A760">
        <v>18</v>
      </c>
      <c r="B760">
        <v>0</v>
      </c>
      <c r="C760">
        <v>583</v>
      </c>
    </row>
    <row r="761" spans="1:3" x14ac:dyDescent="0.25">
      <c r="A761">
        <v>19</v>
      </c>
      <c r="B761">
        <v>0</v>
      </c>
      <c r="C761">
        <v>465</v>
      </c>
    </row>
    <row r="762" spans="1:3" x14ac:dyDescent="0.25">
      <c r="A762">
        <v>18</v>
      </c>
      <c r="B762">
        <v>0</v>
      </c>
      <c r="C762">
        <v>465</v>
      </c>
    </row>
    <row r="763" spans="1:3" x14ac:dyDescent="0.25">
      <c r="A763">
        <v>19</v>
      </c>
      <c r="B763">
        <v>0</v>
      </c>
      <c r="C763">
        <v>465</v>
      </c>
    </row>
    <row r="764" spans="1:3" x14ac:dyDescent="0.25">
      <c r="A764">
        <v>17</v>
      </c>
      <c r="B764">
        <v>0</v>
      </c>
      <c r="C764">
        <v>465</v>
      </c>
    </row>
    <row r="765" spans="1:3" x14ac:dyDescent="0.25">
      <c r="A765">
        <v>15</v>
      </c>
      <c r="B765">
        <v>0</v>
      </c>
      <c r="C765">
        <v>465</v>
      </c>
    </row>
    <row r="766" spans="1:3" x14ac:dyDescent="0.25">
      <c r="A766">
        <v>16</v>
      </c>
      <c r="B766">
        <v>0</v>
      </c>
      <c r="C766">
        <v>465</v>
      </c>
    </row>
    <row r="767" spans="1:3" x14ac:dyDescent="0.25">
      <c r="A767">
        <v>16</v>
      </c>
      <c r="B767">
        <v>0</v>
      </c>
      <c r="C767">
        <v>465</v>
      </c>
    </row>
    <row r="768" spans="1:3" x14ac:dyDescent="0.25">
      <c r="A768">
        <v>14</v>
      </c>
      <c r="B768">
        <v>0</v>
      </c>
      <c r="C768">
        <v>465</v>
      </c>
    </row>
    <row r="769" spans="1:3" x14ac:dyDescent="0.25">
      <c r="A769">
        <v>22</v>
      </c>
      <c r="B769">
        <v>0</v>
      </c>
      <c r="C769">
        <v>604</v>
      </c>
    </row>
    <row r="770" spans="1:3" x14ac:dyDescent="0.25">
      <c r="A770">
        <v>15</v>
      </c>
      <c r="B770">
        <v>0</v>
      </c>
      <c r="C770">
        <v>604</v>
      </c>
    </row>
    <row r="771" spans="1:3" x14ac:dyDescent="0.25">
      <c r="A771">
        <v>21</v>
      </c>
      <c r="B771">
        <v>0</v>
      </c>
      <c r="C771">
        <v>604</v>
      </c>
    </row>
    <row r="772" spans="1:3" x14ac:dyDescent="0.25">
      <c r="A772">
        <v>17</v>
      </c>
      <c r="B772">
        <v>0</v>
      </c>
      <c r="C772">
        <v>604</v>
      </c>
    </row>
    <row r="773" spans="1:3" x14ac:dyDescent="0.25">
      <c r="A773">
        <v>16</v>
      </c>
      <c r="B773">
        <v>0</v>
      </c>
      <c r="C773">
        <v>604</v>
      </c>
    </row>
    <row r="774" spans="1:3" x14ac:dyDescent="0.25">
      <c r="A774">
        <v>16</v>
      </c>
      <c r="B774">
        <v>0</v>
      </c>
      <c r="C774">
        <v>604</v>
      </c>
    </row>
    <row r="775" spans="1:3" x14ac:dyDescent="0.25">
      <c r="A775">
        <v>18</v>
      </c>
      <c r="B775">
        <v>0</v>
      </c>
      <c r="C775">
        <v>604</v>
      </c>
    </row>
    <row r="776" spans="1:3" x14ac:dyDescent="0.25">
      <c r="A776">
        <v>15</v>
      </c>
      <c r="B776">
        <v>0</v>
      </c>
      <c r="C776">
        <v>604</v>
      </c>
    </row>
    <row r="777" spans="1:3" x14ac:dyDescent="0.25">
      <c r="A777">
        <v>19</v>
      </c>
      <c r="B777">
        <v>0</v>
      </c>
      <c r="C777">
        <v>521</v>
      </c>
    </row>
    <row r="778" spans="1:3" x14ac:dyDescent="0.25">
      <c r="A778">
        <v>16</v>
      </c>
      <c r="B778">
        <v>0</v>
      </c>
      <c r="C778">
        <v>521</v>
      </c>
    </row>
    <row r="779" spans="1:3" x14ac:dyDescent="0.25">
      <c r="A779">
        <v>14</v>
      </c>
      <c r="B779">
        <v>0</v>
      </c>
      <c r="C779">
        <v>521</v>
      </c>
    </row>
    <row r="780" spans="1:3" x14ac:dyDescent="0.25">
      <c r="A780">
        <v>16</v>
      </c>
      <c r="B780">
        <v>0</v>
      </c>
      <c r="C780">
        <v>521</v>
      </c>
    </row>
    <row r="781" spans="1:3" x14ac:dyDescent="0.25">
      <c r="A781">
        <v>18</v>
      </c>
      <c r="B781">
        <v>0</v>
      </c>
      <c r="C781">
        <v>521</v>
      </c>
    </row>
    <row r="782" spans="1:3" x14ac:dyDescent="0.25">
      <c r="A782">
        <v>17</v>
      </c>
      <c r="B782">
        <v>0</v>
      </c>
      <c r="C782">
        <v>521</v>
      </c>
    </row>
    <row r="783" spans="1:3" x14ac:dyDescent="0.25">
      <c r="A783">
        <v>17</v>
      </c>
      <c r="B783">
        <v>0</v>
      </c>
      <c r="C783">
        <v>521</v>
      </c>
    </row>
    <row r="784" spans="1:3" x14ac:dyDescent="0.25">
      <c r="A784">
        <v>21</v>
      </c>
      <c r="B784">
        <v>0</v>
      </c>
      <c r="C784">
        <v>521</v>
      </c>
    </row>
    <row r="785" spans="1:3" x14ac:dyDescent="0.25">
      <c r="A785">
        <v>21</v>
      </c>
      <c r="B785">
        <v>0</v>
      </c>
      <c r="C785">
        <v>503</v>
      </c>
    </row>
    <row r="786" spans="1:3" x14ac:dyDescent="0.25">
      <c r="A786">
        <v>17</v>
      </c>
      <c r="B786">
        <v>0</v>
      </c>
      <c r="C786">
        <v>503</v>
      </c>
    </row>
    <row r="787" spans="1:3" x14ac:dyDescent="0.25">
      <c r="A787">
        <v>17</v>
      </c>
      <c r="B787">
        <v>0</v>
      </c>
      <c r="C787">
        <v>503</v>
      </c>
    </row>
    <row r="788" spans="1:3" x14ac:dyDescent="0.25">
      <c r="A788">
        <v>14</v>
      </c>
      <c r="B788">
        <v>0</v>
      </c>
      <c r="C788">
        <v>503</v>
      </c>
    </row>
    <row r="789" spans="1:3" x14ac:dyDescent="0.25">
      <c r="A789">
        <v>16</v>
      </c>
      <c r="B789">
        <v>0</v>
      </c>
      <c r="C789">
        <v>503</v>
      </c>
    </row>
    <row r="790" spans="1:3" x14ac:dyDescent="0.25">
      <c r="A790">
        <v>15</v>
      </c>
      <c r="B790">
        <v>0</v>
      </c>
      <c r="C790">
        <v>503</v>
      </c>
    </row>
    <row r="791" spans="1:3" x14ac:dyDescent="0.25">
      <c r="A791">
        <v>20</v>
      </c>
      <c r="B791">
        <v>0</v>
      </c>
      <c r="C791">
        <v>503</v>
      </c>
    </row>
    <row r="792" spans="1:3" x14ac:dyDescent="0.25">
      <c r="A792">
        <v>20</v>
      </c>
      <c r="B792">
        <v>0</v>
      </c>
      <c r="C792">
        <v>503</v>
      </c>
    </row>
    <row r="793" spans="1:3" x14ac:dyDescent="0.25">
      <c r="A793">
        <v>19</v>
      </c>
      <c r="B793">
        <v>0</v>
      </c>
      <c r="C793">
        <v>495</v>
      </c>
    </row>
    <row r="794" spans="1:3" x14ac:dyDescent="0.25">
      <c r="A794">
        <v>14</v>
      </c>
      <c r="B794">
        <v>0</v>
      </c>
      <c r="C794">
        <v>495</v>
      </c>
    </row>
    <row r="795" spans="1:3" x14ac:dyDescent="0.25">
      <c r="A795">
        <v>16</v>
      </c>
      <c r="B795">
        <v>0</v>
      </c>
      <c r="C795">
        <v>495</v>
      </c>
    </row>
    <row r="796" spans="1:3" x14ac:dyDescent="0.25">
      <c r="A796">
        <v>13</v>
      </c>
      <c r="B796">
        <v>0</v>
      </c>
      <c r="C796">
        <v>495</v>
      </c>
    </row>
    <row r="797" spans="1:3" x14ac:dyDescent="0.25">
      <c r="A797">
        <v>15</v>
      </c>
      <c r="B797">
        <v>0</v>
      </c>
      <c r="C797">
        <v>495</v>
      </c>
    </row>
    <row r="798" spans="1:3" x14ac:dyDescent="0.25">
      <c r="A798">
        <v>16</v>
      </c>
      <c r="B798">
        <v>0</v>
      </c>
      <c r="C798">
        <v>495</v>
      </c>
    </row>
    <row r="799" spans="1:3" x14ac:dyDescent="0.25">
      <c r="A799">
        <v>17</v>
      </c>
      <c r="B799">
        <v>0</v>
      </c>
      <c r="C799">
        <v>495</v>
      </c>
    </row>
    <row r="800" spans="1:3" x14ac:dyDescent="0.25">
      <c r="A800">
        <v>19</v>
      </c>
      <c r="B800">
        <v>0</v>
      </c>
      <c r="C800">
        <v>495</v>
      </c>
    </row>
    <row r="801" spans="1:3" x14ac:dyDescent="0.25">
      <c r="A801">
        <v>18</v>
      </c>
      <c r="B801">
        <v>0</v>
      </c>
      <c r="C801">
        <v>491</v>
      </c>
    </row>
    <row r="802" spans="1:3" x14ac:dyDescent="0.25">
      <c r="A802">
        <v>20</v>
      </c>
      <c r="B802">
        <v>0</v>
      </c>
      <c r="C802">
        <v>491</v>
      </c>
    </row>
    <row r="803" spans="1:3" x14ac:dyDescent="0.25">
      <c r="A803">
        <v>13</v>
      </c>
      <c r="B803">
        <v>0</v>
      </c>
      <c r="C803">
        <v>491</v>
      </c>
    </row>
    <row r="804" spans="1:3" x14ac:dyDescent="0.25">
      <c r="A804">
        <v>17</v>
      </c>
      <c r="B804">
        <v>0</v>
      </c>
      <c r="C804">
        <v>491</v>
      </c>
    </row>
    <row r="805" spans="1:3" x14ac:dyDescent="0.25">
      <c r="A805">
        <v>16</v>
      </c>
      <c r="B805">
        <v>0</v>
      </c>
      <c r="C805">
        <v>491</v>
      </c>
    </row>
    <row r="806" spans="1:3" x14ac:dyDescent="0.25">
      <c r="A806">
        <v>16</v>
      </c>
      <c r="B806">
        <v>0</v>
      </c>
      <c r="C806">
        <v>491</v>
      </c>
    </row>
    <row r="807" spans="1:3" x14ac:dyDescent="0.25">
      <c r="A807">
        <v>19</v>
      </c>
      <c r="B807">
        <v>0</v>
      </c>
      <c r="C807">
        <v>491</v>
      </c>
    </row>
    <row r="808" spans="1:3" x14ac:dyDescent="0.25">
      <c r="A808">
        <v>21</v>
      </c>
      <c r="B808">
        <v>0</v>
      </c>
      <c r="C808">
        <v>430</v>
      </c>
    </row>
    <row r="809" spans="1:3" x14ac:dyDescent="0.25">
      <c r="A809">
        <v>17</v>
      </c>
      <c r="B809">
        <v>0</v>
      </c>
      <c r="C809">
        <v>430</v>
      </c>
    </row>
    <row r="810" spans="1:3" x14ac:dyDescent="0.25">
      <c r="A810">
        <v>15</v>
      </c>
      <c r="B810">
        <v>0</v>
      </c>
      <c r="C810">
        <v>430</v>
      </c>
    </row>
    <row r="811" spans="1:3" x14ac:dyDescent="0.25">
      <c r="A811">
        <v>17</v>
      </c>
      <c r="B811">
        <v>0</v>
      </c>
      <c r="C811">
        <v>430</v>
      </c>
    </row>
    <row r="812" spans="1:3" x14ac:dyDescent="0.25">
      <c r="A812">
        <v>16</v>
      </c>
      <c r="B812">
        <v>0</v>
      </c>
      <c r="C812">
        <v>430</v>
      </c>
    </row>
    <row r="813" spans="1:3" x14ac:dyDescent="0.25">
      <c r="A813">
        <v>15</v>
      </c>
      <c r="B813">
        <v>0</v>
      </c>
      <c r="C813">
        <v>430</v>
      </c>
    </row>
    <row r="814" spans="1:3" x14ac:dyDescent="0.25">
      <c r="A814">
        <v>16</v>
      </c>
      <c r="B814">
        <v>0</v>
      </c>
      <c r="C814">
        <v>430</v>
      </c>
    </row>
    <row r="815" spans="1:3" x14ac:dyDescent="0.25">
      <c r="A815">
        <v>22</v>
      </c>
      <c r="B815">
        <v>0</v>
      </c>
      <c r="C815">
        <v>430</v>
      </c>
    </row>
    <row r="816" spans="1:3" x14ac:dyDescent="0.25">
      <c r="A816">
        <v>16</v>
      </c>
      <c r="B816">
        <v>0</v>
      </c>
      <c r="C816">
        <v>522</v>
      </c>
    </row>
    <row r="817" spans="1:3" x14ac:dyDescent="0.25">
      <c r="A817">
        <v>16</v>
      </c>
      <c r="B817">
        <v>0</v>
      </c>
      <c r="C817">
        <v>522</v>
      </c>
    </row>
    <row r="818" spans="1:3" x14ac:dyDescent="0.25">
      <c r="A818">
        <v>15</v>
      </c>
      <c r="B818">
        <v>0</v>
      </c>
      <c r="C818">
        <v>522</v>
      </c>
    </row>
    <row r="819" spans="1:3" x14ac:dyDescent="0.25">
      <c r="A819">
        <v>17</v>
      </c>
      <c r="B819">
        <v>0</v>
      </c>
      <c r="C819">
        <v>522</v>
      </c>
    </row>
    <row r="820" spans="1:3" x14ac:dyDescent="0.25">
      <c r="A820">
        <v>17</v>
      </c>
      <c r="B820">
        <v>0</v>
      </c>
      <c r="C820">
        <v>522</v>
      </c>
    </row>
    <row r="821" spans="1:3" x14ac:dyDescent="0.25">
      <c r="A821">
        <v>17</v>
      </c>
      <c r="B821">
        <v>0</v>
      </c>
      <c r="C821">
        <v>522</v>
      </c>
    </row>
    <row r="822" spans="1:3" x14ac:dyDescent="0.25">
      <c r="A822">
        <v>14</v>
      </c>
      <c r="B822">
        <v>0</v>
      </c>
      <c r="C822">
        <v>522</v>
      </c>
    </row>
    <row r="823" spans="1:3" x14ac:dyDescent="0.25">
      <c r="A823">
        <v>18</v>
      </c>
      <c r="B823">
        <v>0</v>
      </c>
      <c r="C823">
        <v>522</v>
      </c>
    </row>
    <row r="824" spans="1:3" x14ac:dyDescent="0.25">
      <c r="A824">
        <v>14</v>
      </c>
      <c r="B824">
        <v>0</v>
      </c>
      <c r="C824">
        <v>501</v>
      </c>
    </row>
    <row r="825" spans="1:3" x14ac:dyDescent="0.25">
      <c r="A825">
        <v>17</v>
      </c>
      <c r="B825">
        <v>0</v>
      </c>
      <c r="C825">
        <v>501</v>
      </c>
    </row>
    <row r="826" spans="1:3" x14ac:dyDescent="0.25">
      <c r="A826">
        <v>14</v>
      </c>
      <c r="B826">
        <v>0</v>
      </c>
      <c r="C826">
        <v>501</v>
      </c>
    </row>
    <row r="827" spans="1:3" x14ac:dyDescent="0.25">
      <c r="A827">
        <v>15</v>
      </c>
      <c r="B827">
        <v>0</v>
      </c>
      <c r="C827">
        <v>501</v>
      </c>
    </row>
    <row r="828" spans="1:3" x14ac:dyDescent="0.25">
      <c r="A828">
        <v>15</v>
      </c>
      <c r="B828">
        <v>0</v>
      </c>
      <c r="C828">
        <v>501</v>
      </c>
    </row>
    <row r="829" spans="1:3" x14ac:dyDescent="0.25">
      <c r="A829">
        <v>14</v>
      </c>
      <c r="B829">
        <v>0</v>
      </c>
      <c r="C829">
        <v>501</v>
      </c>
    </row>
    <row r="830" spans="1:3" x14ac:dyDescent="0.25">
      <c r="A830">
        <v>21</v>
      </c>
      <c r="B830">
        <v>0</v>
      </c>
      <c r="C830">
        <v>501</v>
      </c>
    </row>
    <row r="831" spans="1:3" x14ac:dyDescent="0.25">
      <c r="A831">
        <v>23</v>
      </c>
      <c r="B831">
        <v>0</v>
      </c>
      <c r="C831">
        <v>501</v>
      </c>
    </row>
    <row r="832" spans="1:3" x14ac:dyDescent="0.25">
      <c r="A832">
        <v>16</v>
      </c>
      <c r="B832">
        <v>0</v>
      </c>
      <c r="C832">
        <v>492</v>
      </c>
    </row>
    <row r="833" spans="1:3" x14ac:dyDescent="0.25">
      <c r="A833">
        <v>14</v>
      </c>
      <c r="B833">
        <v>0</v>
      </c>
      <c r="C833">
        <v>492</v>
      </c>
    </row>
    <row r="834" spans="1:3" x14ac:dyDescent="0.25">
      <c r="A834">
        <v>17</v>
      </c>
      <c r="B834">
        <v>0</v>
      </c>
      <c r="C834">
        <v>492</v>
      </c>
    </row>
    <row r="835" spans="1:3" x14ac:dyDescent="0.25">
      <c r="A835">
        <v>17</v>
      </c>
      <c r="B835">
        <v>0</v>
      </c>
      <c r="C835">
        <v>492</v>
      </c>
    </row>
    <row r="836" spans="1:3" x14ac:dyDescent="0.25">
      <c r="A836">
        <v>19</v>
      </c>
      <c r="B836">
        <v>0</v>
      </c>
      <c r="C836">
        <v>492</v>
      </c>
    </row>
    <row r="837" spans="1:3" x14ac:dyDescent="0.25">
      <c r="A837">
        <v>17</v>
      </c>
      <c r="B837">
        <v>0</v>
      </c>
      <c r="C837">
        <v>492</v>
      </c>
    </row>
    <row r="838" spans="1:3" x14ac:dyDescent="0.25">
      <c r="A838">
        <v>16</v>
      </c>
      <c r="B838">
        <v>0</v>
      </c>
      <c r="C838">
        <v>492</v>
      </c>
    </row>
    <row r="839" spans="1:3" x14ac:dyDescent="0.25">
      <c r="A839">
        <v>21</v>
      </c>
      <c r="B839">
        <v>0</v>
      </c>
      <c r="C839">
        <v>492</v>
      </c>
    </row>
    <row r="840" spans="1:3" x14ac:dyDescent="0.25">
      <c r="A840">
        <v>18</v>
      </c>
      <c r="B840">
        <v>0</v>
      </c>
      <c r="C840">
        <v>492</v>
      </c>
    </row>
    <row r="841" spans="1:3" x14ac:dyDescent="0.25">
      <c r="A841">
        <v>17</v>
      </c>
      <c r="B841">
        <v>0</v>
      </c>
      <c r="C841">
        <v>488</v>
      </c>
    </row>
    <row r="842" spans="1:3" x14ac:dyDescent="0.25">
      <c r="A842">
        <v>14</v>
      </c>
      <c r="B842">
        <v>0</v>
      </c>
      <c r="C842">
        <v>488</v>
      </c>
    </row>
    <row r="843" spans="1:3" x14ac:dyDescent="0.25">
      <c r="A843">
        <v>14</v>
      </c>
      <c r="B843">
        <v>0</v>
      </c>
      <c r="C843">
        <v>488</v>
      </c>
    </row>
    <row r="844" spans="1:3" x14ac:dyDescent="0.25">
      <c r="A844">
        <v>16</v>
      </c>
      <c r="B844">
        <v>0</v>
      </c>
      <c r="C844">
        <v>488</v>
      </c>
    </row>
    <row r="845" spans="1:3" x14ac:dyDescent="0.25">
      <c r="A845">
        <v>17</v>
      </c>
      <c r="B845">
        <v>0</v>
      </c>
      <c r="C845">
        <v>488</v>
      </c>
    </row>
    <row r="846" spans="1:3" x14ac:dyDescent="0.25">
      <c r="A846">
        <v>16</v>
      </c>
      <c r="B846">
        <v>0</v>
      </c>
      <c r="C846">
        <v>488</v>
      </c>
    </row>
    <row r="847" spans="1:3" x14ac:dyDescent="0.25">
      <c r="A847">
        <v>22</v>
      </c>
      <c r="B847">
        <v>0</v>
      </c>
      <c r="C847">
        <v>488</v>
      </c>
    </row>
    <row r="848" spans="1:3" x14ac:dyDescent="0.25">
      <c r="A848">
        <v>16</v>
      </c>
      <c r="B848">
        <v>0</v>
      </c>
      <c r="C848">
        <v>488</v>
      </c>
    </row>
    <row r="849" spans="1:3" x14ac:dyDescent="0.25">
      <c r="A849">
        <v>18</v>
      </c>
      <c r="B849">
        <v>0</v>
      </c>
      <c r="C849">
        <v>427</v>
      </c>
    </row>
    <row r="850" spans="1:3" x14ac:dyDescent="0.25">
      <c r="A850">
        <v>35</v>
      </c>
      <c r="B850">
        <v>0</v>
      </c>
      <c r="C850">
        <v>427</v>
      </c>
    </row>
    <row r="851" spans="1:3" x14ac:dyDescent="0.25">
      <c r="A851">
        <v>13</v>
      </c>
      <c r="B851">
        <v>0</v>
      </c>
      <c r="C851">
        <v>427</v>
      </c>
    </row>
    <row r="852" spans="1:3" x14ac:dyDescent="0.25">
      <c r="A852">
        <v>18</v>
      </c>
      <c r="B852">
        <v>0</v>
      </c>
      <c r="C852">
        <v>427</v>
      </c>
    </row>
    <row r="853" spans="1:3" x14ac:dyDescent="0.25">
      <c r="A853">
        <v>21</v>
      </c>
      <c r="B853">
        <v>0</v>
      </c>
      <c r="C853">
        <v>427</v>
      </c>
    </row>
    <row r="854" spans="1:3" x14ac:dyDescent="0.25">
      <c r="A854">
        <v>18</v>
      </c>
      <c r="B854">
        <v>0</v>
      </c>
      <c r="C854">
        <v>427</v>
      </c>
    </row>
    <row r="855" spans="1:3" x14ac:dyDescent="0.25">
      <c r="A855">
        <v>17</v>
      </c>
      <c r="B855">
        <v>0</v>
      </c>
      <c r="C855">
        <v>427</v>
      </c>
    </row>
    <row r="856" spans="1:3" x14ac:dyDescent="0.25">
      <c r="A856">
        <v>13</v>
      </c>
      <c r="B856">
        <v>0</v>
      </c>
      <c r="C856">
        <v>427</v>
      </c>
    </row>
    <row r="857" spans="1:3" x14ac:dyDescent="0.25">
      <c r="A857">
        <v>17</v>
      </c>
      <c r="B857">
        <v>0</v>
      </c>
      <c r="C857">
        <v>427</v>
      </c>
    </row>
    <row r="858" spans="1:3" x14ac:dyDescent="0.25">
      <c r="A858">
        <v>17</v>
      </c>
      <c r="B858">
        <v>0</v>
      </c>
      <c r="C858">
        <v>552</v>
      </c>
    </row>
    <row r="859" spans="1:3" x14ac:dyDescent="0.25">
      <c r="A859">
        <v>16</v>
      </c>
      <c r="B859">
        <v>0</v>
      </c>
      <c r="C859">
        <v>552</v>
      </c>
    </row>
    <row r="860" spans="1:3" x14ac:dyDescent="0.25">
      <c r="A860">
        <v>16</v>
      </c>
      <c r="B860">
        <v>0</v>
      </c>
      <c r="C860">
        <v>552</v>
      </c>
    </row>
    <row r="861" spans="1:3" x14ac:dyDescent="0.25">
      <c r="A861">
        <v>18</v>
      </c>
      <c r="B861">
        <v>0</v>
      </c>
      <c r="C861">
        <v>552</v>
      </c>
    </row>
    <row r="862" spans="1:3" x14ac:dyDescent="0.25">
      <c r="A862">
        <v>24</v>
      </c>
      <c r="B862">
        <v>0</v>
      </c>
      <c r="C862">
        <v>552</v>
      </c>
    </row>
    <row r="863" spans="1:3" x14ac:dyDescent="0.25">
      <c r="A863">
        <v>18</v>
      </c>
      <c r="B863">
        <v>0</v>
      </c>
      <c r="C863">
        <v>552</v>
      </c>
    </row>
    <row r="864" spans="1:3" x14ac:dyDescent="0.25">
      <c r="A864">
        <v>13</v>
      </c>
      <c r="B864">
        <v>0</v>
      </c>
      <c r="C864">
        <v>552</v>
      </c>
    </row>
    <row r="865" spans="1:3" x14ac:dyDescent="0.25">
      <c r="A865">
        <v>19</v>
      </c>
      <c r="B865">
        <v>0</v>
      </c>
      <c r="C865">
        <v>552</v>
      </c>
    </row>
    <row r="866" spans="1:3" x14ac:dyDescent="0.25">
      <c r="A866">
        <v>15</v>
      </c>
      <c r="B866">
        <v>0</v>
      </c>
      <c r="C866">
        <v>480</v>
      </c>
    </row>
    <row r="867" spans="1:3" x14ac:dyDescent="0.25">
      <c r="A867">
        <v>15</v>
      </c>
      <c r="B867">
        <v>0</v>
      </c>
      <c r="C867">
        <v>480</v>
      </c>
    </row>
    <row r="868" spans="1:3" x14ac:dyDescent="0.25">
      <c r="A868">
        <v>17</v>
      </c>
      <c r="B868">
        <v>0</v>
      </c>
      <c r="C868">
        <v>480</v>
      </c>
    </row>
    <row r="869" spans="1:3" x14ac:dyDescent="0.25">
      <c r="A869">
        <v>20</v>
      </c>
      <c r="B869">
        <v>0</v>
      </c>
      <c r="C869">
        <v>480</v>
      </c>
    </row>
    <row r="870" spans="1:3" x14ac:dyDescent="0.25">
      <c r="A870">
        <v>18</v>
      </c>
      <c r="B870">
        <v>0</v>
      </c>
      <c r="C870">
        <v>480</v>
      </c>
    </row>
    <row r="871" spans="1:3" x14ac:dyDescent="0.25">
      <c r="A871">
        <v>14</v>
      </c>
      <c r="B871">
        <v>0</v>
      </c>
      <c r="C871">
        <v>480</v>
      </c>
    </row>
    <row r="872" spans="1:3" x14ac:dyDescent="0.25">
      <c r="A872">
        <v>15</v>
      </c>
      <c r="B872">
        <v>0</v>
      </c>
      <c r="C872">
        <v>480</v>
      </c>
    </row>
    <row r="873" spans="1:3" x14ac:dyDescent="0.25">
      <c r="A873">
        <v>16</v>
      </c>
      <c r="B873">
        <v>0</v>
      </c>
      <c r="C873">
        <v>480</v>
      </c>
    </row>
    <row r="874" spans="1:3" x14ac:dyDescent="0.25">
      <c r="A874">
        <v>17</v>
      </c>
      <c r="B874">
        <v>0</v>
      </c>
      <c r="C874">
        <v>480</v>
      </c>
    </row>
    <row r="875" spans="1:3" x14ac:dyDescent="0.25">
      <c r="A875">
        <v>18</v>
      </c>
      <c r="B875">
        <v>0</v>
      </c>
      <c r="C875">
        <v>517</v>
      </c>
    </row>
    <row r="876" spans="1:3" x14ac:dyDescent="0.25">
      <c r="A876">
        <v>17</v>
      </c>
      <c r="B876">
        <v>0</v>
      </c>
      <c r="C876">
        <v>517</v>
      </c>
    </row>
    <row r="877" spans="1:3" x14ac:dyDescent="0.25">
      <c r="A877">
        <v>17</v>
      </c>
      <c r="B877">
        <v>0</v>
      </c>
      <c r="C877">
        <v>517</v>
      </c>
    </row>
    <row r="878" spans="1:3" x14ac:dyDescent="0.25">
      <c r="A878">
        <v>19</v>
      </c>
      <c r="B878">
        <v>0</v>
      </c>
      <c r="C878">
        <v>517</v>
      </c>
    </row>
    <row r="879" spans="1:3" x14ac:dyDescent="0.25">
      <c r="A879">
        <v>18</v>
      </c>
      <c r="B879">
        <v>0</v>
      </c>
      <c r="C879">
        <v>517</v>
      </c>
    </row>
    <row r="880" spans="1:3" x14ac:dyDescent="0.25">
      <c r="A880">
        <v>19</v>
      </c>
      <c r="B880">
        <v>0</v>
      </c>
      <c r="C880">
        <v>517</v>
      </c>
    </row>
    <row r="881" spans="1:3" x14ac:dyDescent="0.25">
      <c r="A881">
        <v>18</v>
      </c>
      <c r="B881">
        <v>0</v>
      </c>
      <c r="C881">
        <v>517</v>
      </c>
    </row>
    <row r="882" spans="1:3" x14ac:dyDescent="0.25">
      <c r="A882">
        <v>15</v>
      </c>
      <c r="B882">
        <v>0</v>
      </c>
      <c r="C882">
        <v>517</v>
      </c>
    </row>
    <row r="883" spans="1:3" x14ac:dyDescent="0.25">
      <c r="A883">
        <v>13</v>
      </c>
      <c r="B883">
        <v>0</v>
      </c>
      <c r="C883">
        <v>505</v>
      </c>
    </row>
    <row r="884" spans="1:3" x14ac:dyDescent="0.25">
      <c r="A884">
        <v>14</v>
      </c>
      <c r="B884">
        <v>0</v>
      </c>
      <c r="C884">
        <v>505</v>
      </c>
    </row>
    <row r="885" spans="1:3" x14ac:dyDescent="0.25">
      <c r="A885">
        <v>21</v>
      </c>
      <c r="B885">
        <v>0</v>
      </c>
      <c r="C885">
        <v>505</v>
      </c>
    </row>
    <row r="886" spans="1:3" x14ac:dyDescent="0.25">
      <c r="A886">
        <v>23</v>
      </c>
      <c r="B886">
        <v>0</v>
      </c>
      <c r="C886">
        <v>505</v>
      </c>
    </row>
    <row r="887" spans="1:3" x14ac:dyDescent="0.25">
      <c r="A887">
        <v>19</v>
      </c>
      <c r="B887">
        <v>0</v>
      </c>
      <c r="C887">
        <v>505</v>
      </c>
    </row>
    <row r="888" spans="1:3" x14ac:dyDescent="0.25">
      <c r="A888">
        <v>16</v>
      </c>
      <c r="B888">
        <v>0</v>
      </c>
      <c r="C888">
        <v>505</v>
      </c>
    </row>
    <row r="889" spans="1:3" x14ac:dyDescent="0.25">
      <c r="A889">
        <v>14</v>
      </c>
      <c r="B889">
        <v>0</v>
      </c>
      <c r="C889">
        <v>505</v>
      </c>
    </row>
    <row r="890" spans="1:3" x14ac:dyDescent="0.25">
      <c r="A890">
        <v>20</v>
      </c>
      <c r="B890">
        <v>0</v>
      </c>
      <c r="C890">
        <v>505</v>
      </c>
    </row>
    <row r="891" spans="1:3" x14ac:dyDescent="0.25">
      <c r="A891">
        <v>16</v>
      </c>
      <c r="B891">
        <v>0</v>
      </c>
      <c r="C891">
        <v>501</v>
      </c>
    </row>
    <row r="892" spans="1:3" x14ac:dyDescent="0.25">
      <c r="A892">
        <v>15</v>
      </c>
      <c r="B892">
        <v>0</v>
      </c>
      <c r="C892">
        <v>501</v>
      </c>
    </row>
    <row r="893" spans="1:3" x14ac:dyDescent="0.25">
      <c r="A893">
        <v>18</v>
      </c>
      <c r="B893">
        <v>0</v>
      </c>
      <c r="C893">
        <v>501</v>
      </c>
    </row>
    <row r="894" spans="1:3" x14ac:dyDescent="0.25">
      <c r="A894">
        <v>17</v>
      </c>
      <c r="B894">
        <v>0</v>
      </c>
      <c r="C894">
        <v>501</v>
      </c>
    </row>
    <row r="895" spans="1:3" x14ac:dyDescent="0.25">
      <c r="A895">
        <v>17</v>
      </c>
      <c r="B895">
        <v>0</v>
      </c>
      <c r="C895">
        <v>501</v>
      </c>
    </row>
    <row r="896" spans="1:3" x14ac:dyDescent="0.25">
      <c r="A896">
        <v>14</v>
      </c>
      <c r="B896">
        <v>0</v>
      </c>
      <c r="C896">
        <v>501</v>
      </c>
    </row>
    <row r="897" spans="1:3" x14ac:dyDescent="0.25">
      <c r="A897">
        <v>18</v>
      </c>
      <c r="B897">
        <v>0</v>
      </c>
      <c r="C897">
        <v>501</v>
      </c>
    </row>
    <row r="898" spans="1:3" x14ac:dyDescent="0.25">
      <c r="A898">
        <v>18</v>
      </c>
      <c r="B898">
        <v>0</v>
      </c>
      <c r="C898">
        <v>501</v>
      </c>
    </row>
    <row r="899" spans="1:3" x14ac:dyDescent="0.25">
      <c r="A899">
        <v>13</v>
      </c>
      <c r="B899">
        <v>0</v>
      </c>
      <c r="C899">
        <v>501</v>
      </c>
    </row>
    <row r="900" spans="1:3" x14ac:dyDescent="0.25">
      <c r="A900">
        <v>15</v>
      </c>
      <c r="B900">
        <v>0</v>
      </c>
      <c r="C900">
        <v>499</v>
      </c>
    </row>
    <row r="901" spans="1:3" x14ac:dyDescent="0.25">
      <c r="A901">
        <v>15</v>
      </c>
      <c r="B901">
        <v>0</v>
      </c>
      <c r="C901">
        <v>499</v>
      </c>
    </row>
    <row r="902" spans="1:3" x14ac:dyDescent="0.25">
      <c r="A902">
        <v>19</v>
      </c>
      <c r="B902">
        <v>0</v>
      </c>
      <c r="C902">
        <v>499</v>
      </c>
    </row>
    <row r="903" spans="1:3" x14ac:dyDescent="0.25">
      <c r="A903">
        <v>21</v>
      </c>
      <c r="B903">
        <v>0</v>
      </c>
      <c r="C903">
        <v>499</v>
      </c>
    </row>
    <row r="904" spans="1:3" x14ac:dyDescent="0.25">
      <c r="A904">
        <v>13</v>
      </c>
      <c r="B904">
        <v>0</v>
      </c>
      <c r="C904">
        <v>499</v>
      </c>
    </row>
    <row r="905" spans="1:3" x14ac:dyDescent="0.25">
      <c r="A905">
        <v>17</v>
      </c>
      <c r="B905">
        <v>0</v>
      </c>
      <c r="C905">
        <v>499</v>
      </c>
    </row>
    <row r="906" spans="1:3" x14ac:dyDescent="0.25">
      <c r="A906">
        <v>16</v>
      </c>
      <c r="B906">
        <v>0</v>
      </c>
      <c r="C906">
        <v>499</v>
      </c>
    </row>
    <row r="907" spans="1:3" x14ac:dyDescent="0.25">
      <c r="A907">
        <v>16</v>
      </c>
      <c r="B907">
        <v>0</v>
      </c>
      <c r="C907">
        <v>499</v>
      </c>
    </row>
    <row r="908" spans="1:3" x14ac:dyDescent="0.25">
      <c r="A908">
        <v>14</v>
      </c>
      <c r="B908">
        <v>0</v>
      </c>
      <c r="C908">
        <v>505</v>
      </c>
    </row>
    <row r="909" spans="1:3" x14ac:dyDescent="0.25">
      <c r="A909">
        <v>17</v>
      </c>
      <c r="B909">
        <v>0</v>
      </c>
      <c r="C909">
        <v>505</v>
      </c>
    </row>
    <row r="910" spans="1:3" x14ac:dyDescent="0.25">
      <c r="A910">
        <v>22</v>
      </c>
      <c r="B910">
        <v>0</v>
      </c>
      <c r="C910">
        <v>505</v>
      </c>
    </row>
    <row r="911" spans="1:3" x14ac:dyDescent="0.25">
      <c r="A911">
        <v>18</v>
      </c>
      <c r="B911">
        <v>0</v>
      </c>
      <c r="C911">
        <v>505</v>
      </c>
    </row>
    <row r="912" spans="1:3" x14ac:dyDescent="0.25">
      <c r="A912">
        <v>13</v>
      </c>
      <c r="B912">
        <v>0</v>
      </c>
      <c r="C912">
        <v>505</v>
      </c>
    </row>
    <row r="913" spans="1:3" x14ac:dyDescent="0.25">
      <c r="A913">
        <v>17</v>
      </c>
      <c r="B913">
        <v>0</v>
      </c>
      <c r="C913">
        <v>505</v>
      </c>
    </row>
    <row r="914" spans="1:3" x14ac:dyDescent="0.25">
      <c r="A914">
        <v>17</v>
      </c>
      <c r="B914">
        <v>0</v>
      </c>
      <c r="C914">
        <v>505</v>
      </c>
    </row>
    <row r="915" spans="1:3" x14ac:dyDescent="0.25">
      <c r="A915">
        <v>14</v>
      </c>
      <c r="B915">
        <v>0</v>
      </c>
      <c r="C915">
        <v>505</v>
      </c>
    </row>
    <row r="916" spans="1:3" x14ac:dyDescent="0.25">
      <c r="A916">
        <v>16</v>
      </c>
      <c r="B916">
        <v>0</v>
      </c>
      <c r="C916">
        <v>505</v>
      </c>
    </row>
    <row r="917" spans="1:3" x14ac:dyDescent="0.25">
      <c r="A917">
        <v>20</v>
      </c>
      <c r="B917">
        <v>0</v>
      </c>
      <c r="C917">
        <v>522</v>
      </c>
    </row>
    <row r="918" spans="1:3" x14ac:dyDescent="0.25">
      <c r="A918">
        <v>20</v>
      </c>
      <c r="B918">
        <v>0</v>
      </c>
      <c r="C918">
        <v>522</v>
      </c>
    </row>
    <row r="919" spans="1:3" x14ac:dyDescent="0.25">
      <c r="A919">
        <v>21</v>
      </c>
      <c r="B919">
        <v>0</v>
      </c>
      <c r="C919">
        <v>522</v>
      </c>
    </row>
    <row r="920" spans="1:3" x14ac:dyDescent="0.25">
      <c r="A920">
        <v>20</v>
      </c>
      <c r="B920">
        <v>0</v>
      </c>
      <c r="C920">
        <v>522</v>
      </c>
    </row>
    <row r="921" spans="1:3" x14ac:dyDescent="0.25">
      <c r="A921">
        <v>19</v>
      </c>
      <c r="B921">
        <v>0</v>
      </c>
      <c r="C921">
        <v>522</v>
      </c>
    </row>
    <row r="922" spans="1:3" x14ac:dyDescent="0.25">
      <c r="A922">
        <v>17</v>
      </c>
      <c r="B922">
        <v>0</v>
      </c>
      <c r="C922">
        <v>522</v>
      </c>
    </row>
    <row r="923" spans="1:3" x14ac:dyDescent="0.25">
      <c r="A923">
        <v>18</v>
      </c>
      <c r="B923">
        <v>0</v>
      </c>
      <c r="C923">
        <v>522</v>
      </c>
    </row>
    <row r="924" spans="1:3" x14ac:dyDescent="0.25">
      <c r="A924">
        <v>19</v>
      </c>
      <c r="B924">
        <v>0</v>
      </c>
      <c r="C924">
        <v>522</v>
      </c>
    </row>
    <row r="925" spans="1:3" x14ac:dyDescent="0.25">
      <c r="A925">
        <v>20</v>
      </c>
      <c r="B925">
        <v>0</v>
      </c>
      <c r="C925">
        <v>586</v>
      </c>
    </row>
    <row r="926" spans="1:3" x14ac:dyDescent="0.25">
      <c r="A926">
        <v>20</v>
      </c>
      <c r="B926">
        <v>0</v>
      </c>
      <c r="C926">
        <v>586</v>
      </c>
    </row>
    <row r="927" spans="1:3" x14ac:dyDescent="0.25">
      <c r="A927">
        <v>19</v>
      </c>
      <c r="B927">
        <v>0</v>
      </c>
      <c r="C927">
        <v>586</v>
      </c>
    </row>
    <row r="928" spans="1:3" x14ac:dyDescent="0.25">
      <c r="A928">
        <v>16</v>
      </c>
      <c r="B928">
        <v>0</v>
      </c>
      <c r="C928">
        <v>586</v>
      </c>
    </row>
    <row r="929" spans="1:3" x14ac:dyDescent="0.25">
      <c r="A929">
        <v>13</v>
      </c>
      <c r="B929">
        <v>0</v>
      </c>
      <c r="C929">
        <v>586</v>
      </c>
    </row>
    <row r="930" spans="1:3" x14ac:dyDescent="0.25">
      <c r="A930">
        <v>16</v>
      </c>
      <c r="B930">
        <v>0</v>
      </c>
      <c r="C930">
        <v>586</v>
      </c>
    </row>
    <row r="931" spans="1:3" x14ac:dyDescent="0.25">
      <c r="A931">
        <v>14</v>
      </c>
      <c r="B931">
        <v>0</v>
      </c>
      <c r="C931">
        <v>586</v>
      </c>
    </row>
    <row r="932" spans="1:3" x14ac:dyDescent="0.25">
      <c r="A932">
        <v>17</v>
      </c>
      <c r="B932">
        <v>0</v>
      </c>
      <c r="C932">
        <v>586</v>
      </c>
    </row>
    <row r="933" spans="1:3" x14ac:dyDescent="0.25">
      <c r="A933">
        <v>17</v>
      </c>
      <c r="B933">
        <v>0</v>
      </c>
      <c r="C933">
        <v>586</v>
      </c>
    </row>
    <row r="934" spans="1:3" x14ac:dyDescent="0.25">
      <c r="A934">
        <v>14</v>
      </c>
      <c r="B934">
        <v>0</v>
      </c>
      <c r="C934">
        <v>511</v>
      </c>
    </row>
    <row r="935" spans="1:3" x14ac:dyDescent="0.25">
      <c r="A935">
        <v>14</v>
      </c>
      <c r="B935">
        <v>0</v>
      </c>
      <c r="C935">
        <v>511</v>
      </c>
    </row>
    <row r="936" spans="1:3" x14ac:dyDescent="0.25">
      <c r="A936">
        <v>14</v>
      </c>
      <c r="B936">
        <v>0</v>
      </c>
      <c r="C936">
        <v>511</v>
      </c>
    </row>
    <row r="937" spans="1:3" x14ac:dyDescent="0.25">
      <c r="A937">
        <v>16</v>
      </c>
      <c r="B937">
        <v>0</v>
      </c>
      <c r="C937">
        <v>511</v>
      </c>
    </row>
    <row r="938" spans="1:3" x14ac:dyDescent="0.25">
      <c r="A938">
        <v>14</v>
      </c>
      <c r="B938">
        <v>0</v>
      </c>
      <c r="C938">
        <v>511</v>
      </c>
    </row>
    <row r="939" spans="1:3" x14ac:dyDescent="0.25">
      <c r="A939">
        <v>17</v>
      </c>
      <c r="B939">
        <v>0</v>
      </c>
      <c r="C939">
        <v>511</v>
      </c>
    </row>
    <row r="940" spans="1:3" x14ac:dyDescent="0.25">
      <c r="A940">
        <v>19</v>
      </c>
      <c r="B940">
        <v>0</v>
      </c>
      <c r="C940">
        <v>511</v>
      </c>
    </row>
    <row r="941" spans="1:3" x14ac:dyDescent="0.25">
      <c r="A941">
        <v>22</v>
      </c>
      <c r="B941">
        <v>0</v>
      </c>
      <c r="C941">
        <v>511</v>
      </c>
    </row>
    <row r="942" spans="1:3" x14ac:dyDescent="0.25">
      <c r="A942">
        <v>17</v>
      </c>
      <c r="B942">
        <v>0</v>
      </c>
      <c r="C942">
        <v>524</v>
      </c>
    </row>
    <row r="943" spans="1:3" x14ac:dyDescent="0.25">
      <c r="A943">
        <v>15</v>
      </c>
      <c r="B943">
        <v>0</v>
      </c>
      <c r="C943">
        <v>524</v>
      </c>
    </row>
    <row r="944" spans="1:3" x14ac:dyDescent="0.25">
      <c r="A944">
        <v>14</v>
      </c>
      <c r="B944">
        <v>0</v>
      </c>
      <c r="C944">
        <v>524</v>
      </c>
    </row>
    <row r="945" spans="1:3" x14ac:dyDescent="0.25">
      <c r="A945">
        <v>13</v>
      </c>
      <c r="B945">
        <v>0</v>
      </c>
      <c r="C945">
        <v>524</v>
      </c>
    </row>
    <row r="946" spans="1:3" x14ac:dyDescent="0.25">
      <c r="A946">
        <v>15</v>
      </c>
      <c r="B946">
        <v>0</v>
      </c>
      <c r="C946">
        <v>524</v>
      </c>
    </row>
    <row r="947" spans="1:3" x14ac:dyDescent="0.25">
      <c r="A947">
        <v>17</v>
      </c>
      <c r="B947">
        <v>0</v>
      </c>
      <c r="C947">
        <v>524</v>
      </c>
    </row>
    <row r="948" spans="1:3" x14ac:dyDescent="0.25">
      <c r="A948">
        <v>19</v>
      </c>
      <c r="B948">
        <v>0</v>
      </c>
      <c r="C948">
        <v>524</v>
      </c>
    </row>
    <row r="949" spans="1:3" x14ac:dyDescent="0.25">
      <c r="A949">
        <v>17</v>
      </c>
      <c r="B949">
        <v>0</v>
      </c>
      <c r="C949">
        <v>524</v>
      </c>
    </row>
    <row r="950" spans="1:3" x14ac:dyDescent="0.25">
      <c r="A950">
        <v>20</v>
      </c>
      <c r="B950">
        <v>0</v>
      </c>
      <c r="C950">
        <v>524</v>
      </c>
    </row>
    <row r="951" spans="1:3" x14ac:dyDescent="0.25">
      <c r="A951">
        <v>15</v>
      </c>
      <c r="B951">
        <v>0</v>
      </c>
      <c r="C951">
        <v>493</v>
      </c>
    </row>
    <row r="952" spans="1:3" x14ac:dyDescent="0.25">
      <c r="A952">
        <v>16</v>
      </c>
      <c r="B952">
        <v>0</v>
      </c>
      <c r="C952">
        <v>493</v>
      </c>
    </row>
    <row r="953" spans="1:3" x14ac:dyDescent="0.25">
      <c r="A953">
        <v>16</v>
      </c>
      <c r="B953">
        <v>0</v>
      </c>
      <c r="C953">
        <v>493</v>
      </c>
    </row>
    <row r="954" spans="1:3" x14ac:dyDescent="0.25">
      <c r="A954">
        <v>15</v>
      </c>
      <c r="B954">
        <v>0</v>
      </c>
      <c r="C954">
        <v>493</v>
      </c>
    </row>
    <row r="955" spans="1:3" x14ac:dyDescent="0.25">
      <c r="A955">
        <v>13</v>
      </c>
      <c r="B955">
        <v>0</v>
      </c>
      <c r="C955">
        <v>493</v>
      </c>
    </row>
    <row r="956" spans="1:3" x14ac:dyDescent="0.25">
      <c r="A956">
        <v>17</v>
      </c>
      <c r="B956">
        <v>0</v>
      </c>
      <c r="C956">
        <v>493</v>
      </c>
    </row>
    <row r="957" spans="1:3" x14ac:dyDescent="0.25">
      <c r="A957">
        <v>18</v>
      </c>
      <c r="B957">
        <v>0</v>
      </c>
      <c r="C957">
        <v>493</v>
      </c>
    </row>
    <row r="958" spans="1:3" x14ac:dyDescent="0.25">
      <c r="A958">
        <v>20</v>
      </c>
      <c r="B958">
        <v>0</v>
      </c>
      <c r="C958">
        <v>493</v>
      </c>
    </row>
    <row r="959" spans="1:3" x14ac:dyDescent="0.25">
      <c r="A959">
        <v>13</v>
      </c>
      <c r="B959">
        <v>0</v>
      </c>
      <c r="C959">
        <v>579</v>
      </c>
    </row>
    <row r="960" spans="1:3" x14ac:dyDescent="0.25">
      <c r="A960">
        <v>13</v>
      </c>
      <c r="B960">
        <v>0</v>
      </c>
      <c r="C960">
        <v>579</v>
      </c>
    </row>
    <row r="961" spans="1:3" x14ac:dyDescent="0.25">
      <c r="A961">
        <v>15</v>
      </c>
      <c r="B961">
        <v>0</v>
      </c>
      <c r="C961">
        <v>579</v>
      </c>
    </row>
    <row r="962" spans="1:3" x14ac:dyDescent="0.25">
      <c r="A962">
        <v>17</v>
      </c>
      <c r="B962">
        <v>0</v>
      </c>
      <c r="C962">
        <v>579</v>
      </c>
    </row>
    <row r="963" spans="1:3" x14ac:dyDescent="0.25">
      <c r="A963">
        <v>15</v>
      </c>
      <c r="B963">
        <v>0</v>
      </c>
      <c r="C963">
        <v>579</v>
      </c>
    </row>
    <row r="964" spans="1:3" x14ac:dyDescent="0.25">
      <c r="A964">
        <v>18</v>
      </c>
      <c r="B964">
        <v>0</v>
      </c>
      <c r="C964">
        <v>579</v>
      </c>
    </row>
    <row r="965" spans="1:3" x14ac:dyDescent="0.25">
      <c r="A965">
        <v>15</v>
      </c>
      <c r="B965">
        <v>0</v>
      </c>
      <c r="C965">
        <v>579</v>
      </c>
    </row>
    <row r="966" spans="1:3" x14ac:dyDescent="0.25">
      <c r="A966">
        <v>15</v>
      </c>
      <c r="B966">
        <v>0</v>
      </c>
      <c r="C966">
        <v>579</v>
      </c>
    </row>
    <row r="967" spans="1:3" x14ac:dyDescent="0.25">
      <c r="A967">
        <v>14</v>
      </c>
      <c r="B967">
        <v>0</v>
      </c>
      <c r="C967">
        <v>579</v>
      </c>
    </row>
    <row r="968" spans="1:3" x14ac:dyDescent="0.25">
      <c r="A968">
        <v>20</v>
      </c>
      <c r="B968">
        <v>0</v>
      </c>
      <c r="C968">
        <v>474</v>
      </c>
    </row>
    <row r="969" spans="1:3" x14ac:dyDescent="0.25">
      <c r="A969">
        <v>16</v>
      </c>
      <c r="B969">
        <v>0</v>
      </c>
      <c r="C969">
        <v>474</v>
      </c>
    </row>
    <row r="970" spans="1:3" x14ac:dyDescent="0.25">
      <c r="A970">
        <v>19</v>
      </c>
      <c r="B970">
        <v>0</v>
      </c>
      <c r="C970">
        <v>474</v>
      </c>
    </row>
    <row r="971" spans="1:3" x14ac:dyDescent="0.25">
      <c r="A971">
        <v>17</v>
      </c>
      <c r="B971">
        <v>0</v>
      </c>
      <c r="C971">
        <v>474</v>
      </c>
    </row>
    <row r="972" spans="1:3" x14ac:dyDescent="0.25">
      <c r="A972">
        <v>16</v>
      </c>
      <c r="B972">
        <v>0</v>
      </c>
      <c r="C972">
        <v>474</v>
      </c>
    </row>
    <row r="973" spans="1:3" x14ac:dyDescent="0.25">
      <c r="A973">
        <v>17</v>
      </c>
      <c r="B973">
        <v>0</v>
      </c>
      <c r="C973">
        <v>474</v>
      </c>
    </row>
    <row r="974" spans="1:3" x14ac:dyDescent="0.25">
      <c r="A974">
        <v>13</v>
      </c>
      <c r="B974">
        <v>0</v>
      </c>
      <c r="C974">
        <v>474</v>
      </c>
    </row>
    <row r="975" spans="1:3" x14ac:dyDescent="0.25">
      <c r="A975">
        <v>12</v>
      </c>
      <c r="B975">
        <v>0</v>
      </c>
      <c r="C975">
        <v>474</v>
      </c>
    </row>
    <row r="976" spans="1:3" x14ac:dyDescent="0.25">
      <c r="A976">
        <v>16</v>
      </c>
      <c r="B976">
        <v>0</v>
      </c>
      <c r="C976">
        <v>504</v>
      </c>
    </row>
    <row r="977" spans="1:3" x14ac:dyDescent="0.25">
      <c r="A977">
        <v>15</v>
      </c>
      <c r="B977">
        <v>0</v>
      </c>
      <c r="C977">
        <v>504</v>
      </c>
    </row>
    <row r="978" spans="1:3" x14ac:dyDescent="0.25">
      <c r="A978">
        <v>16</v>
      </c>
      <c r="B978">
        <v>0</v>
      </c>
      <c r="C978">
        <v>504</v>
      </c>
    </row>
    <row r="979" spans="1:3" x14ac:dyDescent="0.25">
      <c r="A979">
        <v>16</v>
      </c>
      <c r="B979">
        <v>0</v>
      </c>
      <c r="C979">
        <v>504</v>
      </c>
    </row>
    <row r="980" spans="1:3" x14ac:dyDescent="0.25">
      <c r="A980">
        <v>13</v>
      </c>
      <c r="B980">
        <v>0</v>
      </c>
      <c r="C980">
        <v>504</v>
      </c>
    </row>
    <row r="981" spans="1:3" x14ac:dyDescent="0.25">
      <c r="A981">
        <v>15</v>
      </c>
      <c r="B981">
        <v>0</v>
      </c>
      <c r="C981">
        <v>504</v>
      </c>
    </row>
    <row r="982" spans="1:3" x14ac:dyDescent="0.25">
      <c r="A982">
        <v>17</v>
      </c>
      <c r="B982">
        <v>0</v>
      </c>
      <c r="C982">
        <v>504</v>
      </c>
    </row>
    <row r="983" spans="1:3" x14ac:dyDescent="0.25">
      <c r="A983">
        <v>18</v>
      </c>
      <c r="B983">
        <v>0</v>
      </c>
      <c r="C983">
        <v>504</v>
      </c>
    </row>
    <row r="984" spans="1:3" x14ac:dyDescent="0.25">
      <c r="A984">
        <v>15</v>
      </c>
      <c r="B984">
        <v>0</v>
      </c>
      <c r="C984">
        <v>496</v>
      </c>
    </row>
    <row r="985" spans="1:3" x14ac:dyDescent="0.25">
      <c r="A985">
        <v>15</v>
      </c>
      <c r="B985">
        <v>0</v>
      </c>
      <c r="C985">
        <v>496</v>
      </c>
    </row>
    <row r="986" spans="1:3" x14ac:dyDescent="0.25">
      <c r="A986">
        <v>19</v>
      </c>
      <c r="B986">
        <v>0</v>
      </c>
      <c r="C986">
        <v>496</v>
      </c>
    </row>
    <row r="987" spans="1:3" x14ac:dyDescent="0.25">
      <c r="A987">
        <v>14</v>
      </c>
      <c r="B987">
        <v>0</v>
      </c>
      <c r="C987">
        <v>496</v>
      </c>
    </row>
    <row r="988" spans="1:3" x14ac:dyDescent="0.25">
      <c r="A988">
        <v>21</v>
      </c>
      <c r="B988">
        <v>0</v>
      </c>
      <c r="C988">
        <v>496</v>
      </c>
    </row>
    <row r="989" spans="1:3" x14ac:dyDescent="0.25">
      <c r="A989">
        <v>18</v>
      </c>
      <c r="B989">
        <v>0</v>
      </c>
      <c r="C989">
        <v>496</v>
      </c>
    </row>
    <row r="990" spans="1:3" x14ac:dyDescent="0.25">
      <c r="A990">
        <v>13</v>
      </c>
      <c r="B990">
        <v>0</v>
      </c>
      <c r="C990">
        <v>496</v>
      </c>
    </row>
    <row r="991" spans="1:3" x14ac:dyDescent="0.25">
      <c r="A991">
        <v>16</v>
      </c>
      <c r="B991">
        <v>0</v>
      </c>
      <c r="C991">
        <v>496</v>
      </c>
    </row>
    <row r="992" spans="1:3" x14ac:dyDescent="0.25">
      <c r="A992">
        <v>16</v>
      </c>
      <c r="B992">
        <v>0</v>
      </c>
      <c r="C992">
        <v>496</v>
      </c>
    </row>
    <row r="993" spans="1:3" x14ac:dyDescent="0.25">
      <c r="A993">
        <v>16</v>
      </c>
      <c r="B993">
        <v>0</v>
      </c>
      <c r="C993">
        <v>489</v>
      </c>
    </row>
    <row r="994" spans="1:3" x14ac:dyDescent="0.25">
      <c r="A994">
        <v>18</v>
      </c>
      <c r="B994">
        <v>0</v>
      </c>
      <c r="C994">
        <v>489</v>
      </c>
    </row>
    <row r="995" spans="1:3" x14ac:dyDescent="0.25">
      <c r="A995">
        <v>17</v>
      </c>
      <c r="B995">
        <v>0</v>
      </c>
      <c r="C995">
        <v>489</v>
      </c>
    </row>
    <row r="996" spans="1:3" x14ac:dyDescent="0.25">
      <c r="A996">
        <v>18</v>
      </c>
      <c r="B996">
        <v>0</v>
      </c>
      <c r="C996">
        <v>489</v>
      </c>
    </row>
    <row r="997" spans="1:3" x14ac:dyDescent="0.25">
      <c r="A997">
        <v>21</v>
      </c>
      <c r="B997">
        <v>0</v>
      </c>
      <c r="C997">
        <v>489</v>
      </c>
    </row>
    <row r="998" spans="1:3" x14ac:dyDescent="0.25">
      <c r="A998">
        <v>19</v>
      </c>
      <c r="B998">
        <v>0</v>
      </c>
      <c r="C998">
        <v>489</v>
      </c>
    </row>
    <row r="999" spans="1:3" x14ac:dyDescent="0.25">
      <c r="A999">
        <v>17</v>
      </c>
      <c r="B999">
        <v>0</v>
      </c>
      <c r="C999">
        <v>489</v>
      </c>
    </row>
    <row r="1000" spans="1:3" x14ac:dyDescent="0.25">
      <c r="A1000">
        <v>17</v>
      </c>
      <c r="B1000">
        <v>0</v>
      </c>
      <c r="C1000">
        <v>489</v>
      </c>
    </row>
    <row r="1001" spans="1:3" x14ac:dyDescent="0.25">
      <c r="A1001">
        <v>18</v>
      </c>
      <c r="B1001">
        <v>0</v>
      </c>
      <c r="C1001">
        <v>519</v>
      </c>
    </row>
    <row r="1002" spans="1:3" x14ac:dyDescent="0.25">
      <c r="A1002">
        <v>15</v>
      </c>
      <c r="B1002">
        <v>0</v>
      </c>
      <c r="C1002">
        <v>519</v>
      </c>
    </row>
    <row r="1003" spans="1:3" x14ac:dyDescent="0.25">
      <c r="A1003">
        <v>18</v>
      </c>
      <c r="B1003">
        <v>0</v>
      </c>
      <c r="C1003">
        <v>519</v>
      </c>
    </row>
    <row r="1004" spans="1:3" x14ac:dyDescent="0.25">
      <c r="A1004">
        <v>19</v>
      </c>
      <c r="B1004">
        <v>0</v>
      </c>
      <c r="C1004">
        <v>519</v>
      </c>
    </row>
    <row r="1005" spans="1:3" x14ac:dyDescent="0.25">
      <c r="A1005">
        <v>20</v>
      </c>
      <c r="B1005">
        <v>0</v>
      </c>
      <c r="C1005">
        <v>519</v>
      </c>
    </row>
    <row r="1006" spans="1:3" x14ac:dyDescent="0.25">
      <c r="A1006">
        <v>14</v>
      </c>
      <c r="B1006">
        <v>0</v>
      </c>
      <c r="C1006">
        <v>519</v>
      </c>
    </row>
    <row r="1007" spans="1:3" x14ac:dyDescent="0.25">
      <c r="A1007">
        <v>16</v>
      </c>
      <c r="B1007">
        <v>0</v>
      </c>
      <c r="C1007">
        <v>519</v>
      </c>
    </row>
    <row r="1008" spans="1:3" x14ac:dyDescent="0.25">
      <c r="A1008">
        <v>18</v>
      </c>
      <c r="B1008">
        <v>0</v>
      </c>
      <c r="C1008">
        <v>519</v>
      </c>
    </row>
    <row r="1009" spans="1:3" x14ac:dyDescent="0.25">
      <c r="A1009">
        <v>19</v>
      </c>
      <c r="B1009">
        <v>0</v>
      </c>
      <c r="C1009">
        <v>529</v>
      </c>
    </row>
    <row r="1010" spans="1:3" x14ac:dyDescent="0.25">
      <c r="A1010">
        <v>20</v>
      </c>
      <c r="B1010">
        <v>0</v>
      </c>
      <c r="C1010">
        <v>529</v>
      </c>
    </row>
    <row r="1011" spans="1:3" x14ac:dyDescent="0.25">
      <c r="A1011">
        <v>16</v>
      </c>
      <c r="B1011">
        <v>0</v>
      </c>
      <c r="C1011">
        <v>529</v>
      </c>
    </row>
    <row r="1012" spans="1:3" x14ac:dyDescent="0.25">
      <c r="A1012">
        <v>21</v>
      </c>
      <c r="B1012">
        <v>0</v>
      </c>
      <c r="C1012">
        <v>529</v>
      </c>
    </row>
    <row r="1013" spans="1:3" x14ac:dyDescent="0.25">
      <c r="A1013">
        <v>17</v>
      </c>
      <c r="B1013">
        <v>0</v>
      </c>
      <c r="C1013">
        <v>529</v>
      </c>
    </row>
    <row r="1014" spans="1:3" x14ac:dyDescent="0.25">
      <c r="A1014">
        <v>16</v>
      </c>
      <c r="B1014">
        <v>0</v>
      </c>
      <c r="C1014">
        <v>529</v>
      </c>
    </row>
    <row r="1015" spans="1:3" x14ac:dyDescent="0.25">
      <c r="A1015">
        <v>18</v>
      </c>
      <c r="B1015">
        <v>0</v>
      </c>
      <c r="C1015">
        <v>529</v>
      </c>
    </row>
    <row r="1016" spans="1:3" x14ac:dyDescent="0.25">
      <c r="A1016">
        <v>18</v>
      </c>
      <c r="B1016">
        <v>0</v>
      </c>
      <c r="C1016">
        <v>529</v>
      </c>
    </row>
    <row r="1017" spans="1:3" x14ac:dyDescent="0.25">
      <c r="A1017">
        <v>16</v>
      </c>
      <c r="B1017">
        <v>0</v>
      </c>
      <c r="C1017">
        <v>529</v>
      </c>
    </row>
    <row r="1018" spans="1:3" x14ac:dyDescent="0.25">
      <c r="A1018">
        <v>16</v>
      </c>
      <c r="B1018">
        <v>0</v>
      </c>
      <c r="C1018">
        <v>529</v>
      </c>
    </row>
    <row r="1019" spans="1:3" x14ac:dyDescent="0.25">
      <c r="A1019">
        <v>17</v>
      </c>
      <c r="B1019">
        <v>0</v>
      </c>
      <c r="C1019">
        <v>529</v>
      </c>
    </row>
    <row r="1020" spans="1:3" x14ac:dyDescent="0.25">
      <c r="A1020">
        <v>20</v>
      </c>
      <c r="B1020">
        <v>0</v>
      </c>
      <c r="C1020">
        <v>529</v>
      </c>
    </row>
    <row r="1021" spans="1:3" x14ac:dyDescent="0.25">
      <c r="A1021">
        <v>15</v>
      </c>
      <c r="B1021">
        <v>0</v>
      </c>
      <c r="C1021">
        <v>529</v>
      </c>
    </row>
    <row r="1022" spans="1:3" x14ac:dyDescent="0.25">
      <c r="A1022">
        <v>14</v>
      </c>
      <c r="B1022">
        <v>0</v>
      </c>
      <c r="C1022">
        <v>529</v>
      </c>
    </row>
    <row r="1023" spans="1:3" x14ac:dyDescent="0.25">
      <c r="A1023">
        <v>15</v>
      </c>
      <c r="B1023">
        <v>0</v>
      </c>
      <c r="C1023">
        <v>529</v>
      </c>
    </row>
    <row r="1024" spans="1:3" x14ac:dyDescent="0.25">
      <c r="A1024">
        <v>16</v>
      </c>
      <c r="B1024">
        <v>0</v>
      </c>
      <c r="C1024">
        <v>529</v>
      </c>
    </row>
    <row r="1025" spans="1:3" x14ac:dyDescent="0.25">
      <c r="A1025">
        <v>16</v>
      </c>
      <c r="B1025">
        <v>0</v>
      </c>
      <c r="C1025">
        <v>502</v>
      </c>
    </row>
    <row r="1026" spans="1:3" x14ac:dyDescent="0.25">
      <c r="A1026">
        <v>19</v>
      </c>
      <c r="B1026">
        <v>0</v>
      </c>
      <c r="C1026">
        <v>502</v>
      </c>
    </row>
    <row r="1027" spans="1:3" x14ac:dyDescent="0.25">
      <c r="A1027">
        <v>19</v>
      </c>
      <c r="B1027">
        <v>0</v>
      </c>
      <c r="C1027">
        <v>502</v>
      </c>
    </row>
    <row r="1028" spans="1:3" x14ac:dyDescent="0.25">
      <c r="A1028">
        <v>15</v>
      </c>
      <c r="B1028">
        <v>0</v>
      </c>
      <c r="C1028">
        <v>502</v>
      </c>
    </row>
    <row r="1029" spans="1:3" x14ac:dyDescent="0.25">
      <c r="A1029">
        <v>16</v>
      </c>
      <c r="B1029">
        <v>0</v>
      </c>
      <c r="C1029">
        <v>502</v>
      </c>
    </row>
    <row r="1030" spans="1:3" x14ac:dyDescent="0.25">
      <c r="A1030">
        <v>15</v>
      </c>
      <c r="B1030">
        <v>0</v>
      </c>
      <c r="C1030">
        <v>502</v>
      </c>
    </row>
    <row r="1031" spans="1:3" x14ac:dyDescent="0.25">
      <c r="A1031">
        <v>16</v>
      </c>
      <c r="B1031">
        <v>0</v>
      </c>
      <c r="C1031">
        <v>502</v>
      </c>
    </row>
    <row r="1032" spans="1:3" x14ac:dyDescent="0.25">
      <c r="A1032">
        <v>15</v>
      </c>
      <c r="B1032">
        <v>0</v>
      </c>
      <c r="C1032">
        <v>502</v>
      </c>
    </row>
    <row r="1033" spans="1:3" x14ac:dyDescent="0.25">
      <c r="A1033">
        <v>15</v>
      </c>
      <c r="B1033">
        <v>0</v>
      </c>
      <c r="C1033">
        <v>502</v>
      </c>
    </row>
    <row r="1034" spans="1:3" x14ac:dyDescent="0.25">
      <c r="A1034">
        <v>20</v>
      </c>
      <c r="B1034">
        <v>0</v>
      </c>
      <c r="C1034">
        <v>592</v>
      </c>
    </row>
    <row r="1035" spans="1:3" x14ac:dyDescent="0.25">
      <c r="A1035">
        <v>22</v>
      </c>
      <c r="B1035">
        <v>0</v>
      </c>
      <c r="C1035">
        <v>592</v>
      </c>
    </row>
    <row r="1036" spans="1:3" x14ac:dyDescent="0.25">
      <c r="A1036">
        <v>19</v>
      </c>
      <c r="B1036">
        <v>0</v>
      </c>
      <c r="C1036">
        <v>592</v>
      </c>
    </row>
    <row r="1037" spans="1:3" x14ac:dyDescent="0.25">
      <c r="A1037">
        <v>16</v>
      </c>
      <c r="B1037">
        <v>0</v>
      </c>
      <c r="C1037">
        <v>592</v>
      </c>
    </row>
    <row r="1038" spans="1:3" x14ac:dyDescent="0.25">
      <c r="A1038">
        <v>15</v>
      </c>
      <c r="B1038">
        <v>0</v>
      </c>
      <c r="C1038">
        <v>592</v>
      </c>
    </row>
    <row r="1039" spans="1:3" x14ac:dyDescent="0.25">
      <c r="A1039">
        <v>16</v>
      </c>
      <c r="B1039">
        <v>0</v>
      </c>
      <c r="C1039">
        <v>592</v>
      </c>
    </row>
    <row r="1040" spans="1:3" x14ac:dyDescent="0.25">
      <c r="A1040">
        <v>15</v>
      </c>
      <c r="B1040">
        <v>0</v>
      </c>
      <c r="C1040">
        <v>592</v>
      </c>
    </row>
    <row r="1041" spans="1:3" x14ac:dyDescent="0.25">
      <c r="A1041">
        <v>17</v>
      </c>
      <c r="B1041">
        <v>0</v>
      </c>
      <c r="C1041">
        <v>592</v>
      </c>
    </row>
    <row r="1042" spans="1:3" x14ac:dyDescent="0.25">
      <c r="A1042">
        <v>17</v>
      </c>
      <c r="B1042">
        <v>0</v>
      </c>
      <c r="C1042">
        <v>484</v>
      </c>
    </row>
    <row r="1043" spans="1:3" x14ac:dyDescent="0.25">
      <c r="A1043">
        <v>19</v>
      </c>
      <c r="B1043">
        <v>0</v>
      </c>
      <c r="C1043">
        <v>484</v>
      </c>
    </row>
    <row r="1044" spans="1:3" x14ac:dyDescent="0.25">
      <c r="A1044">
        <v>16</v>
      </c>
      <c r="B1044">
        <v>0</v>
      </c>
      <c r="C1044">
        <v>484</v>
      </c>
    </row>
    <row r="1045" spans="1:3" x14ac:dyDescent="0.25">
      <c r="A1045">
        <v>15</v>
      </c>
      <c r="B1045">
        <v>0</v>
      </c>
      <c r="C1045">
        <v>484</v>
      </c>
    </row>
    <row r="1046" spans="1:3" x14ac:dyDescent="0.25">
      <c r="A1046">
        <v>17</v>
      </c>
      <c r="B1046">
        <v>0</v>
      </c>
      <c r="C1046">
        <v>484</v>
      </c>
    </row>
    <row r="1047" spans="1:3" x14ac:dyDescent="0.25">
      <c r="A1047">
        <v>18</v>
      </c>
      <c r="B1047">
        <v>0</v>
      </c>
      <c r="C1047">
        <v>484</v>
      </c>
    </row>
    <row r="1048" spans="1:3" x14ac:dyDescent="0.25">
      <c r="A1048">
        <v>19</v>
      </c>
      <c r="B1048">
        <v>0</v>
      </c>
      <c r="C1048">
        <v>484</v>
      </c>
    </row>
    <row r="1049" spans="1:3" x14ac:dyDescent="0.25">
      <c r="A1049">
        <v>18</v>
      </c>
      <c r="B1049">
        <v>0</v>
      </c>
      <c r="C1049">
        <v>484</v>
      </c>
    </row>
    <row r="1050" spans="1:3" x14ac:dyDescent="0.25">
      <c r="A1050">
        <v>22</v>
      </c>
      <c r="B1050">
        <v>0</v>
      </c>
      <c r="C1050">
        <v>482</v>
      </c>
    </row>
    <row r="1051" spans="1:3" x14ac:dyDescent="0.25">
      <c r="A1051">
        <v>18</v>
      </c>
      <c r="B1051">
        <v>0</v>
      </c>
      <c r="C1051">
        <v>482</v>
      </c>
    </row>
    <row r="1052" spans="1:3" x14ac:dyDescent="0.25">
      <c r="A1052">
        <v>18</v>
      </c>
      <c r="B1052">
        <v>0</v>
      </c>
      <c r="C1052">
        <v>482</v>
      </c>
    </row>
    <row r="1053" spans="1:3" x14ac:dyDescent="0.25">
      <c r="A1053">
        <v>21</v>
      </c>
      <c r="B1053">
        <v>0</v>
      </c>
      <c r="C1053">
        <v>482</v>
      </c>
    </row>
    <row r="1054" spans="1:3" x14ac:dyDescent="0.25">
      <c r="A1054">
        <v>14</v>
      </c>
      <c r="B1054">
        <v>0</v>
      </c>
      <c r="C1054">
        <v>482</v>
      </c>
    </row>
    <row r="1055" spans="1:3" x14ac:dyDescent="0.25">
      <c r="A1055">
        <v>17</v>
      </c>
      <c r="B1055">
        <v>0</v>
      </c>
      <c r="C1055">
        <v>482</v>
      </c>
    </row>
    <row r="1056" spans="1:3" x14ac:dyDescent="0.25">
      <c r="A1056">
        <v>16</v>
      </c>
      <c r="B1056">
        <v>0</v>
      </c>
      <c r="C1056">
        <v>482</v>
      </c>
    </row>
    <row r="1057" spans="1:3" x14ac:dyDescent="0.25">
      <c r="A1057">
        <v>18</v>
      </c>
      <c r="B1057">
        <v>0</v>
      </c>
      <c r="C1057">
        <v>482</v>
      </c>
    </row>
    <row r="1058" spans="1:3" x14ac:dyDescent="0.25">
      <c r="A1058">
        <v>14</v>
      </c>
      <c r="B1058">
        <v>0</v>
      </c>
      <c r="C1058">
        <v>473</v>
      </c>
    </row>
    <row r="1059" spans="1:3" x14ac:dyDescent="0.25">
      <c r="A1059">
        <v>18</v>
      </c>
      <c r="B1059">
        <v>0</v>
      </c>
      <c r="C1059">
        <v>473</v>
      </c>
    </row>
    <row r="1060" spans="1:3" x14ac:dyDescent="0.25">
      <c r="A1060">
        <v>14</v>
      </c>
      <c r="B1060">
        <v>0</v>
      </c>
      <c r="C1060">
        <v>473</v>
      </c>
    </row>
    <row r="1061" spans="1:3" x14ac:dyDescent="0.25">
      <c r="A1061">
        <v>17</v>
      </c>
      <c r="B1061">
        <v>0</v>
      </c>
      <c r="C1061">
        <v>473</v>
      </c>
    </row>
    <row r="1062" spans="1:3" x14ac:dyDescent="0.25">
      <c r="A1062">
        <v>17</v>
      </c>
      <c r="B1062">
        <v>0</v>
      </c>
      <c r="C1062">
        <v>473</v>
      </c>
    </row>
    <row r="1063" spans="1:3" x14ac:dyDescent="0.25">
      <c r="A1063">
        <v>16</v>
      </c>
      <c r="B1063">
        <v>0</v>
      </c>
      <c r="C1063">
        <v>473</v>
      </c>
    </row>
    <row r="1064" spans="1:3" x14ac:dyDescent="0.25">
      <c r="A1064">
        <v>17</v>
      </c>
      <c r="B1064">
        <v>0</v>
      </c>
      <c r="C1064">
        <v>473</v>
      </c>
    </row>
    <row r="1065" spans="1:3" x14ac:dyDescent="0.25">
      <c r="A1065">
        <v>21</v>
      </c>
      <c r="B1065">
        <v>0</v>
      </c>
      <c r="C1065">
        <v>473</v>
      </c>
    </row>
    <row r="1066" spans="1:3" x14ac:dyDescent="0.25">
      <c r="A1066">
        <v>21</v>
      </c>
      <c r="B1066">
        <v>0</v>
      </c>
      <c r="C1066">
        <v>520</v>
      </c>
    </row>
    <row r="1067" spans="1:3" x14ac:dyDescent="0.25">
      <c r="A1067">
        <v>19</v>
      </c>
      <c r="B1067">
        <v>0</v>
      </c>
      <c r="C1067">
        <v>520</v>
      </c>
    </row>
    <row r="1068" spans="1:3" x14ac:dyDescent="0.25">
      <c r="A1068">
        <v>16</v>
      </c>
      <c r="B1068">
        <v>0</v>
      </c>
      <c r="C1068">
        <v>520</v>
      </c>
    </row>
    <row r="1069" spans="1:3" x14ac:dyDescent="0.25">
      <c r="A1069">
        <v>19</v>
      </c>
      <c r="B1069">
        <v>0</v>
      </c>
      <c r="C1069">
        <v>520</v>
      </c>
    </row>
    <row r="1070" spans="1:3" x14ac:dyDescent="0.25">
      <c r="A1070">
        <v>16</v>
      </c>
      <c r="B1070">
        <v>0</v>
      </c>
      <c r="C1070">
        <v>520</v>
      </c>
    </row>
    <row r="1071" spans="1:3" x14ac:dyDescent="0.25">
      <c r="A1071">
        <v>16</v>
      </c>
      <c r="B1071">
        <v>0</v>
      </c>
      <c r="C1071">
        <v>520</v>
      </c>
    </row>
    <row r="1072" spans="1:3" x14ac:dyDescent="0.25">
      <c r="A1072">
        <v>16</v>
      </c>
      <c r="B1072">
        <v>0</v>
      </c>
      <c r="C1072">
        <v>520</v>
      </c>
    </row>
    <row r="1073" spans="1:3" x14ac:dyDescent="0.25">
      <c r="A1073">
        <v>19</v>
      </c>
      <c r="B1073">
        <v>0</v>
      </c>
      <c r="C1073">
        <v>520</v>
      </c>
    </row>
    <row r="1074" spans="1:3" x14ac:dyDescent="0.25">
      <c r="A1074">
        <v>16</v>
      </c>
      <c r="B1074">
        <v>0</v>
      </c>
      <c r="C1074">
        <v>472</v>
      </c>
    </row>
    <row r="1075" spans="1:3" x14ac:dyDescent="0.25">
      <c r="A1075">
        <v>18</v>
      </c>
      <c r="B1075">
        <v>0</v>
      </c>
      <c r="C1075">
        <v>472</v>
      </c>
    </row>
    <row r="1076" spans="1:3" x14ac:dyDescent="0.25">
      <c r="A1076">
        <v>18</v>
      </c>
      <c r="B1076">
        <v>0</v>
      </c>
      <c r="C1076">
        <v>472</v>
      </c>
    </row>
    <row r="1077" spans="1:3" x14ac:dyDescent="0.25">
      <c r="A1077">
        <v>15</v>
      </c>
      <c r="B1077">
        <v>0</v>
      </c>
      <c r="C1077">
        <v>472</v>
      </c>
    </row>
    <row r="1078" spans="1:3" x14ac:dyDescent="0.25">
      <c r="A1078">
        <v>17</v>
      </c>
      <c r="B1078">
        <v>0</v>
      </c>
      <c r="C1078">
        <v>472</v>
      </c>
    </row>
    <row r="1079" spans="1:3" x14ac:dyDescent="0.25">
      <c r="A1079">
        <v>12</v>
      </c>
      <c r="B1079">
        <v>0</v>
      </c>
      <c r="C1079">
        <v>472</v>
      </c>
    </row>
    <row r="1080" spans="1:3" x14ac:dyDescent="0.25">
      <c r="A1080">
        <v>19</v>
      </c>
      <c r="B1080">
        <v>0</v>
      </c>
      <c r="C1080">
        <v>472</v>
      </c>
    </row>
    <row r="1081" spans="1:3" x14ac:dyDescent="0.25">
      <c r="A1081">
        <v>17</v>
      </c>
      <c r="B1081">
        <v>0</v>
      </c>
      <c r="C1081">
        <v>472</v>
      </c>
    </row>
    <row r="1082" spans="1:3" x14ac:dyDescent="0.25">
      <c r="A1082">
        <v>14</v>
      </c>
      <c r="B1082">
        <v>0</v>
      </c>
      <c r="C1082">
        <v>516</v>
      </c>
    </row>
    <row r="1083" spans="1:3" x14ac:dyDescent="0.25">
      <c r="A1083">
        <v>19</v>
      </c>
      <c r="B1083">
        <v>0</v>
      </c>
      <c r="C1083">
        <v>516</v>
      </c>
    </row>
    <row r="1084" spans="1:3" x14ac:dyDescent="0.25">
      <c r="A1084">
        <v>16</v>
      </c>
      <c r="B1084">
        <v>0</v>
      </c>
      <c r="C1084">
        <v>516</v>
      </c>
    </row>
    <row r="1085" spans="1:3" x14ac:dyDescent="0.25">
      <c r="A1085">
        <v>17</v>
      </c>
      <c r="B1085">
        <v>0</v>
      </c>
      <c r="C1085">
        <v>516</v>
      </c>
    </row>
    <row r="1086" spans="1:3" x14ac:dyDescent="0.25">
      <c r="A1086">
        <v>21</v>
      </c>
      <c r="B1086">
        <v>0</v>
      </c>
      <c r="C1086">
        <v>516</v>
      </c>
    </row>
    <row r="1087" spans="1:3" x14ac:dyDescent="0.25">
      <c r="A1087">
        <v>20</v>
      </c>
      <c r="B1087">
        <v>0</v>
      </c>
      <c r="C1087">
        <v>516</v>
      </c>
    </row>
    <row r="1088" spans="1:3" x14ac:dyDescent="0.25">
      <c r="A1088">
        <v>21</v>
      </c>
      <c r="B1088">
        <v>0</v>
      </c>
      <c r="C1088">
        <v>516</v>
      </c>
    </row>
    <row r="1089" spans="1:3" x14ac:dyDescent="0.25">
      <c r="A1089">
        <v>18</v>
      </c>
      <c r="B1089">
        <v>0</v>
      </c>
      <c r="C1089">
        <v>707</v>
      </c>
    </row>
    <row r="1090" spans="1:3" x14ac:dyDescent="0.25">
      <c r="A1090">
        <v>15</v>
      </c>
      <c r="B1090">
        <v>0</v>
      </c>
      <c r="C1090">
        <v>707</v>
      </c>
    </row>
    <row r="1091" spans="1:3" x14ac:dyDescent="0.25">
      <c r="A1091">
        <v>18</v>
      </c>
      <c r="B1091">
        <v>0</v>
      </c>
      <c r="C1091">
        <v>707</v>
      </c>
    </row>
    <row r="1092" spans="1:3" x14ac:dyDescent="0.25">
      <c r="A1092">
        <v>15</v>
      </c>
      <c r="B1092">
        <v>0</v>
      </c>
      <c r="C1092">
        <v>707</v>
      </c>
    </row>
    <row r="1093" spans="1:3" x14ac:dyDescent="0.25">
      <c r="A1093">
        <v>18</v>
      </c>
      <c r="B1093">
        <v>0</v>
      </c>
      <c r="C1093">
        <v>707</v>
      </c>
    </row>
    <row r="1094" spans="1:3" x14ac:dyDescent="0.25">
      <c r="A1094">
        <v>15</v>
      </c>
      <c r="B1094">
        <v>0</v>
      </c>
      <c r="C1094">
        <v>707</v>
      </c>
    </row>
    <row r="1095" spans="1:3" x14ac:dyDescent="0.25">
      <c r="A1095">
        <v>22</v>
      </c>
      <c r="B1095">
        <v>0</v>
      </c>
      <c r="C1095">
        <v>707</v>
      </c>
    </row>
    <row r="1096" spans="1:3" x14ac:dyDescent="0.25">
      <c r="A1096">
        <v>21</v>
      </c>
      <c r="B1096">
        <v>0</v>
      </c>
      <c r="C1096">
        <v>707</v>
      </c>
    </row>
    <row r="1097" spans="1:3" x14ac:dyDescent="0.25">
      <c r="A1097">
        <v>20</v>
      </c>
      <c r="B1097">
        <v>0</v>
      </c>
      <c r="C1097">
        <v>494</v>
      </c>
    </row>
    <row r="1098" spans="1:3" x14ac:dyDescent="0.25">
      <c r="A1098">
        <v>16</v>
      </c>
      <c r="B1098">
        <v>0</v>
      </c>
      <c r="C1098">
        <v>494</v>
      </c>
    </row>
    <row r="1099" spans="1:3" x14ac:dyDescent="0.25">
      <c r="A1099">
        <v>16</v>
      </c>
      <c r="B1099">
        <v>0</v>
      </c>
      <c r="C1099">
        <v>494</v>
      </c>
    </row>
    <row r="1100" spans="1:3" x14ac:dyDescent="0.25">
      <c r="A1100">
        <v>15</v>
      </c>
      <c r="B1100">
        <v>0</v>
      </c>
      <c r="C1100">
        <v>494</v>
      </c>
    </row>
    <row r="1101" spans="1:3" x14ac:dyDescent="0.25">
      <c r="A1101">
        <v>16</v>
      </c>
      <c r="B1101">
        <v>0</v>
      </c>
      <c r="C1101">
        <v>494</v>
      </c>
    </row>
    <row r="1102" spans="1:3" x14ac:dyDescent="0.25">
      <c r="A1102">
        <v>14</v>
      </c>
      <c r="B1102">
        <v>0</v>
      </c>
      <c r="C1102">
        <v>494</v>
      </c>
    </row>
    <row r="1103" spans="1:3" x14ac:dyDescent="0.25">
      <c r="A1103">
        <v>21</v>
      </c>
      <c r="B1103">
        <v>0</v>
      </c>
      <c r="C1103">
        <v>494</v>
      </c>
    </row>
    <row r="1104" spans="1:3" x14ac:dyDescent="0.25">
      <c r="A1104">
        <v>16</v>
      </c>
      <c r="B1104">
        <v>0</v>
      </c>
      <c r="C1104">
        <v>494</v>
      </c>
    </row>
    <row r="1105" spans="1:3" x14ac:dyDescent="0.25">
      <c r="A1105">
        <v>15</v>
      </c>
      <c r="B1105">
        <v>0</v>
      </c>
      <c r="C1105">
        <v>459</v>
      </c>
    </row>
    <row r="1106" spans="1:3" x14ac:dyDescent="0.25">
      <c r="A1106">
        <v>16</v>
      </c>
      <c r="B1106">
        <v>0</v>
      </c>
      <c r="C1106">
        <v>459</v>
      </c>
    </row>
    <row r="1107" spans="1:3" x14ac:dyDescent="0.25">
      <c r="A1107">
        <v>17</v>
      </c>
      <c r="B1107">
        <v>0</v>
      </c>
      <c r="C1107">
        <v>459</v>
      </c>
    </row>
    <row r="1108" spans="1:3" x14ac:dyDescent="0.25">
      <c r="A1108">
        <v>18</v>
      </c>
      <c r="B1108">
        <v>0</v>
      </c>
      <c r="C1108">
        <v>459</v>
      </c>
    </row>
    <row r="1109" spans="1:3" x14ac:dyDescent="0.25">
      <c r="A1109">
        <v>18</v>
      </c>
      <c r="B1109">
        <v>0</v>
      </c>
      <c r="C1109">
        <v>459</v>
      </c>
    </row>
    <row r="1110" spans="1:3" x14ac:dyDescent="0.25">
      <c r="A1110">
        <v>19</v>
      </c>
      <c r="B1110">
        <v>0</v>
      </c>
      <c r="C1110">
        <v>459</v>
      </c>
    </row>
    <row r="1111" spans="1:3" x14ac:dyDescent="0.25">
      <c r="A1111">
        <v>20</v>
      </c>
      <c r="B1111">
        <v>0</v>
      </c>
      <c r="C1111">
        <v>459</v>
      </c>
    </row>
    <row r="1112" spans="1:3" x14ac:dyDescent="0.25">
      <c r="A1112">
        <v>17</v>
      </c>
      <c r="B1112">
        <v>0</v>
      </c>
      <c r="C1112">
        <v>459</v>
      </c>
    </row>
    <row r="1113" spans="1:3" x14ac:dyDescent="0.25">
      <c r="A1113">
        <v>18</v>
      </c>
      <c r="B1113">
        <v>0</v>
      </c>
      <c r="C1113">
        <v>523</v>
      </c>
    </row>
    <row r="1114" spans="1:3" x14ac:dyDescent="0.25">
      <c r="A1114">
        <v>15</v>
      </c>
      <c r="B1114">
        <v>0</v>
      </c>
      <c r="C1114">
        <v>523</v>
      </c>
    </row>
    <row r="1115" spans="1:3" x14ac:dyDescent="0.25">
      <c r="A1115">
        <v>17</v>
      </c>
      <c r="B1115">
        <v>0</v>
      </c>
      <c r="C1115">
        <v>523</v>
      </c>
    </row>
    <row r="1116" spans="1:3" x14ac:dyDescent="0.25">
      <c r="A1116">
        <v>17</v>
      </c>
      <c r="B1116">
        <v>0</v>
      </c>
      <c r="C1116">
        <v>523</v>
      </c>
    </row>
    <row r="1117" spans="1:3" x14ac:dyDescent="0.25">
      <c r="A1117">
        <v>15</v>
      </c>
      <c r="B1117">
        <v>0</v>
      </c>
      <c r="C1117">
        <v>523</v>
      </c>
    </row>
    <row r="1118" spans="1:3" x14ac:dyDescent="0.25">
      <c r="A1118">
        <v>21</v>
      </c>
      <c r="B1118">
        <v>0</v>
      </c>
      <c r="C1118">
        <v>523</v>
      </c>
    </row>
    <row r="1119" spans="1:3" x14ac:dyDescent="0.25">
      <c r="A1119">
        <v>20</v>
      </c>
      <c r="B1119">
        <v>0</v>
      </c>
      <c r="C1119">
        <v>523</v>
      </c>
    </row>
    <row r="1120" spans="1:3" x14ac:dyDescent="0.25">
      <c r="A1120">
        <v>17</v>
      </c>
      <c r="B1120">
        <v>0</v>
      </c>
      <c r="C1120">
        <v>523</v>
      </c>
    </row>
    <row r="1121" spans="1:3" x14ac:dyDescent="0.25">
      <c r="A1121">
        <v>16</v>
      </c>
      <c r="B1121">
        <v>0</v>
      </c>
      <c r="C1121">
        <v>499</v>
      </c>
    </row>
    <row r="1122" spans="1:3" x14ac:dyDescent="0.25">
      <c r="A1122">
        <v>19</v>
      </c>
      <c r="B1122">
        <v>0</v>
      </c>
      <c r="C1122">
        <v>499</v>
      </c>
    </row>
    <row r="1123" spans="1:3" x14ac:dyDescent="0.25">
      <c r="A1123">
        <v>19</v>
      </c>
      <c r="B1123">
        <v>0</v>
      </c>
      <c r="C1123">
        <v>499</v>
      </c>
    </row>
    <row r="1124" spans="1:3" x14ac:dyDescent="0.25">
      <c r="A1124">
        <v>15</v>
      </c>
      <c r="B1124">
        <v>0</v>
      </c>
      <c r="C1124">
        <v>499</v>
      </c>
    </row>
    <row r="1125" spans="1:3" x14ac:dyDescent="0.25">
      <c r="A1125">
        <v>13</v>
      </c>
      <c r="B1125">
        <v>0</v>
      </c>
      <c r="C1125">
        <v>499</v>
      </c>
    </row>
    <row r="1126" spans="1:3" x14ac:dyDescent="0.25">
      <c r="A1126">
        <v>23</v>
      </c>
      <c r="B1126">
        <v>0</v>
      </c>
      <c r="C1126">
        <v>499</v>
      </c>
    </row>
    <row r="1127" spans="1:3" x14ac:dyDescent="0.25">
      <c r="A1127">
        <v>17</v>
      </c>
      <c r="B1127">
        <v>0</v>
      </c>
      <c r="C1127">
        <v>499</v>
      </c>
    </row>
    <row r="1128" spans="1:3" x14ac:dyDescent="0.25">
      <c r="A1128">
        <v>17</v>
      </c>
      <c r="B1128">
        <v>0</v>
      </c>
      <c r="C1128">
        <v>499</v>
      </c>
    </row>
    <row r="1129" spans="1:3" x14ac:dyDescent="0.25">
      <c r="A1129">
        <v>17</v>
      </c>
      <c r="B1129">
        <v>0</v>
      </c>
      <c r="C1129">
        <v>464</v>
      </c>
    </row>
    <row r="1130" spans="1:3" x14ac:dyDescent="0.25">
      <c r="A1130">
        <v>14</v>
      </c>
      <c r="B1130">
        <v>0</v>
      </c>
      <c r="C1130">
        <v>464</v>
      </c>
    </row>
    <row r="1131" spans="1:3" x14ac:dyDescent="0.25">
      <c r="A1131">
        <v>17</v>
      </c>
      <c r="B1131">
        <v>0</v>
      </c>
      <c r="C1131">
        <v>464</v>
      </c>
    </row>
    <row r="1132" spans="1:3" x14ac:dyDescent="0.25">
      <c r="A1132">
        <v>18</v>
      </c>
      <c r="B1132">
        <v>0</v>
      </c>
      <c r="C1132">
        <v>464</v>
      </c>
    </row>
    <row r="1133" spans="1:3" x14ac:dyDescent="0.25">
      <c r="A1133">
        <v>17</v>
      </c>
      <c r="B1133">
        <v>0</v>
      </c>
      <c r="C1133">
        <v>464</v>
      </c>
    </row>
    <row r="1134" spans="1:3" x14ac:dyDescent="0.25">
      <c r="A1134">
        <v>20</v>
      </c>
      <c r="B1134">
        <v>0</v>
      </c>
      <c r="C1134">
        <v>464</v>
      </c>
    </row>
    <row r="1135" spans="1:3" x14ac:dyDescent="0.25">
      <c r="A1135">
        <v>18</v>
      </c>
      <c r="B1135">
        <v>0</v>
      </c>
      <c r="C1135">
        <v>464</v>
      </c>
    </row>
    <row r="1136" spans="1:3" x14ac:dyDescent="0.25">
      <c r="A1136">
        <v>17</v>
      </c>
      <c r="B1136">
        <v>0</v>
      </c>
      <c r="C1136">
        <v>464</v>
      </c>
    </row>
    <row r="1137" spans="1:3" x14ac:dyDescent="0.25">
      <c r="A1137">
        <v>17</v>
      </c>
      <c r="B1137">
        <v>0</v>
      </c>
      <c r="C1137">
        <v>543</v>
      </c>
    </row>
    <row r="1138" spans="1:3" x14ac:dyDescent="0.25">
      <c r="A1138">
        <v>18</v>
      </c>
      <c r="B1138">
        <v>0</v>
      </c>
      <c r="C1138">
        <v>543</v>
      </c>
    </row>
    <row r="1139" spans="1:3" x14ac:dyDescent="0.25">
      <c r="A1139">
        <v>17</v>
      </c>
      <c r="B1139">
        <v>0</v>
      </c>
      <c r="C1139">
        <v>543</v>
      </c>
    </row>
    <row r="1140" spans="1:3" x14ac:dyDescent="0.25">
      <c r="A1140">
        <v>14</v>
      </c>
      <c r="B1140">
        <v>0</v>
      </c>
      <c r="C1140">
        <v>543</v>
      </c>
    </row>
    <row r="1141" spans="1:3" x14ac:dyDescent="0.25">
      <c r="A1141">
        <v>20</v>
      </c>
      <c r="B1141">
        <v>0</v>
      </c>
      <c r="C1141">
        <v>543</v>
      </c>
    </row>
    <row r="1142" spans="1:3" x14ac:dyDescent="0.25">
      <c r="A1142">
        <v>21</v>
      </c>
      <c r="B1142">
        <v>0</v>
      </c>
      <c r="C1142">
        <v>543</v>
      </c>
    </row>
    <row r="1143" spans="1:3" x14ac:dyDescent="0.25">
      <c r="A1143">
        <v>18</v>
      </c>
      <c r="B1143">
        <v>0</v>
      </c>
      <c r="C1143">
        <v>543</v>
      </c>
    </row>
    <row r="1144" spans="1:3" x14ac:dyDescent="0.25">
      <c r="A1144">
        <v>15</v>
      </c>
      <c r="B1144">
        <v>0</v>
      </c>
      <c r="C1144">
        <v>543</v>
      </c>
    </row>
    <row r="1145" spans="1:3" x14ac:dyDescent="0.25">
      <c r="A1145">
        <v>17</v>
      </c>
      <c r="B1145">
        <v>0</v>
      </c>
      <c r="C1145">
        <v>448</v>
      </c>
    </row>
    <row r="1146" spans="1:3" x14ac:dyDescent="0.25">
      <c r="A1146">
        <v>15</v>
      </c>
      <c r="B1146">
        <v>0</v>
      </c>
      <c r="C1146">
        <v>448</v>
      </c>
    </row>
    <row r="1147" spans="1:3" x14ac:dyDescent="0.25">
      <c r="A1147">
        <v>18</v>
      </c>
      <c r="B1147">
        <v>0</v>
      </c>
      <c r="C1147">
        <v>448</v>
      </c>
    </row>
    <row r="1148" spans="1:3" x14ac:dyDescent="0.25">
      <c r="A1148">
        <v>18</v>
      </c>
      <c r="B1148">
        <v>0</v>
      </c>
      <c r="C1148">
        <v>448</v>
      </c>
    </row>
    <row r="1149" spans="1:3" x14ac:dyDescent="0.25">
      <c r="A1149">
        <v>18</v>
      </c>
      <c r="B1149">
        <v>0</v>
      </c>
      <c r="C1149">
        <v>448</v>
      </c>
    </row>
    <row r="1150" spans="1:3" x14ac:dyDescent="0.25">
      <c r="A1150">
        <v>16</v>
      </c>
      <c r="B1150">
        <v>0</v>
      </c>
      <c r="C1150">
        <v>448</v>
      </c>
    </row>
    <row r="1151" spans="1:3" x14ac:dyDescent="0.25">
      <c r="A1151">
        <v>19</v>
      </c>
      <c r="B1151">
        <v>0</v>
      </c>
      <c r="C1151">
        <v>448</v>
      </c>
    </row>
    <row r="1152" spans="1:3" x14ac:dyDescent="0.25">
      <c r="A1152">
        <v>15</v>
      </c>
      <c r="B1152">
        <v>0</v>
      </c>
      <c r="C1152">
        <v>448</v>
      </c>
    </row>
    <row r="1153" spans="1:3" x14ac:dyDescent="0.25">
      <c r="A1153">
        <v>13</v>
      </c>
      <c r="B1153">
        <v>0</v>
      </c>
      <c r="C1153">
        <v>448</v>
      </c>
    </row>
    <row r="1154" spans="1:3" x14ac:dyDescent="0.25">
      <c r="A1154">
        <v>13</v>
      </c>
      <c r="B1154">
        <v>0</v>
      </c>
      <c r="C1154">
        <v>514</v>
      </c>
    </row>
    <row r="1155" spans="1:3" x14ac:dyDescent="0.25">
      <c r="A1155">
        <v>13</v>
      </c>
      <c r="B1155">
        <v>0</v>
      </c>
      <c r="C1155">
        <v>514</v>
      </c>
    </row>
    <row r="1156" spans="1:3" x14ac:dyDescent="0.25">
      <c r="A1156">
        <v>15</v>
      </c>
      <c r="B1156">
        <v>0</v>
      </c>
      <c r="C1156">
        <v>514</v>
      </c>
    </row>
    <row r="1157" spans="1:3" x14ac:dyDescent="0.25">
      <c r="A1157">
        <v>22</v>
      </c>
      <c r="B1157">
        <v>0</v>
      </c>
      <c r="C1157">
        <v>514</v>
      </c>
    </row>
    <row r="1158" spans="1:3" x14ac:dyDescent="0.25">
      <c r="A1158">
        <v>18</v>
      </c>
      <c r="B1158">
        <v>0</v>
      </c>
      <c r="C1158">
        <v>514</v>
      </c>
    </row>
    <row r="1159" spans="1:3" x14ac:dyDescent="0.25">
      <c r="A1159">
        <v>20</v>
      </c>
      <c r="B1159">
        <v>0</v>
      </c>
      <c r="C1159">
        <v>514</v>
      </c>
    </row>
    <row r="1160" spans="1:3" x14ac:dyDescent="0.25">
      <c r="A1160">
        <v>15</v>
      </c>
      <c r="B1160">
        <v>0</v>
      </c>
      <c r="C1160">
        <v>514</v>
      </c>
    </row>
    <row r="1161" spans="1:3" x14ac:dyDescent="0.25">
      <c r="A1161">
        <v>15</v>
      </c>
      <c r="B1161">
        <v>0</v>
      </c>
      <c r="C1161">
        <v>514</v>
      </c>
    </row>
    <row r="1162" spans="1:3" x14ac:dyDescent="0.25">
      <c r="A1162">
        <v>16</v>
      </c>
      <c r="B1162">
        <v>0</v>
      </c>
      <c r="C1162">
        <v>497</v>
      </c>
    </row>
    <row r="1163" spans="1:3" x14ac:dyDescent="0.25">
      <c r="A1163">
        <v>17</v>
      </c>
      <c r="B1163">
        <v>0</v>
      </c>
      <c r="C1163">
        <v>497</v>
      </c>
    </row>
    <row r="1164" spans="1:3" x14ac:dyDescent="0.25">
      <c r="A1164">
        <v>18</v>
      </c>
      <c r="B1164">
        <v>0</v>
      </c>
      <c r="C1164">
        <v>497</v>
      </c>
    </row>
    <row r="1165" spans="1:3" x14ac:dyDescent="0.25">
      <c r="A1165">
        <v>18</v>
      </c>
      <c r="B1165">
        <v>0</v>
      </c>
      <c r="C1165">
        <v>497</v>
      </c>
    </row>
    <row r="1166" spans="1:3" x14ac:dyDescent="0.25">
      <c r="A1166">
        <v>20</v>
      </c>
      <c r="B1166">
        <v>0</v>
      </c>
      <c r="C1166">
        <v>497</v>
      </c>
    </row>
    <row r="1167" spans="1:3" x14ac:dyDescent="0.25">
      <c r="A1167">
        <v>16</v>
      </c>
      <c r="B1167">
        <v>0</v>
      </c>
      <c r="C1167">
        <v>497</v>
      </c>
    </row>
    <row r="1168" spans="1:3" x14ac:dyDescent="0.25">
      <c r="A1168">
        <v>15</v>
      </c>
      <c r="B1168">
        <v>0</v>
      </c>
      <c r="C1168">
        <v>497</v>
      </c>
    </row>
    <row r="1169" spans="1:3" x14ac:dyDescent="0.25">
      <c r="A1169">
        <v>15</v>
      </c>
      <c r="B1169">
        <v>0</v>
      </c>
      <c r="C1169">
        <v>497</v>
      </c>
    </row>
    <row r="1170" spans="1:3" x14ac:dyDescent="0.25">
      <c r="A1170">
        <v>16</v>
      </c>
      <c r="B1170">
        <v>0</v>
      </c>
      <c r="C1170">
        <v>497</v>
      </c>
    </row>
    <row r="1171" spans="1:3" x14ac:dyDescent="0.25">
      <c r="A1171">
        <v>16</v>
      </c>
      <c r="B1171">
        <v>0</v>
      </c>
      <c r="C1171">
        <v>464</v>
      </c>
    </row>
    <row r="1172" spans="1:3" x14ac:dyDescent="0.25">
      <c r="A1172">
        <v>17</v>
      </c>
      <c r="B1172">
        <v>0</v>
      </c>
      <c r="C1172">
        <v>464</v>
      </c>
    </row>
    <row r="1173" spans="1:3" x14ac:dyDescent="0.25">
      <c r="A1173">
        <v>21</v>
      </c>
      <c r="B1173">
        <v>0</v>
      </c>
      <c r="C1173">
        <v>464</v>
      </c>
    </row>
    <row r="1174" spans="1:3" x14ac:dyDescent="0.25">
      <c r="A1174">
        <v>16</v>
      </c>
      <c r="B1174">
        <v>0</v>
      </c>
      <c r="C1174">
        <v>464</v>
      </c>
    </row>
    <row r="1175" spans="1:3" x14ac:dyDescent="0.25">
      <c r="A1175">
        <v>20</v>
      </c>
      <c r="B1175">
        <v>0</v>
      </c>
      <c r="C1175">
        <v>464</v>
      </c>
    </row>
    <row r="1176" spans="1:3" x14ac:dyDescent="0.25">
      <c r="A1176">
        <v>14</v>
      </c>
      <c r="B1176">
        <v>0</v>
      </c>
      <c r="C1176">
        <v>464</v>
      </c>
    </row>
    <row r="1177" spans="1:3" x14ac:dyDescent="0.25">
      <c r="A1177">
        <v>16</v>
      </c>
      <c r="B1177">
        <v>0</v>
      </c>
      <c r="C1177">
        <v>464</v>
      </c>
    </row>
    <row r="1178" spans="1:3" x14ac:dyDescent="0.25">
      <c r="A1178">
        <v>15</v>
      </c>
      <c r="B1178">
        <v>0</v>
      </c>
      <c r="C1178">
        <v>464</v>
      </c>
    </row>
    <row r="1179" spans="1:3" x14ac:dyDescent="0.25">
      <c r="A1179">
        <v>17</v>
      </c>
      <c r="B1179">
        <v>0</v>
      </c>
      <c r="C1179">
        <v>528</v>
      </c>
    </row>
    <row r="1180" spans="1:3" x14ac:dyDescent="0.25">
      <c r="A1180">
        <v>20</v>
      </c>
      <c r="B1180">
        <v>0</v>
      </c>
      <c r="C1180">
        <v>528</v>
      </c>
    </row>
    <row r="1181" spans="1:3" x14ac:dyDescent="0.25">
      <c r="A1181">
        <v>21</v>
      </c>
      <c r="B1181">
        <v>0</v>
      </c>
      <c r="C1181">
        <v>528</v>
      </c>
    </row>
    <row r="1182" spans="1:3" x14ac:dyDescent="0.25">
      <c r="A1182">
        <v>16</v>
      </c>
      <c r="B1182">
        <v>0</v>
      </c>
      <c r="C1182">
        <v>528</v>
      </c>
    </row>
    <row r="1183" spans="1:3" x14ac:dyDescent="0.25">
      <c r="A1183">
        <v>14</v>
      </c>
      <c r="B1183">
        <v>0</v>
      </c>
      <c r="C1183">
        <v>528</v>
      </c>
    </row>
    <row r="1184" spans="1:3" x14ac:dyDescent="0.25">
      <c r="A1184">
        <v>13</v>
      </c>
      <c r="B1184">
        <v>0</v>
      </c>
      <c r="C1184">
        <v>528</v>
      </c>
    </row>
    <row r="1185" spans="1:3" x14ac:dyDescent="0.25">
      <c r="A1185">
        <v>15</v>
      </c>
      <c r="B1185">
        <v>0</v>
      </c>
      <c r="C1185">
        <v>528</v>
      </c>
    </row>
    <row r="1186" spans="1:3" x14ac:dyDescent="0.25">
      <c r="A1186">
        <v>15</v>
      </c>
      <c r="B1186">
        <v>0</v>
      </c>
      <c r="C1186">
        <v>528</v>
      </c>
    </row>
    <row r="1187" spans="1:3" x14ac:dyDescent="0.25">
      <c r="A1187">
        <v>17</v>
      </c>
      <c r="B1187">
        <v>0</v>
      </c>
      <c r="C1187">
        <v>528</v>
      </c>
    </row>
    <row r="1188" spans="1:3" x14ac:dyDescent="0.25">
      <c r="A1188">
        <v>16</v>
      </c>
      <c r="B1188">
        <v>0</v>
      </c>
      <c r="C1188">
        <v>436</v>
      </c>
    </row>
    <row r="1189" spans="1:3" x14ac:dyDescent="0.25">
      <c r="A1189">
        <v>21</v>
      </c>
      <c r="B1189">
        <v>0</v>
      </c>
      <c r="C1189">
        <v>436</v>
      </c>
    </row>
    <row r="1190" spans="1:3" x14ac:dyDescent="0.25">
      <c r="A1190">
        <v>18</v>
      </c>
      <c r="B1190">
        <v>0</v>
      </c>
      <c r="C1190">
        <v>436</v>
      </c>
    </row>
    <row r="1191" spans="1:3" x14ac:dyDescent="0.25">
      <c r="A1191">
        <v>16</v>
      </c>
      <c r="B1191">
        <v>0</v>
      </c>
      <c r="C1191">
        <v>436</v>
      </c>
    </row>
    <row r="1192" spans="1:3" x14ac:dyDescent="0.25">
      <c r="A1192">
        <v>16</v>
      </c>
      <c r="B1192">
        <v>0</v>
      </c>
      <c r="C1192">
        <v>436</v>
      </c>
    </row>
    <row r="1193" spans="1:3" x14ac:dyDescent="0.25">
      <c r="A1193">
        <v>17</v>
      </c>
      <c r="B1193">
        <v>0</v>
      </c>
      <c r="C1193">
        <v>436</v>
      </c>
    </row>
    <row r="1194" spans="1:3" x14ac:dyDescent="0.25">
      <c r="A1194">
        <v>16</v>
      </c>
      <c r="B1194">
        <v>0</v>
      </c>
      <c r="C1194">
        <v>436</v>
      </c>
    </row>
    <row r="1195" spans="1:3" x14ac:dyDescent="0.25">
      <c r="A1195">
        <v>16</v>
      </c>
      <c r="B1195">
        <v>0</v>
      </c>
      <c r="C1195">
        <v>436</v>
      </c>
    </row>
    <row r="1196" spans="1:3" x14ac:dyDescent="0.25">
      <c r="A1196">
        <v>17</v>
      </c>
      <c r="B1196">
        <v>0</v>
      </c>
      <c r="C1196">
        <v>436</v>
      </c>
    </row>
    <row r="1197" spans="1:3" x14ac:dyDescent="0.25">
      <c r="A1197">
        <v>17</v>
      </c>
      <c r="B1197">
        <v>0</v>
      </c>
      <c r="C1197">
        <v>560</v>
      </c>
    </row>
    <row r="1198" spans="1:3" x14ac:dyDescent="0.25">
      <c r="A1198">
        <v>18</v>
      </c>
      <c r="B1198">
        <v>0</v>
      </c>
      <c r="C1198">
        <v>560</v>
      </c>
    </row>
    <row r="1199" spans="1:3" x14ac:dyDescent="0.25">
      <c r="A1199">
        <v>17</v>
      </c>
      <c r="B1199">
        <v>0</v>
      </c>
      <c r="C1199">
        <v>560</v>
      </c>
    </row>
    <row r="1200" spans="1:3" x14ac:dyDescent="0.25">
      <c r="A1200">
        <v>19</v>
      </c>
      <c r="B1200">
        <v>0</v>
      </c>
      <c r="C1200">
        <v>560</v>
      </c>
    </row>
    <row r="1201" spans="1:3" x14ac:dyDescent="0.25">
      <c r="A1201">
        <v>14</v>
      </c>
      <c r="B1201">
        <v>0</v>
      </c>
      <c r="C1201">
        <v>560</v>
      </c>
    </row>
    <row r="1202" spans="1:3" x14ac:dyDescent="0.25">
      <c r="A1202">
        <v>15</v>
      </c>
      <c r="B1202">
        <v>0</v>
      </c>
      <c r="C1202">
        <v>560</v>
      </c>
    </row>
    <row r="1203" spans="1:3" x14ac:dyDescent="0.25">
      <c r="A1203">
        <v>16</v>
      </c>
      <c r="B1203">
        <v>0</v>
      </c>
      <c r="C1203">
        <v>560</v>
      </c>
    </row>
    <row r="1204" spans="1:3" x14ac:dyDescent="0.25">
      <c r="A1204">
        <v>22</v>
      </c>
      <c r="B1204">
        <v>0</v>
      </c>
      <c r="C1204">
        <v>560</v>
      </c>
    </row>
    <row r="1205" spans="1:3" x14ac:dyDescent="0.25">
      <c r="A1205">
        <v>16</v>
      </c>
      <c r="B1205">
        <v>0</v>
      </c>
      <c r="C1205">
        <v>472</v>
      </c>
    </row>
    <row r="1206" spans="1:3" x14ac:dyDescent="0.25">
      <c r="A1206">
        <v>19</v>
      </c>
      <c r="B1206">
        <v>0</v>
      </c>
      <c r="C1206">
        <v>472</v>
      </c>
    </row>
    <row r="1207" spans="1:3" x14ac:dyDescent="0.25">
      <c r="A1207">
        <v>17</v>
      </c>
      <c r="B1207">
        <v>0</v>
      </c>
      <c r="C1207">
        <v>472</v>
      </c>
    </row>
    <row r="1208" spans="1:3" x14ac:dyDescent="0.25">
      <c r="A1208">
        <v>14</v>
      </c>
      <c r="B1208">
        <v>0</v>
      </c>
      <c r="C1208">
        <v>472</v>
      </c>
    </row>
    <row r="1209" spans="1:3" x14ac:dyDescent="0.25">
      <c r="A1209">
        <v>17</v>
      </c>
      <c r="B1209">
        <v>0</v>
      </c>
      <c r="C1209">
        <v>472</v>
      </c>
    </row>
    <row r="1210" spans="1:3" x14ac:dyDescent="0.25">
      <c r="A1210">
        <v>17</v>
      </c>
      <c r="B1210">
        <v>0</v>
      </c>
      <c r="C1210">
        <v>472</v>
      </c>
    </row>
    <row r="1211" spans="1:3" x14ac:dyDescent="0.25">
      <c r="A1211">
        <v>19</v>
      </c>
      <c r="B1211">
        <v>0</v>
      </c>
      <c r="C1211">
        <v>472</v>
      </c>
    </row>
    <row r="1212" spans="1:3" x14ac:dyDescent="0.25">
      <c r="A1212">
        <v>17</v>
      </c>
      <c r="B1212">
        <v>0</v>
      </c>
      <c r="C1212">
        <v>472</v>
      </c>
    </row>
    <row r="1213" spans="1:3" x14ac:dyDescent="0.25">
      <c r="A1213">
        <v>14</v>
      </c>
      <c r="B1213">
        <v>0</v>
      </c>
      <c r="C1213">
        <v>472</v>
      </c>
    </row>
    <row r="1214" spans="1:3" x14ac:dyDescent="0.25">
      <c r="A1214">
        <v>18</v>
      </c>
      <c r="B1214">
        <v>0</v>
      </c>
      <c r="C1214">
        <v>514</v>
      </c>
    </row>
    <row r="1215" spans="1:3" x14ac:dyDescent="0.25">
      <c r="A1215">
        <v>19</v>
      </c>
      <c r="B1215">
        <v>0</v>
      </c>
      <c r="C1215">
        <v>514</v>
      </c>
    </row>
    <row r="1216" spans="1:3" x14ac:dyDescent="0.25">
      <c r="A1216">
        <v>16</v>
      </c>
      <c r="B1216">
        <v>0</v>
      </c>
      <c r="C1216">
        <v>514</v>
      </c>
    </row>
    <row r="1217" spans="1:3" x14ac:dyDescent="0.25">
      <c r="A1217">
        <v>19</v>
      </c>
      <c r="B1217">
        <v>0</v>
      </c>
      <c r="C1217">
        <v>514</v>
      </c>
    </row>
    <row r="1218" spans="1:3" x14ac:dyDescent="0.25">
      <c r="A1218">
        <v>16</v>
      </c>
      <c r="B1218">
        <v>0</v>
      </c>
      <c r="C1218">
        <v>514</v>
      </c>
    </row>
    <row r="1219" spans="1:3" x14ac:dyDescent="0.25">
      <c r="A1219">
        <v>16</v>
      </c>
      <c r="B1219">
        <v>0</v>
      </c>
      <c r="C1219">
        <v>514</v>
      </c>
    </row>
    <row r="1220" spans="1:3" x14ac:dyDescent="0.25">
      <c r="A1220">
        <v>21</v>
      </c>
      <c r="B1220">
        <v>0</v>
      </c>
      <c r="C1220">
        <v>514</v>
      </c>
    </row>
    <row r="1221" spans="1:3" x14ac:dyDescent="0.25">
      <c r="A1221">
        <v>30</v>
      </c>
      <c r="B1221">
        <v>0</v>
      </c>
      <c r="C1221">
        <v>514</v>
      </c>
    </row>
    <row r="1222" spans="1:3" x14ac:dyDescent="0.25">
      <c r="A1222">
        <v>14</v>
      </c>
      <c r="B1222">
        <v>0</v>
      </c>
      <c r="C1222">
        <v>600</v>
      </c>
    </row>
    <row r="1223" spans="1:3" x14ac:dyDescent="0.25">
      <c r="A1223">
        <v>16</v>
      </c>
      <c r="B1223">
        <v>0</v>
      </c>
      <c r="C1223">
        <v>600</v>
      </c>
    </row>
    <row r="1224" spans="1:3" x14ac:dyDescent="0.25">
      <c r="A1224">
        <v>16</v>
      </c>
      <c r="B1224">
        <v>0</v>
      </c>
      <c r="C1224">
        <v>600</v>
      </c>
    </row>
    <row r="1225" spans="1:3" x14ac:dyDescent="0.25">
      <c r="A1225">
        <v>17</v>
      </c>
      <c r="B1225">
        <v>0</v>
      </c>
      <c r="C1225">
        <v>600</v>
      </c>
    </row>
    <row r="1226" spans="1:3" x14ac:dyDescent="0.25">
      <c r="A1226">
        <v>15</v>
      </c>
      <c r="B1226">
        <v>0</v>
      </c>
      <c r="C1226">
        <v>600</v>
      </c>
    </row>
    <row r="1227" spans="1:3" x14ac:dyDescent="0.25">
      <c r="A1227">
        <v>18</v>
      </c>
      <c r="B1227">
        <v>0</v>
      </c>
      <c r="C1227">
        <v>600</v>
      </c>
    </row>
    <row r="1228" spans="1:3" x14ac:dyDescent="0.25">
      <c r="A1228">
        <v>20</v>
      </c>
      <c r="B1228">
        <v>0</v>
      </c>
      <c r="C1228">
        <v>600</v>
      </c>
    </row>
    <row r="1229" spans="1:3" x14ac:dyDescent="0.25">
      <c r="A1229">
        <v>16</v>
      </c>
      <c r="B1229">
        <v>0</v>
      </c>
      <c r="C1229">
        <v>600</v>
      </c>
    </row>
    <row r="1230" spans="1:3" x14ac:dyDescent="0.25">
      <c r="A1230">
        <v>15</v>
      </c>
      <c r="B1230">
        <v>0</v>
      </c>
      <c r="C1230">
        <v>600</v>
      </c>
    </row>
    <row r="1231" spans="1:3" x14ac:dyDescent="0.25">
      <c r="A1231">
        <v>15</v>
      </c>
      <c r="B1231">
        <v>0</v>
      </c>
      <c r="C1231">
        <v>483</v>
      </c>
    </row>
    <row r="1232" spans="1:3" x14ac:dyDescent="0.25">
      <c r="A1232">
        <v>14</v>
      </c>
      <c r="B1232">
        <v>0</v>
      </c>
      <c r="C1232">
        <v>483</v>
      </c>
    </row>
    <row r="1233" spans="1:3" x14ac:dyDescent="0.25">
      <c r="A1233">
        <v>14</v>
      </c>
      <c r="B1233">
        <v>0</v>
      </c>
      <c r="C1233">
        <v>483</v>
      </c>
    </row>
    <row r="1234" spans="1:3" x14ac:dyDescent="0.25">
      <c r="A1234">
        <v>15</v>
      </c>
      <c r="B1234">
        <v>0</v>
      </c>
      <c r="C1234">
        <v>483</v>
      </c>
    </row>
    <row r="1235" spans="1:3" x14ac:dyDescent="0.25">
      <c r="A1235">
        <v>17</v>
      </c>
      <c r="B1235">
        <v>0</v>
      </c>
      <c r="C1235">
        <v>483</v>
      </c>
    </row>
    <row r="1236" spans="1:3" x14ac:dyDescent="0.25">
      <c r="A1236">
        <v>19</v>
      </c>
      <c r="B1236">
        <v>0</v>
      </c>
      <c r="C1236">
        <v>483</v>
      </c>
    </row>
    <row r="1237" spans="1:3" x14ac:dyDescent="0.25">
      <c r="A1237">
        <v>17</v>
      </c>
      <c r="B1237">
        <v>0</v>
      </c>
      <c r="C1237">
        <v>483</v>
      </c>
    </row>
    <row r="1238" spans="1:3" x14ac:dyDescent="0.25">
      <c r="A1238">
        <v>17</v>
      </c>
      <c r="B1238">
        <v>0</v>
      </c>
      <c r="C1238">
        <v>483</v>
      </c>
    </row>
    <row r="1239" spans="1:3" x14ac:dyDescent="0.25">
      <c r="A1239">
        <v>16</v>
      </c>
      <c r="B1239">
        <v>0</v>
      </c>
      <c r="C1239">
        <v>513</v>
      </c>
    </row>
    <row r="1240" spans="1:3" x14ac:dyDescent="0.25">
      <c r="A1240">
        <v>15</v>
      </c>
      <c r="B1240">
        <v>0</v>
      </c>
      <c r="C1240">
        <v>513</v>
      </c>
    </row>
    <row r="1241" spans="1:3" x14ac:dyDescent="0.25">
      <c r="A1241">
        <v>18</v>
      </c>
      <c r="B1241">
        <v>0</v>
      </c>
      <c r="C1241">
        <v>513</v>
      </c>
    </row>
    <row r="1242" spans="1:3" x14ac:dyDescent="0.25">
      <c r="A1242">
        <v>14</v>
      </c>
      <c r="B1242">
        <v>0</v>
      </c>
      <c r="C1242">
        <v>513</v>
      </c>
    </row>
    <row r="1243" spans="1:3" x14ac:dyDescent="0.25">
      <c r="A1243">
        <v>21</v>
      </c>
      <c r="B1243">
        <v>0</v>
      </c>
      <c r="C1243">
        <v>513</v>
      </c>
    </row>
    <row r="1244" spans="1:3" x14ac:dyDescent="0.25">
      <c r="A1244">
        <v>19</v>
      </c>
      <c r="B1244">
        <v>0</v>
      </c>
      <c r="C1244">
        <v>513</v>
      </c>
    </row>
    <row r="1245" spans="1:3" x14ac:dyDescent="0.25">
      <c r="A1245">
        <v>16</v>
      </c>
      <c r="B1245">
        <v>0</v>
      </c>
      <c r="C1245">
        <v>513</v>
      </c>
    </row>
    <row r="1246" spans="1:3" x14ac:dyDescent="0.25">
      <c r="A1246">
        <v>14</v>
      </c>
      <c r="B1246">
        <v>0</v>
      </c>
      <c r="C1246">
        <v>513</v>
      </c>
    </row>
    <row r="1247" spans="1:3" x14ac:dyDescent="0.25">
      <c r="A1247">
        <v>19</v>
      </c>
      <c r="B1247">
        <v>0</v>
      </c>
      <c r="C1247">
        <v>587</v>
      </c>
    </row>
    <row r="1248" spans="1:3" x14ac:dyDescent="0.25">
      <c r="A1248">
        <v>14</v>
      </c>
      <c r="B1248">
        <v>0</v>
      </c>
      <c r="C1248">
        <v>587</v>
      </c>
    </row>
    <row r="1249" spans="1:3" x14ac:dyDescent="0.25">
      <c r="A1249">
        <v>17</v>
      </c>
      <c r="B1249">
        <v>0</v>
      </c>
      <c r="C1249">
        <v>587</v>
      </c>
    </row>
    <row r="1250" spans="1:3" x14ac:dyDescent="0.25">
      <c r="A1250">
        <v>18</v>
      </c>
      <c r="B1250">
        <v>0</v>
      </c>
      <c r="C1250">
        <v>587</v>
      </c>
    </row>
    <row r="1251" spans="1:3" x14ac:dyDescent="0.25">
      <c r="A1251">
        <v>22</v>
      </c>
      <c r="B1251">
        <v>0</v>
      </c>
      <c r="C1251">
        <v>587</v>
      </c>
    </row>
    <row r="1252" spans="1:3" x14ac:dyDescent="0.25">
      <c r="A1252">
        <v>16</v>
      </c>
      <c r="B1252">
        <v>0</v>
      </c>
      <c r="C1252">
        <v>426</v>
      </c>
    </row>
    <row r="1253" spans="1:3" x14ac:dyDescent="0.25">
      <c r="A1253">
        <v>34</v>
      </c>
      <c r="B1253">
        <v>0</v>
      </c>
      <c r="C1253">
        <v>426</v>
      </c>
    </row>
    <row r="1254" spans="1:3" x14ac:dyDescent="0.25">
      <c r="A1254">
        <v>13</v>
      </c>
      <c r="B1254">
        <v>0</v>
      </c>
      <c r="C1254">
        <v>426</v>
      </c>
    </row>
    <row r="1255" spans="1:3" x14ac:dyDescent="0.25">
      <c r="A1255">
        <v>16</v>
      </c>
      <c r="B1255">
        <v>0</v>
      </c>
      <c r="C1255">
        <v>426</v>
      </c>
    </row>
    <row r="1256" spans="1:3" x14ac:dyDescent="0.25">
      <c r="A1256">
        <v>19</v>
      </c>
      <c r="B1256">
        <v>0</v>
      </c>
      <c r="C1256">
        <v>426</v>
      </c>
    </row>
    <row r="1257" spans="1:3" x14ac:dyDescent="0.25">
      <c r="A1257">
        <v>22</v>
      </c>
      <c r="B1257">
        <v>0</v>
      </c>
      <c r="C1257">
        <v>426</v>
      </c>
    </row>
    <row r="1258" spans="1:3" x14ac:dyDescent="0.25">
      <c r="A1258">
        <v>21</v>
      </c>
      <c r="B1258">
        <v>0</v>
      </c>
      <c r="C1258">
        <v>426</v>
      </c>
    </row>
    <row r="1259" spans="1:3" x14ac:dyDescent="0.25">
      <c r="A1259">
        <v>20</v>
      </c>
      <c r="B1259">
        <v>0</v>
      </c>
      <c r="C1259">
        <v>426</v>
      </c>
    </row>
    <row r="1260" spans="1:3" x14ac:dyDescent="0.25">
      <c r="A1260">
        <v>20</v>
      </c>
      <c r="B1260">
        <v>0</v>
      </c>
      <c r="C1260">
        <v>730</v>
      </c>
    </row>
    <row r="1261" spans="1:3" x14ac:dyDescent="0.25">
      <c r="A1261">
        <v>14</v>
      </c>
      <c r="B1261">
        <v>0</v>
      </c>
      <c r="C1261">
        <v>730</v>
      </c>
    </row>
    <row r="1262" spans="1:3" x14ac:dyDescent="0.25">
      <c r="A1262">
        <v>16</v>
      </c>
      <c r="B1262">
        <v>0</v>
      </c>
      <c r="C1262">
        <v>730</v>
      </c>
    </row>
    <row r="1263" spans="1:3" x14ac:dyDescent="0.25">
      <c r="A1263">
        <v>21</v>
      </c>
      <c r="B1263">
        <v>0</v>
      </c>
      <c r="C1263">
        <v>730</v>
      </c>
    </row>
    <row r="1264" spans="1:3" x14ac:dyDescent="0.25">
      <c r="A1264">
        <v>20</v>
      </c>
      <c r="B1264">
        <v>0</v>
      </c>
      <c r="C1264">
        <v>730</v>
      </c>
    </row>
    <row r="1265" spans="1:3" x14ac:dyDescent="0.25">
      <c r="A1265">
        <v>15</v>
      </c>
      <c r="B1265">
        <v>0</v>
      </c>
      <c r="C1265">
        <v>730</v>
      </c>
    </row>
    <row r="1266" spans="1:3" x14ac:dyDescent="0.25">
      <c r="A1266">
        <v>16</v>
      </c>
      <c r="B1266">
        <v>0</v>
      </c>
      <c r="C1266">
        <v>730</v>
      </c>
    </row>
    <row r="1267" spans="1:3" x14ac:dyDescent="0.25">
      <c r="A1267">
        <v>16</v>
      </c>
      <c r="B1267">
        <v>0</v>
      </c>
      <c r="C1267">
        <v>730</v>
      </c>
    </row>
    <row r="1268" spans="1:3" x14ac:dyDescent="0.25">
      <c r="A1268">
        <v>16</v>
      </c>
      <c r="B1268">
        <v>0</v>
      </c>
      <c r="C1268">
        <v>479</v>
      </c>
    </row>
    <row r="1269" spans="1:3" x14ac:dyDescent="0.25">
      <c r="A1269">
        <v>13</v>
      </c>
      <c r="B1269">
        <v>0</v>
      </c>
      <c r="C1269">
        <v>479</v>
      </c>
    </row>
    <row r="1270" spans="1:3" x14ac:dyDescent="0.25">
      <c r="A1270">
        <v>15</v>
      </c>
      <c r="B1270">
        <v>0</v>
      </c>
      <c r="C1270">
        <v>479</v>
      </c>
    </row>
    <row r="1271" spans="1:3" x14ac:dyDescent="0.25">
      <c r="A1271">
        <v>17</v>
      </c>
      <c r="B1271">
        <v>0</v>
      </c>
      <c r="C1271">
        <v>479</v>
      </c>
    </row>
    <row r="1272" spans="1:3" x14ac:dyDescent="0.25">
      <c r="A1272">
        <v>20</v>
      </c>
      <c r="B1272">
        <v>0</v>
      </c>
      <c r="C1272">
        <v>479</v>
      </c>
    </row>
    <row r="1273" spans="1:3" x14ac:dyDescent="0.25">
      <c r="A1273">
        <v>17</v>
      </c>
      <c r="B1273">
        <v>0</v>
      </c>
      <c r="C1273">
        <v>479</v>
      </c>
    </row>
    <row r="1274" spans="1:3" x14ac:dyDescent="0.25">
      <c r="A1274">
        <v>14</v>
      </c>
      <c r="B1274">
        <v>0</v>
      </c>
      <c r="C1274">
        <v>479</v>
      </c>
    </row>
    <row r="1275" spans="1:3" x14ac:dyDescent="0.25">
      <c r="A1275">
        <v>13</v>
      </c>
      <c r="B1275">
        <v>0</v>
      </c>
      <c r="C1275">
        <v>479</v>
      </c>
    </row>
    <row r="1276" spans="1:3" x14ac:dyDescent="0.25">
      <c r="A1276">
        <v>15</v>
      </c>
      <c r="B1276">
        <v>0</v>
      </c>
      <c r="C1276">
        <v>479</v>
      </c>
    </row>
    <row r="1277" spans="1:3" x14ac:dyDescent="0.25">
      <c r="A1277">
        <v>18</v>
      </c>
      <c r="B1277">
        <v>0</v>
      </c>
      <c r="C1277">
        <v>476</v>
      </c>
    </row>
    <row r="1278" spans="1:3" x14ac:dyDescent="0.25">
      <c r="A1278">
        <v>14</v>
      </c>
      <c r="B1278">
        <v>0</v>
      </c>
      <c r="C1278">
        <v>476</v>
      </c>
    </row>
    <row r="1279" spans="1:3" x14ac:dyDescent="0.25">
      <c r="A1279">
        <v>20</v>
      </c>
      <c r="B1279">
        <v>0</v>
      </c>
      <c r="C1279">
        <v>476</v>
      </c>
    </row>
    <row r="1280" spans="1:3" x14ac:dyDescent="0.25">
      <c r="A1280">
        <v>21</v>
      </c>
      <c r="B1280">
        <v>0</v>
      </c>
      <c r="C1280">
        <v>476</v>
      </c>
    </row>
    <row r="1281" spans="1:3" x14ac:dyDescent="0.25">
      <c r="A1281">
        <v>41</v>
      </c>
      <c r="B1281">
        <v>0</v>
      </c>
      <c r="C1281">
        <v>476</v>
      </c>
    </row>
    <row r="1282" spans="1:3" x14ac:dyDescent="0.25">
      <c r="A1282">
        <v>13</v>
      </c>
      <c r="B1282">
        <v>0</v>
      </c>
      <c r="C1282">
        <v>476</v>
      </c>
    </row>
    <row r="1283" spans="1:3" x14ac:dyDescent="0.25">
      <c r="A1283">
        <v>13</v>
      </c>
      <c r="B1283">
        <v>0</v>
      </c>
      <c r="C1283">
        <v>476</v>
      </c>
    </row>
    <row r="1284" spans="1:3" x14ac:dyDescent="0.25">
      <c r="A1284">
        <v>16</v>
      </c>
      <c r="B1284">
        <v>0</v>
      </c>
      <c r="C1284">
        <v>476</v>
      </c>
    </row>
    <row r="1285" spans="1:3" x14ac:dyDescent="0.25">
      <c r="A1285">
        <v>19</v>
      </c>
      <c r="B1285">
        <v>0</v>
      </c>
      <c r="C1285">
        <v>448</v>
      </c>
    </row>
    <row r="1286" spans="1:3" x14ac:dyDescent="0.25">
      <c r="A1286">
        <v>13</v>
      </c>
      <c r="B1286">
        <v>0</v>
      </c>
      <c r="C1286">
        <v>448</v>
      </c>
    </row>
    <row r="1287" spans="1:3" x14ac:dyDescent="0.25">
      <c r="A1287">
        <v>22</v>
      </c>
      <c r="B1287">
        <v>0</v>
      </c>
      <c r="C1287">
        <v>448</v>
      </c>
    </row>
    <row r="1288" spans="1:3" x14ac:dyDescent="0.25">
      <c r="A1288">
        <v>17</v>
      </c>
      <c r="B1288">
        <v>0</v>
      </c>
      <c r="C1288">
        <v>448</v>
      </c>
    </row>
    <row r="1289" spans="1:3" x14ac:dyDescent="0.25">
      <c r="A1289">
        <v>13</v>
      </c>
      <c r="B1289">
        <v>0</v>
      </c>
      <c r="C1289">
        <v>448</v>
      </c>
    </row>
    <row r="1290" spans="1:3" x14ac:dyDescent="0.25">
      <c r="A1290">
        <v>15</v>
      </c>
      <c r="B1290">
        <v>0</v>
      </c>
      <c r="C1290">
        <v>448</v>
      </c>
    </row>
    <row r="1291" spans="1:3" x14ac:dyDescent="0.25">
      <c r="A1291">
        <v>16</v>
      </c>
      <c r="B1291">
        <v>0</v>
      </c>
      <c r="C1291">
        <v>448</v>
      </c>
    </row>
    <row r="1292" spans="1:3" x14ac:dyDescent="0.25">
      <c r="A1292">
        <v>17</v>
      </c>
      <c r="B1292">
        <v>0</v>
      </c>
      <c r="C1292">
        <v>448</v>
      </c>
    </row>
    <row r="1293" spans="1:3" x14ac:dyDescent="0.25">
      <c r="A1293">
        <v>16</v>
      </c>
      <c r="B1293">
        <v>0</v>
      </c>
      <c r="C1293">
        <v>448</v>
      </c>
    </row>
    <row r="1294" spans="1:3" x14ac:dyDescent="0.25">
      <c r="A1294">
        <v>17</v>
      </c>
      <c r="B1294">
        <v>0</v>
      </c>
      <c r="C1294">
        <v>512</v>
      </c>
    </row>
    <row r="1295" spans="1:3" x14ac:dyDescent="0.25">
      <c r="A1295">
        <v>21</v>
      </c>
      <c r="B1295">
        <v>0</v>
      </c>
      <c r="C1295">
        <v>512</v>
      </c>
    </row>
    <row r="1296" spans="1:3" x14ac:dyDescent="0.25">
      <c r="A1296">
        <v>16</v>
      </c>
      <c r="B1296">
        <v>0</v>
      </c>
      <c r="C1296">
        <v>512</v>
      </c>
    </row>
    <row r="1297" spans="1:3" x14ac:dyDescent="0.25">
      <c r="A1297">
        <v>15</v>
      </c>
      <c r="B1297">
        <v>0</v>
      </c>
      <c r="C1297">
        <v>512</v>
      </c>
    </row>
    <row r="1298" spans="1:3" x14ac:dyDescent="0.25">
      <c r="A1298">
        <v>14</v>
      </c>
      <c r="B1298">
        <v>0</v>
      </c>
      <c r="C1298">
        <v>512</v>
      </c>
    </row>
    <row r="1299" spans="1:3" x14ac:dyDescent="0.25">
      <c r="A1299">
        <v>19</v>
      </c>
      <c r="B1299">
        <v>0</v>
      </c>
      <c r="C1299">
        <v>512</v>
      </c>
    </row>
    <row r="1300" spans="1:3" x14ac:dyDescent="0.25">
      <c r="A1300">
        <v>13</v>
      </c>
      <c r="B1300">
        <v>0</v>
      </c>
      <c r="C1300">
        <v>512</v>
      </c>
    </row>
    <row r="1301" spans="1:3" x14ac:dyDescent="0.25">
      <c r="A1301">
        <v>16</v>
      </c>
      <c r="B1301">
        <v>0</v>
      </c>
      <c r="C1301">
        <v>512</v>
      </c>
    </row>
    <row r="1302" spans="1:3" x14ac:dyDescent="0.25">
      <c r="A1302">
        <v>16</v>
      </c>
      <c r="B1302">
        <v>0</v>
      </c>
      <c r="C1302">
        <v>477</v>
      </c>
    </row>
    <row r="1303" spans="1:3" x14ac:dyDescent="0.25">
      <c r="A1303">
        <v>21</v>
      </c>
      <c r="B1303">
        <v>0</v>
      </c>
      <c r="C1303">
        <v>477</v>
      </c>
    </row>
    <row r="1304" spans="1:3" x14ac:dyDescent="0.25">
      <c r="A1304">
        <v>20</v>
      </c>
      <c r="B1304">
        <v>0</v>
      </c>
      <c r="C1304">
        <v>477</v>
      </c>
    </row>
    <row r="1305" spans="1:3" x14ac:dyDescent="0.25">
      <c r="A1305">
        <v>17</v>
      </c>
      <c r="B1305">
        <v>0</v>
      </c>
      <c r="C1305">
        <v>477</v>
      </c>
    </row>
    <row r="1306" spans="1:3" x14ac:dyDescent="0.25">
      <c r="A1306">
        <v>16</v>
      </c>
      <c r="B1306">
        <v>0</v>
      </c>
      <c r="C1306">
        <v>477</v>
      </c>
    </row>
    <row r="1307" spans="1:3" x14ac:dyDescent="0.25">
      <c r="A1307">
        <v>17</v>
      </c>
      <c r="B1307">
        <v>0</v>
      </c>
      <c r="C1307">
        <v>477</v>
      </c>
    </row>
    <row r="1308" spans="1:3" x14ac:dyDescent="0.25">
      <c r="A1308">
        <v>18</v>
      </c>
      <c r="B1308">
        <v>0</v>
      </c>
      <c r="C1308">
        <v>477</v>
      </c>
    </row>
    <row r="1309" spans="1:3" x14ac:dyDescent="0.25">
      <c r="A1309">
        <v>17</v>
      </c>
      <c r="B1309">
        <v>0</v>
      </c>
      <c r="C1309">
        <v>477</v>
      </c>
    </row>
    <row r="1310" spans="1:3" x14ac:dyDescent="0.25">
      <c r="A1310">
        <v>14</v>
      </c>
      <c r="B1310">
        <v>0</v>
      </c>
      <c r="C1310">
        <v>477</v>
      </c>
    </row>
    <row r="1311" spans="1:3" x14ac:dyDescent="0.25">
      <c r="A1311">
        <v>21</v>
      </c>
      <c r="B1311">
        <v>0</v>
      </c>
      <c r="C1311">
        <v>430</v>
      </c>
    </row>
    <row r="1312" spans="1:3" x14ac:dyDescent="0.25">
      <c r="A1312">
        <v>17</v>
      </c>
      <c r="B1312">
        <v>0</v>
      </c>
      <c r="C1312">
        <v>430</v>
      </c>
    </row>
    <row r="1313" spans="1:3" x14ac:dyDescent="0.25">
      <c r="A1313">
        <v>19</v>
      </c>
      <c r="B1313">
        <v>0</v>
      </c>
      <c r="C1313">
        <v>430</v>
      </c>
    </row>
    <row r="1314" spans="1:3" x14ac:dyDescent="0.25">
      <c r="A1314">
        <v>14</v>
      </c>
      <c r="B1314">
        <v>0</v>
      </c>
      <c r="C1314">
        <v>430</v>
      </c>
    </row>
    <row r="1315" spans="1:3" x14ac:dyDescent="0.25">
      <c r="A1315">
        <v>18</v>
      </c>
      <c r="B1315">
        <v>0</v>
      </c>
      <c r="C1315">
        <v>430</v>
      </c>
    </row>
    <row r="1316" spans="1:3" x14ac:dyDescent="0.25">
      <c r="A1316">
        <v>16</v>
      </c>
      <c r="B1316">
        <v>0</v>
      </c>
      <c r="C1316">
        <v>430</v>
      </c>
    </row>
    <row r="1317" spans="1:3" x14ac:dyDescent="0.25">
      <c r="A1317">
        <v>14</v>
      </c>
      <c r="B1317">
        <v>0</v>
      </c>
      <c r="C1317">
        <v>430</v>
      </c>
    </row>
    <row r="1318" spans="1:3" x14ac:dyDescent="0.25">
      <c r="A1318">
        <v>15</v>
      </c>
      <c r="B1318">
        <v>0</v>
      </c>
      <c r="C1318">
        <v>430</v>
      </c>
    </row>
    <row r="1319" spans="1:3" x14ac:dyDescent="0.25">
      <c r="A1319">
        <v>17</v>
      </c>
      <c r="B1319">
        <v>0</v>
      </c>
      <c r="C1319">
        <v>430</v>
      </c>
    </row>
    <row r="1320" spans="1:3" x14ac:dyDescent="0.25">
      <c r="A1320">
        <v>21</v>
      </c>
      <c r="B1320">
        <v>0</v>
      </c>
      <c r="C1320">
        <v>469</v>
      </c>
    </row>
    <row r="1321" spans="1:3" x14ac:dyDescent="0.25">
      <c r="A1321">
        <v>16</v>
      </c>
      <c r="B1321">
        <v>0</v>
      </c>
      <c r="C1321">
        <v>469</v>
      </c>
    </row>
    <row r="1322" spans="1:3" x14ac:dyDescent="0.25">
      <c r="A1322">
        <v>15</v>
      </c>
      <c r="B1322">
        <v>0</v>
      </c>
      <c r="C1322">
        <v>469</v>
      </c>
    </row>
    <row r="1323" spans="1:3" x14ac:dyDescent="0.25">
      <c r="A1323">
        <v>15</v>
      </c>
      <c r="B1323">
        <v>0</v>
      </c>
      <c r="C1323">
        <v>469</v>
      </c>
    </row>
    <row r="1324" spans="1:3" x14ac:dyDescent="0.25">
      <c r="A1324">
        <v>17</v>
      </c>
      <c r="B1324">
        <v>0</v>
      </c>
      <c r="C1324">
        <v>469</v>
      </c>
    </row>
    <row r="1325" spans="1:3" x14ac:dyDescent="0.25">
      <c r="A1325">
        <v>15</v>
      </c>
      <c r="B1325">
        <v>0</v>
      </c>
      <c r="C1325">
        <v>469</v>
      </c>
    </row>
    <row r="1326" spans="1:3" x14ac:dyDescent="0.25">
      <c r="A1326">
        <v>14</v>
      </c>
      <c r="B1326">
        <v>0</v>
      </c>
      <c r="C1326">
        <v>469</v>
      </c>
    </row>
    <row r="1327" spans="1:3" x14ac:dyDescent="0.25">
      <c r="A1327">
        <v>18</v>
      </c>
      <c r="B1327">
        <v>0</v>
      </c>
      <c r="C1327">
        <v>469</v>
      </c>
    </row>
    <row r="1328" spans="1:3" x14ac:dyDescent="0.25">
      <c r="A1328">
        <v>21</v>
      </c>
      <c r="B1328">
        <v>0</v>
      </c>
      <c r="C1328">
        <v>469</v>
      </c>
    </row>
    <row r="1329" spans="1:3" x14ac:dyDescent="0.25">
      <c r="A1329">
        <v>13</v>
      </c>
      <c r="B1329">
        <v>0</v>
      </c>
      <c r="C1329">
        <v>518</v>
      </c>
    </row>
    <row r="1330" spans="1:3" x14ac:dyDescent="0.25">
      <c r="A1330">
        <v>17</v>
      </c>
      <c r="B1330">
        <v>0</v>
      </c>
      <c r="C1330">
        <v>518</v>
      </c>
    </row>
    <row r="1331" spans="1:3" x14ac:dyDescent="0.25">
      <c r="A1331">
        <v>16</v>
      </c>
      <c r="B1331">
        <v>0</v>
      </c>
      <c r="C1331">
        <v>518</v>
      </c>
    </row>
    <row r="1332" spans="1:3" x14ac:dyDescent="0.25">
      <c r="A1332">
        <v>14</v>
      </c>
      <c r="B1332">
        <v>0</v>
      </c>
      <c r="C1332">
        <v>518</v>
      </c>
    </row>
    <row r="1333" spans="1:3" x14ac:dyDescent="0.25">
      <c r="A1333">
        <v>13</v>
      </c>
      <c r="B1333">
        <v>0</v>
      </c>
      <c r="C1333">
        <v>518</v>
      </c>
    </row>
    <row r="1334" spans="1:3" x14ac:dyDescent="0.25">
      <c r="A1334">
        <v>12</v>
      </c>
      <c r="B1334">
        <v>0</v>
      </c>
      <c r="C1334">
        <v>518</v>
      </c>
    </row>
    <row r="1335" spans="1:3" x14ac:dyDescent="0.25">
      <c r="A1335">
        <v>19</v>
      </c>
      <c r="B1335">
        <v>0</v>
      </c>
      <c r="C1335">
        <v>518</v>
      </c>
    </row>
    <row r="1336" spans="1:3" x14ac:dyDescent="0.25">
      <c r="A1336">
        <v>20</v>
      </c>
      <c r="B1336">
        <v>0</v>
      </c>
      <c r="C1336">
        <v>518</v>
      </c>
    </row>
    <row r="1337" spans="1:3" x14ac:dyDescent="0.25">
      <c r="A1337">
        <v>16</v>
      </c>
      <c r="B1337">
        <v>0</v>
      </c>
      <c r="C1337">
        <v>423</v>
      </c>
    </row>
    <row r="1338" spans="1:3" x14ac:dyDescent="0.25">
      <c r="A1338">
        <v>14</v>
      </c>
      <c r="B1338">
        <v>0</v>
      </c>
      <c r="C1338">
        <v>423</v>
      </c>
    </row>
    <row r="1339" spans="1:3" x14ac:dyDescent="0.25">
      <c r="A1339">
        <v>15</v>
      </c>
      <c r="B1339">
        <v>0</v>
      </c>
      <c r="C1339">
        <v>423</v>
      </c>
    </row>
    <row r="1340" spans="1:3" x14ac:dyDescent="0.25">
      <c r="A1340">
        <v>16</v>
      </c>
      <c r="B1340">
        <v>0</v>
      </c>
      <c r="C1340">
        <v>423</v>
      </c>
    </row>
    <row r="1341" spans="1:3" x14ac:dyDescent="0.25">
      <c r="A1341">
        <v>16</v>
      </c>
      <c r="B1341">
        <v>0</v>
      </c>
      <c r="C1341">
        <v>423</v>
      </c>
    </row>
    <row r="1342" spans="1:3" x14ac:dyDescent="0.25">
      <c r="A1342">
        <v>14</v>
      </c>
      <c r="B1342">
        <v>0</v>
      </c>
      <c r="C1342">
        <v>423</v>
      </c>
    </row>
    <row r="1343" spans="1:3" x14ac:dyDescent="0.25">
      <c r="A1343">
        <v>15</v>
      </c>
      <c r="B1343">
        <v>0</v>
      </c>
      <c r="C1343">
        <v>423</v>
      </c>
    </row>
    <row r="1344" spans="1:3" x14ac:dyDescent="0.25">
      <c r="A1344">
        <v>15</v>
      </c>
      <c r="B1344">
        <v>0</v>
      </c>
      <c r="C1344">
        <v>423</v>
      </c>
    </row>
    <row r="1345" spans="1:3" x14ac:dyDescent="0.25">
      <c r="A1345">
        <v>15</v>
      </c>
      <c r="B1345">
        <v>0</v>
      </c>
      <c r="C1345">
        <v>423</v>
      </c>
    </row>
    <row r="1346" spans="1:3" x14ac:dyDescent="0.25">
      <c r="A1346">
        <v>16</v>
      </c>
      <c r="B1346">
        <v>0</v>
      </c>
      <c r="C1346">
        <v>494</v>
      </c>
    </row>
    <row r="1347" spans="1:3" x14ac:dyDescent="0.25">
      <c r="A1347">
        <v>19</v>
      </c>
      <c r="B1347">
        <v>0</v>
      </c>
      <c r="C1347">
        <v>494</v>
      </c>
    </row>
    <row r="1348" spans="1:3" x14ac:dyDescent="0.25">
      <c r="A1348">
        <v>13</v>
      </c>
      <c r="B1348">
        <v>0</v>
      </c>
      <c r="C1348">
        <v>494</v>
      </c>
    </row>
    <row r="1349" spans="1:3" x14ac:dyDescent="0.25">
      <c r="A1349">
        <v>12</v>
      </c>
      <c r="B1349">
        <v>0</v>
      </c>
      <c r="C1349">
        <v>494</v>
      </c>
    </row>
    <row r="1350" spans="1:3" x14ac:dyDescent="0.25">
      <c r="A1350">
        <v>13</v>
      </c>
      <c r="B1350">
        <v>0</v>
      </c>
      <c r="C1350">
        <v>494</v>
      </c>
    </row>
    <row r="1351" spans="1:3" x14ac:dyDescent="0.25">
      <c r="A1351">
        <v>16</v>
      </c>
      <c r="B1351">
        <v>0</v>
      </c>
      <c r="C1351">
        <v>494</v>
      </c>
    </row>
    <row r="1352" spans="1:3" x14ac:dyDescent="0.25">
      <c r="A1352">
        <v>21</v>
      </c>
      <c r="B1352">
        <v>0</v>
      </c>
      <c r="C1352">
        <v>494</v>
      </c>
    </row>
    <row r="1353" spans="1:3" x14ac:dyDescent="0.25">
      <c r="A1353">
        <v>21</v>
      </c>
      <c r="B1353">
        <v>0</v>
      </c>
      <c r="C1353">
        <v>494</v>
      </c>
    </row>
    <row r="1354" spans="1:3" x14ac:dyDescent="0.25">
      <c r="A1354">
        <v>18</v>
      </c>
      <c r="B1354">
        <v>0</v>
      </c>
      <c r="C1354">
        <v>494</v>
      </c>
    </row>
    <row r="1355" spans="1:3" x14ac:dyDescent="0.25">
      <c r="A1355">
        <v>15</v>
      </c>
      <c r="B1355">
        <v>0</v>
      </c>
      <c r="C1355">
        <v>486</v>
      </c>
    </row>
    <row r="1356" spans="1:3" x14ac:dyDescent="0.25">
      <c r="A1356">
        <v>17</v>
      </c>
      <c r="B1356">
        <v>0</v>
      </c>
      <c r="C1356">
        <v>486</v>
      </c>
    </row>
    <row r="1357" spans="1:3" x14ac:dyDescent="0.25">
      <c r="A1357">
        <v>17</v>
      </c>
      <c r="B1357">
        <v>0</v>
      </c>
      <c r="C1357">
        <v>486</v>
      </c>
    </row>
    <row r="1358" spans="1:3" x14ac:dyDescent="0.25">
      <c r="A1358">
        <v>17</v>
      </c>
      <c r="B1358">
        <v>0</v>
      </c>
      <c r="C1358">
        <v>486</v>
      </c>
    </row>
    <row r="1359" spans="1:3" x14ac:dyDescent="0.25">
      <c r="A1359">
        <v>16</v>
      </c>
      <c r="B1359">
        <v>0</v>
      </c>
      <c r="C1359">
        <v>486</v>
      </c>
    </row>
    <row r="1360" spans="1:3" x14ac:dyDescent="0.25">
      <c r="A1360">
        <v>19</v>
      </c>
      <c r="B1360">
        <v>0</v>
      </c>
      <c r="C1360">
        <v>486</v>
      </c>
    </row>
    <row r="1361" spans="1:3" x14ac:dyDescent="0.25">
      <c r="A1361">
        <v>19</v>
      </c>
      <c r="B1361">
        <v>0</v>
      </c>
      <c r="C1361">
        <v>486</v>
      </c>
    </row>
    <row r="1362" spans="1:3" x14ac:dyDescent="0.25">
      <c r="A1362">
        <v>14</v>
      </c>
      <c r="B1362">
        <v>0</v>
      </c>
      <c r="C1362">
        <v>486</v>
      </c>
    </row>
    <row r="1363" spans="1:3" x14ac:dyDescent="0.25">
      <c r="A1363">
        <v>15</v>
      </c>
      <c r="B1363">
        <v>0</v>
      </c>
      <c r="C1363">
        <v>486</v>
      </c>
    </row>
    <row r="1364" spans="1:3" x14ac:dyDescent="0.25">
      <c r="A1364">
        <v>12</v>
      </c>
      <c r="B1364">
        <v>0</v>
      </c>
      <c r="C1364">
        <v>452</v>
      </c>
    </row>
    <row r="1365" spans="1:3" x14ac:dyDescent="0.25">
      <c r="A1365">
        <v>16</v>
      </c>
      <c r="B1365">
        <v>0</v>
      </c>
      <c r="C1365">
        <v>452</v>
      </c>
    </row>
    <row r="1366" spans="1:3" x14ac:dyDescent="0.25">
      <c r="A1366">
        <v>17</v>
      </c>
      <c r="B1366">
        <v>0</v>
      </c>
      <c r="C1366">
        <v>452</v>
      </c>
    </row>
    <row r="1367" spans="1:3" x14ac:dyDescent="0.25">
      <c r="A1367">
        <v>15</v>
      </c>
      <c r="B1367">
        <v>0</v>
      </c>
      <c r="C1367">
        <v>452</v>
      </c>
    </row>
    <row r="1368" spans="1:3" x14ac:dyDescent="0.25">
      <c r="A1368">
        <v>20</v>
      </c>
      <c r="B1368">
        <v>0</v>
      </c>
      <c r="C1368">
        <v>452</v>
      </c>
    </row>
    <row r="1369" spans="1:3" x14ac:dyDescent="0.25">
      <c r="A1369">
        <v>21</v>
      </c>
      <c r="B1369">
        <v>0</v>
      </c>
      <c r="C1369">
        <v>452</v>
      </c>
    </row>
    <row r="1370" spans="1:3" x14ac:dyDescent="0.25">
      <c r="A1370">
        <v>15</v>
      </c>
      <c r="B1370">
        <v>0</v>
      </c>
      <c r="C1370">
        <v>452</v>
      </c>
    </row>
    <row r="1371" spans="1:3" x14ac:dyDescent="0.25">
      <c r="A1371">
        <v>14</v>
      </c>
      <c r="B1371">
        <v>0</v>
      </c>
      <c r="C1371">
        <v>452</v>
      </c>
    </row>
    <row r="1372" spans="1:3" x14ac:dyDescent="0.25">
      <c r="A1372">
        <v>14</v>
      </c>
      <c r="B1372">
        <v>0</v>
      </c>
      <c r="C1372">
        <v>452</v>
      </c>
    </row>
    <row r="1373" spans="1:3" x14ac:dyDescent="0.25">
      <c r="A1373">
        <v>15</v>
      </c>
      <c r="B1373">
        <v>0</v>
      </c>
      <c r="C1373">
        <v>507</v>
      </c>
    </row>
    <row r="1374" spans="1:3" x14ac:dyDescent="0.25">
      <c r="A1374">
        <v>16</v>
      </c>
      <c r="B1374">
        <v>0</v>
      </c>
      <c r="C1374">
        <v>507</v>
      </c>
    </row>
    <row r="1375" spans="1:3" x14ac:dyDescent="0.25">
      <c r="A1375">
        <v>18</v>
      </c>
      <c r="B1375">
        <v>0</v>
      </c>
      <c r="C1375">
        <v>507</v>
      </c>
    </row>
    <row r="1376" spans="1:3" x14ac:dyDescent="0.25">
      <c r="A1376">
        <v>22</v>
      </c>
      <c r="B1376">
        <v>0</v>
      </c>
      <c r="C1376">
        <v>507</v>
      </c>
    </row>
    <row r="1377" spans="1:3" x14ac:dyDescent="0.25">
      <c r="A1377">
        <v>21</v>
      </c>
      <c r="B1377">
        <v>0</v>
      </c>
      <c r="C1377">
        <v>507</v>
      </c>
    </row>
    <row r="1378" spans="1:3" x14ac:dyDescent="0.25">
      <c r="A1378">
        <v>17</v>
      </c>
      <c r="B1378">
        <v>0</v>
      </c>
      <c r="C1378">
        <v>507</v>
      </c>
    </row>
    <row r="1379" spans="1:3" x14ac:dyDescent="0.25">
      <c r="A1379">
        <v>16</v>
      </c>
      <c r="B1379">
        <v>0</v>
      </c>
      <c r="C1379">
        <v>507</v>
      </c>
    </row>
    <row r="1380" spans="1:3" x14ac:dyDescent="0.25">
      <c r="A1380">
        <v>17</v>
      </c>
      <c r="B1380">
        <v>0</v>
      </c>
      <c r="C1380">
        <v>507</v>
      </c>
    </row>
    <row r="1381" spans="1:3" x14ac:dyDescent="0.25">
      <c r="A1381">
        <v>18</v>
      </c>
      <c r="B1381">
        <v>0</v>
      </c>
      <c r="C1381">
        <v>485</v>
      </c>
    </row>
    <row r="1382" spans="1:3" x14ac:dyDescent="0.25">
      <c r="A1382">
        <v>16</v>
      </c>
      <c r="B1382">
        <v>0</v>
      </c>
      <c r="C1382">
        <v>485</v>
      </c>
    </row>
    <row r="1383" spans="1:3" x14ac:dyDescent="0.25">
      <c r="A1383">
        <v>17</v>
      </c>
      <c r="B1383">
        <v>0</v>
      </c>
      <c r="C1383">
        <v>485</v>
      </c>
    </row>
    <row r="1384" spans="1:3" x14ac:dyDescent="0.25">
      <c r="A1384">
        <v>20</v>
      </c>
      <c r="B1384">
        <v>0</v>
      </c>
      <c r="C1384">
        <v>485</v>
      </c>
    </row>
    <row r="1385" spans="1:3" x14ac:dyDescent="0.25">
      <c r="A1385">
        <v>21</v>
      </c>
      <c r="B1385">
        <v>0</v>
      </c>
      <c r="C1385">
        <v>485</v>
      </c>
    </row>
    <row r="1386" spans="1:3" x14ac:dyDescent="0.25">
      <c r="A1386">
        <v>18</v>
      </c>
      <c r="B1386">
        <v>0</v>
      </c>
      <c r="C1386">
        <v>485</v>
      </c>
    </row>
    <row r="1387" spans="1:3" x14ac:dyDescent="0.25">
      <c r="A1387">
        <v>14</v>
      </c>
      <c r="B1387">
        <v>0</v>
      </c>
      <c r="C1387">
        <v>485</v>
      </c>
    </row>
    <row r="1388" spans="1:3" x14ac:dyDescent="0.25">
      <c r="A1388">
        <v>16</v>
      </c>
      <c r="B1388">
        <v>0</v>
      </c>
      <c r="C1388">
        <v>485</v>
      </c>
    </row>
    <row r="1389" spans="1:3" x14ac:dyDescent="0.25">
      <c r="A1389">
        <v>16</v>
      </c>
      <c r="B1389">
        <v>0</v>
      </c>
      <c r="C1389">
        <v>459</v>
      </c>
    </row>
    <row r="1390" spans="1:3" x14ac:dyDescent="0.25">
      <c r="A1390">
        <v>16</v>
      </c>
      <c r="B1390">
        <v>0</v>
      </c>
      <c r="C1390">
        <v>459</v>
      </c>
    </row>
    <row r="1391" spans="1:3" x14ac:dyDescent="0.25">
      <c r="A1391">
        <v>14</v>
      </c>
      <c r="B1391">
        <v>0</v>
      </c>
      <c r="C1391">
        <v>459</v>
      </c>
    </row>
    <row r="1392" spans="1:3" x14ac:dyDescent="0.25">
      <c r="A1392">
        <v>29</v>
      </c>
      <c r="B1392">
        <v>0</v>
      </c>
      <c r="C1392">
        <v>459</v>
      </c>
    </row>
    <row r="1393" spans="1:3" x14ac:dyDescent="0.25">
      <c r="A1393">
        <v>19</v>
      </c>
      <c r="B1393">
        <v>0</v>
      </c>
      <c r="C1393">
        <v>459</v>
      </c>
    </row>
    <row r="1394" spans="1:3" x14ac:dyDescent="0.25">
      <c r="A1394">
        <v>16</v>
      </c>
      <c r="B1394">
        <v>0</v>
      </c>
      <c r="C1394">
        <v>459</v>
      </c>
    </row>
    <row r="1395" spans="1:3" x14ac:dyDescent="0.25">
      <c r="A1395">
        <v>15</v>
      </c>
      <c r="B1395">
        <v>0</v>
      </c>
      <c r="C1395">
        <v>459</v>
      </c>
    </row>
    <row r="1396" spans="1:3" x14ac:dyDescent="0.25">
      <c r="A1396">
        <v>16</v>
      </c>
      <c r="B1396">
        <v>0</v>
      </c>
      <c r="C1396">
        <v>459</v>
      </c>
    </row>
    <row r="1397" spans="1:3" x14ac:dyDescent="0.25">
      <c r="A1397">
        <v>19</v>
      </c>
      <c r="B1397">
        <v>0</v>
      </c>
      <c r="C1397">
        <v>459</v>
      </c>
    </row>
    <row r="1398" spans="1:3" x14ac:dyDescent="0.25">
      <c r="A1398">
        <v>15</v>
      </c>
      <c r="B1398">
        <v>0</v>
      </c>
      <c r="C1398">
        <v>470</v>
      </c>
    </row>
    <row r="1399" spans="1:3" x14ac:dyDescent="0.25">
      <c r="A1399">
        <v>15</v>
      </c>
      <c r="B1399">
        <v>0</v>
      </c>
      <c r="C1399">
        <v>470</v>
      </c>
    </row>
    <row r="1400" spans="1:3" x14ac:dyDescent="0.25">
      <c r="A1400">
        <v>21</v>
      </c>
      <c r="B1400">
        <v>0</v>
      </c>
      <c r="C1400">
        <v>470</v>
      </c>
    </row>
    <row r="1401" spans="1:3" x14ac:dyDescent="0.25">
      <c r="A1401">
        <v>22</v>
      </c>
      <c r="B1401">
        <v>0</v>
      </c>
      <c r="C1401">
        <v>470</v>
      </c>
    </row>
    <row r="1402" spans="1:3" x14ac:dyDescent="0.25">
      <c r="A1402">
        <v>20</v>
      </c>
      <c r="B1402">
        <v>0</v>
      </c>
      <c r="C1402">
        <v>470</v>
      </c>
    </row>
    <row r="1403" spans="1:3" x14ac:dyDescent="0.25">
      <c r="A1403">
        <v>16</v>
      </c>
      <c r="B1403">
        <v>0</v>
      </c>
      <c r="C1403">
        <v>470</v>
      </c>
    </row>
    <row r="1404" spans="1:3" x14ac:dyDescent="0.25">
      <c r="A1404">
        <v>16</v>
      </c>
      <c r="B1404">
        <v>0</v>
      </c>
      <c r="C1404">
        <v>470</v>
      </c>
    </row>
    <row r="1405" spans="1:3" x14ac:dyDescent="0.25">
      <c r="A1405">
        <v>17</v>
      </c>
      <c r="B1405">
        <v>0</v>
      </c>
      <c r="C1405">
        <v>470</v>
      </c>
    </row>
    <row r="1406" spans="1:3" x14ac:dyDescent="0.25">
      <c r="A1406">
        <v>14</v>
      </c>
      <c r="B1406">
        <v>0</v>
      </c>
      <c r="C1406">
        <v>470</v>
      </c>
    </row>
    <row r="1407" spans="1:3" x14ac:dyDescent="0.25">
      <c r="A1407">
        <v>16</v>
      </c>
      <c r="B1407">
        <v>0</v>
      </c>
      <c r="C1407">
        <v>515</v>
      </c>
    </row>
    <row r="1408" spans="1:3" x14ac:dyDescent="0.25">
      <c r="A1408">
        <v>21</v>
      </c>
      <c r="B1408">
        <v>0</v>
      </c>
      <c r="C1408">
        <v>515</v>
      </c>
    </row>
    <row r="1409" spans="1:3" x14ac:dyDescent="0.25">
      <c r="A1409">
        <v>20</v>
      </c>
      <c r="B1409">
        <v>0</v>
      </c>
      <c r="C1409">
        <v>515</v>
      </c>
    </row>
    <row r="1410" spans="1:3" x14ac:dyDescent="0.25">
      <c r="A1410">
        <v>16</v>
      </c>
      <c r="B1410">
        <v>0</v>
      </c>
      <c r="C1410">
        <v>515</v>
      </c>
    </row>
    <row r="1411" spans="1:3" x14ac:dyDescent="0.25">
      <c r="A1411">
        <v>18</v>
      </c>
      <c r="B1411">
        <v>0</v>
      </c>
      <c r="C1411">
        <v>515</v>
      </c>
    </row>
    <row r="1412" spans="1:3" x14ac:dyDescent="0.25">
      <c r="A1412">
        <v>16</v>
      </c>
      <c r="B1412">
        <v>0</v>
      </c>
      <c r="C1412">
        <v>515</v>
      </c>
    </row>
    <row r="1413" spans="1:3" x14ac:dyDescent="0.25">
      <c r="A1413">
        <v>15</v>
      </c>
      <c r="B1413">
        <v>0</v>
      </c>
      <c r="C1413">
        <v>515</v>
      </c>
    </row>
    <row r="1414" spans="1:3" x14ac:dyDescent="0.25">
      <c r="A1414">
        <v>15</v>
      </c>
      <c r="B1414">
        <v>0</v>
      </c>
      <c r="C1414">
        <v>515</v>
      </c>
    </row>
    <row r="1415" spans="1:3" x14ac:dyDescent="0.25">
      <c r="A1415">
        <v>16</v>
      </c>
      <c r="B1415">
        <v>0</v>
      </c>
      <c r="C1415">
        <v>515</v>
      </c>
    </row>
    <row r="1416" spans="1:3" x14ac:dyDescent="0.25">
      <c r="A1416">
        <v>17</v>
      </c>
      <c r="B1416">
        <v>0</v>
      </c>
      <c r="C1416">
        <v>543</v>
      </c>
    </row>
    <row r="1417" spans="1:3" x14ac:dyDescent="0.25">
      <c r="A1417">
        <v>20</v>
      </c>
      <c r="B1417">
        <v>0</v>
      </c>
      <c r="C1417">
        <v>543</v>
      </c>
    </row>
    <row r="1418" spans="1:3" x14ac:dyDescent="0.25">
      <c r="A1418">
        <v>16</v>
      </c>
      <c r="B1418">
        <v>0</v>
      </c>
      <c r="C1418">
        <v>543</v>
      </c>
    </row>
    <row r="1419" spans="1:3" x14ac:dyDescent="0.25">
      <c r="A1419">
        <v>17</v>
      </c>
      <c r="B1419">
        <v>0</v>
      </c>
      <c r="C1419">
        <v>543</v>
      </c>
    </row>
    <row r="1420" spans="1:3" x14ac:dyDescent="0.25">
      <c r="A1420">
        <v>18</v>
      </c>
      <c r="B1420">
        <v>0</v>
      </c>
      <c r="C1420">
        <v>543</v>
      </c>
    </row>
    <row r="1421" spans="1:3" x14ac:dyDescent="0.25">
      <c r="A1421">
        <v>18</v>
      </c>
      <c r="B1421">
        <v>0</v>
      </c>
      <c r="C1421">
        <v>543</v>
      </c>
    </row>
    <row r="1422" spans="1:3" x14ac:dyDescent="0.25">
      <c r="A1422">
        <v>16</v>
      </c>
      <c r="B1422">
        <v>0</v>
      </c>
      <c r="C1422">
        <v>543</v>
      </c>
    </row>
    <row r="1423" spans="1:3" x14ac:dyDescent="0.25">
      <c r="A1423">
        <v>18</v>
      </c>
      <c r="B1423">
        <v>0</v>
      </c>
      <c r="C1423">
        <v>543</v>
      </c>
    </row>
    <row r="1424" spans="1:3" x14ac:dyDescent="0.25">
      <c r="A1424">
        <v>18</v>
      </c>
      <c r="B1424">
        <v>0</v>
      </c>
      <c r="C1424">
        <v>543</v>
      </c>
    </row>
    <row r="1425" spans="1:3" x14ac:dyDescent="0.25">
      <c r="A1425">
        <v>18</v>
      </c>
      <c r="B1425">
        <v>0</v>
      </c>
      <c r="C1425">
        <v>506</v>
      </c>
    </row>
    <row r="1426" spans="1:3" x14ac:dyDescent="0.25">
      <c r="A1426">
        <v>17</v>
      </c>
      <c r="B1426">
        <v>0</v>
      </c>
      <c r="C1426">
        <v>506</v>
      </c>
    </row>
    <row r="1427" spans="1:3" x14ac:dyDescent="0.25">
      <c r="A1427">
        <v>18</v>
      </c>
      <c r="B1427">
        <v>0</v>
      </c>
      <c r="C1427">
        <v>506</v>
      </c>
    </row>
    <row r="1428" spans="1:3" x14ac:dyDescent="0.25">
      <c r="A1428">
        <v>16</v>
      </c>
      <c r="B1428">
        <v>0</v>
      </c>
      <c r="C1428">
        <v>506</v>
      </c>
    </row>
    <row r="1429" spans="1:3" x14ac:dyDescent="0.25">
      <c r="A1429">
        <v>18</v>
      </c>
      <c r="B1429">
        <v>0</v>
      </c>
      <c r="C1429">
        <v>506</v>
      </c>
    </row>
    <row r="1430" spans="1:3" x14ac:dyDescent="0.25">
      <c r="A1430">
        <v>18</v>
      </c>
      <c r="B1430">
        <v>0</v>
      </c>
      <c r="C1430">
        <v>506</v>
      </c>
    </row>
    <row r="1431" spans="1:3" x14ac:dyDescent="0.25">
      <c r="A1431">
        <v>15</v>
      </c>
      <c r="B1431">
        <v>0</v>
      </c>
      <c r="C1431">
        <v>506</v>
      </c>
    </row>
    <row r="1432" spans="1:3" x14ac:dyDescent="0.25">
      <c r="A1432">
        <v>16</v>
      </c>
      <c r="B1432">
        <v>0</v>
      </c>
      <c r="C1432">
        <v>506</v>
      </c>
    </row>
    <row r="1433" spans="1:3" x14ac:dyDescent="0.25">
      <c r="A1433">
        <v>20</v>
      </c>
      <c r="B1433">
        <v>0</v>
      </c>
      <c r="C1433">
        <v>506</v>
      </c>
    </row>
    <row r="1434" spans="1:3" x14ac:dyDescent="0.25">
      <c r="A1434">
        <v>19</v>
      </c>
      <c r="B1434">
        <v>0</v>
      </c>
      <c r="C1434">
        <v>464</v>
      </c>
    </row>
    <row r="1435" spans="1:3" x14ac:dyDescent="0.25">
      <c r="A1435">
        <v>19</v>
      </c>
      <c r="B1435">
        <v>0</v>
      </c>
      <c r="C1435">
        <v>464</v>
      </c>
    </row>
    <row r="1436" spans="1:3" x14ac:dyDescent="0.25">
      <c r="A1436">
        <v>15</v>
      </c>
      <c r="B1436">
        <v>0</v>
      </c>
      <c r="C1436">
        <v>464</v>
      </c>
    </row>
    <row r="1437" spans="1:3" x14ac:dyDescent="0.25">
      <c r="A1437">
        <v>14</v>
      </c>
      <c r="B1437">
        <v>0</v>
      </c>
      <c r="C1437">
        <v>464</v>
      </c>
    </row>
    <row r="1438" spans="1:3" x14ac:dyDescent="0.25">
      <c r="A1438">
        <v>15</v>
      </c>
      <c r="B1438">
        <v>0</v>
      </c>
      <c r="C1438">
        <v>464</v>
      </c>
    </row>
    <row r="1439" spans="1:3" x14ac:dyDescent="0.25">
      <c r="A1439">
        <v>17</v>
      </c>
      <c r="B1439">
        <v>0</v>
      </c>
      <c r="C1439">
        <v>464</v>
      </c>
    </row>
    <row r="1440" spans="1:3" x14ac:dyDescent="0.25">
      <c r="A1440">
        <v>17</v>
      </c>
      <c r="B1440">
        <v>0</v>
      </c>
      <c r="C1440">
        <v>464</v>
      </c>
    </row>
    <row r="1441" spans="1:3" x14ac:dyDescent="0.25">
      <c r="A1441">
        <v>18</v>
      </c>
      <c r="B1441">
        <v>0</v>
      </c>
      <c r="C1441">
        <v>464</v>
      </c>
    </row>
    <row r="1442" spans="1:3" x14ac:dyDescent="0.25">
      <c r="A1442">
        <v>15</v>
      </c>
      <c r="B1442">
        <v>0</v>
      </c>
      <c r="C1442">
        <v>464</v>
      </c>
    </row>
    <row r="1443" spans="1:3" x14ac:dyDescent="0.25">
      <c r="A1443">
        <v>17</v>
      </c>
      <c r="B1443">
        <v>0</v>
      </c>
      <c r="C1443">
        <v>530</v>
      </c>
    </row>
    <row r="1444" spans="1:3" x14ac:dyDescent="0.25">
      <c r="A1444">
        <v>18</v>
      </c>
      <c r="B1444">
        <v>0</v>
      </c>
      <c r="C1444">
        <v>530</v>
      </c>
    </row>
    <row r="1445" spans="1:3" x14ac:dyDescent="0.25">
      <c r="A1445">
        <v>18</v>
      </c>
      <c r="B1445">
        <v>0</v>
      </c>
      <c r="C1445">
        <v>530</v>
      </c>
    </row>
    <row r="1446" spans="1:3" x14ac:dyDescent="0.25">
      <c r="A1446">
        <v>17</v>
      </c>
      <c r="B1446">
        <v>0</v>
      </c>
      <c r="C1446">
        <v>530</v>
      </c>
    </row>
    <row r="1447" spans="1:3" x14ac:dyDescent="0.25">
      <c r="A1447">
        <v>15</v>
      </c>
      <c r="B1447">
        <v>0</v>
      </c>
      <c r="C1447">
        <v>530</v>
      </c>
    </row>
    <row r="1448" spans="1:3" x14ac:dyDescent="0.25">
      <c r="A1448">
        <v>17</v>
      </c>
      <c r="B1448">
        <v>0</v>
      </c>
      <c r="C1448">
        <v>530</v>
      </c>
    </row>
    <row r="1449" spans="1:3" x14ac:dyDescent="0.25">
      <c r="A1449">
        <v>21</v>
      </c>
      <c r="B1449">
        <v>0</v>
      </c>
      <c r="C1449">
        <v>530</v>
      </c>
    </row>
    <row r="1450" spans="1:3" x14ac:dyDescent="0.25">
      <c r="A1450">
        <v>18</v>
      </c>
      <c r="B1450">
        <v>0</v>
      </c>
      <c r="C1450">
        <v>530</v>
      </c>
    </row>
    <row r="1451" spans="1:3" x14ac:dyDescent="0.25">
      <c r="A1451">
        <v>18</v>
      </c>
      <c r="B1451">
        <v>0</v>
      </c>
      <c r="C1451">
        <v>530</v>
      </c>
    </row>
    <row r="1452" spans="1:3" x14ac:dyDescent="0.25">
      <c r="A1452">
        <v>15</v>
      </c>
      <c r="B1452">
        <v>0</v>
      </c>
      <c r="C1452">
        <v>480</v>
      </c>
    </row>
    <row r="1453" spans="1:3" x14ac:dyDescent="0.25">
      <c r="A1453">
        <v>14</v>
      </c>
      <c r="B1453">
        <v>0</v>
      </c>
      <c r="C1453">
        <v>480</v>
      </c>
    </row>
    <row r="1454" spans="1:3" x14ac:dyDescent="0.25">
      <c r="A1454">
        <v>12</v>
      </c>
      <c r="B1454">
        <v>0</v>
      </c>
      <c r="C1454">
        <v>480</v>
      </c>
    </row>
    <row r="1455" spans="1:3" x14ac:dyDescent="0.25">
      <c r="A1455">
        <v>18</v>
      </c>
      <c r="B1455">
        <v>0</v>
      </c>
      <c r="C1455">
        <v>480</v>
      </c>
    </row>
    <row r="1456" spans="1:3" x14ac:dyDescent="0.25">
      <c r="A1456">
        <v>16</v>
      </c>
      <c r="B1456">
        <v>0</v>
      </c>
      <c r="C1456">
        <v>480</v>
      </c>
    </row>
    <row r="1457" spans="1:3" x14ac:dyDescent="0.25">
      <c r="A1457">
        <v>24</v>
      </c>
      <c r="B1457">
        <v>0</v>
      </c>
      <c r="C1457">
        <v>480</v>
      </c>
    </row>
    <row r="1458" spans="1:3" x14ac:dyDescent="0.25">
      <c r="A1458">
        <v>21</v>
      </c>
      <c r="B1458">
        <v>0</v>
      </c>
      <c r="C1458">
        <v>480</v>
      </c>
    </row>
    <row r="1459" spans="1:3" x14ac:dyDescent="0.25">
      <c r="A1459">
        <v>14</v>
      </c>
      <c r="B1459">
        <v>0</v>
      </c>
      <c r="C1459">
        <v>480</v>
      </c>
    </row>
    <row r="1460" spans="1:3" x14ac:dyDescent="0.25">
      <c r="A1460">
        <v>16</v>
      </c>
      <c r="B1460">
        <v>0</v>
      </c>
      <c r="C1460">
        <v>485</v>
      </c>
    </row>
    <row r="1461" spans="1:3" x14ac:dyDescent="0.25">
      <c r="A1461">
        <v>15</v>
      </c>
      <c r="B1461">
        <v>0</v>
      </c>
      <c r="C1461">
        <v>485</v>
      </c>
    </row>
    <row r="1462" spans="1:3" x14ac:dyDescent="0.25">
      <c r="A1462">
        <v>16</v>
      </c>
      <c r="B1462">
        <v>0</v>
      </c>
      <c r="C1462">
        <v>485</v>
      </c>
    </row>
    <row r="1463" spans="1:3" x14ac:dyDescent="0.25">
      <c r="A1463">
        <v>17</v>
      </c>
      <c r="B1463">
        <v>0</v>
      </c>
      <c r="C1463">
        <v>485</v>
      </c>
    </row>
    <row r="1464" spans="1:3" x14ac:dyDescent="0.25">
      <c r="A1464">
        <v>14</v>
      </c>
      <c r="B1464">
        <v>0</v>
      </c>
      <c r="C1464">
        <v>485</v>
      </c>
    </row>
    <row r="1465" spans="1:3" x14ac:dyDescent="0.25">
      <c r="A1465">
        <v>15</v>
      </c>
      <c r="B1465">
        <v>0</v>
      </c>
      <c r="C1465">
        <v>485</v>
      </c>
    </row>
    <row r="1466" spans="1:3" x14ac:dyDescent="0.25">
      <c r="A1466">
        <v>19</v>
      </c>
      <c r="B1466">
        <v>0</v>
      </c>
      <c r="C1466">
        <v>485</v>
      </c>
    </row>
    <row r="1467" spans="1:3" x14ac:dyDescent="0.25">
      <c r="A1467">
        <v>16</v>
      </c>
      <c r="B1467">
        <v>0</v>
      </c>
      <c r="C1467">
        <v>485</v>
      </c>
    </row>
    <row r="1468" spans="1:3" x14ac:dyDescent="0.25">
      <c r="A1468">
        <v>12</v>
      </c>
      <c r="B1468">
        <v>0</v>
      </c>
      <c r="C1468">
        <v>485</v>
      </c>
    </row>
    <row r="1469" spans="1:3" x14ac:dyDescent="0.25">
      <c r="A1469">
        <v>15</v>
      </c>
      <c r="B1469">
        <v>0</v>
      </c>
      <c r="C1469">
        <v>468</v>
      </c>
    </row>
    <row r="1470" spans="1:3" x14ac:dyDescent="0.25">
      <c r="A1470">
        <v>13</v>
      </c>
      <c r="B1470">
        <v>0</v>
      </c>
      <c r="C1470">
        <v>468</v>
      </c>
    </row>
    <row r="1471" spans="1:3" x14ac:dyDescent="0.25">
      <c r="A1471">
        <v>15</v>
      </c>
      <c r="B1471">
        <v>0</v>
      </c>
      <c r="C1471">
        <v>468</v>
      </c>
    </row>
    <row r="1472" spans="1:3" x14ac:dyDescent="0.25">
      <c r="A1472">
        <v>16</v>
      </c>
      <c r="B1472">
        <v>0</v>
      </c>
      <c r="C1472">
        <v>468</v>
      </c>
    </row>
    <row r="1473" spans="1:3" x14ac:dyDescent="0.25">
      <c r="A1473">
        <v>19</v>
      </c>
      <c r="B1473">
        <v>0</v>
      </c>
      <c r="C1473">
        <v>468</v>
      </c>
    </row>
    <row r="1474" spans="1:3" x14ac:dyDescent="0.25">
      <c r="A1474">
        <v>21</v>
      </c>
      <c r="B1474">
        <v>0</v>
      </c>
      <c r="C1474">
        <v>468</v>
      </c>
    </row>
    <row r="1475" spans="1:3" x14ac:dyDescent="0.25">
      <c r="A1475">
        <v>17</v>
      </c>
      <c r="B1475">
        <v>0</v>
      </c>
      <c r="C1475">
        <v>468</v>
      </c>
    </row>
    <row r="1476" spans="1:3" x14ac:dyDescent="0.25">
      <c r="A1476">
        <v>20</v>
      </c>
      <c r="B1476">
        <v>0</v>
      </c>
      <c r="C1476">
        <v>468</v>
      </c>
    </row>
    <row r="1477" spans="1:3" x14ac:dyDescent="0.25">
      <c r="A1477">
        <v>14</v>
      </c>
      <c r="B1477">
        <v>0</v>
      </c>
      <c r="C1477">
        <v>468</v>
      </c>
    </row>
    <row r="1478" spans="1:3" x14ac:dyDescent="0.25">
      <c r="A1478">
        <v>15</v>
      </c>
      <c r="B1478">
        <v>0</v>
      </c>
      <c r="C1478">
        <v>486</v>
      </c>
    </row>
    <row r="1479" spans="1:3" x14ac:dyDescent="0.25">
      <c r="A1479">
        <v>14</v>
      </c>
      <c r="B1479">
        <v>0</v>
      </c>
      <c r="C1479">
        <v>486</v>
      </c>
    </row>
    <row r="1480" spans="1:3" x14ac:dyDescent="0.25">
      <c r="A1480">
        <v>14</v>
      </c>
      <c r="B1480">
        <v>0</v>
      </c>
      <c r="C1480">
        <v>486</v>
      </c>
    </row>
    <row r="1481" spans="1:3" x14ac:dyDescent="0.25">
      <c r="A1481">
        <v>21</v>
      </c>
      <c r="B1481">
        <v>0</v>
      </c>
      <c r="C1481">
        <v>486</v>
      </c>
    </row>
    <row r="1482" spans="1:3" x14ac:dyDescent="0.25">
      <c r="A1482">
        <v>21</v>
      </c>
      <c r="B1482">
        <v>0</v>
      </c>
      <c r="C1482">
        <v>486</v>
      </c>
    </row>
    <row r="1483" spans="1:3" x14ac:dyDescent="0.25">
      <c r="A1483">
        <v>13</v>
      </c>
      <c r="B1483">
        <v>0</v>
      </c>
      <c r="C1483">
        <v>486</v>
      </c>
    </row>
    <row r="1484" spans="1:3" x14ac:dyDescent="0.25">
      <c r="A1484">
        <v>12</v>
      </c>
      <c r="B1484">
        <v>0</v>
      </c>
      <c r="C1484">
        <v>486</v>
      </c>
    </row>
    <row r="1485" spans="1:3" x14ac:dyDescent="0.25">
      <c r="A1485">
        <v>13</v>
      </c>
      <c r="B1485">
        <v>0</v>
      </c>
      <c r="C1485">
        <v>486</v>
      </c>
    </row>
    <row r="1486" spans="1:3" x14ac:dyDescent="0.25">
      <c r="A1486">
        <v>14</v>
      </c>
      <c r="B1486">
        <v>0</v>
      </c>
      <c r="C1486">
        <v>486</v>
      </c>
    </row>
    <row r="1487" spans="1:3" x14ac:dyDescent="0.25">
      <c r="A1487">
        <v>18</v>
      </c>
      <c r="B1487">
        <v>0</v>
      </c>
      <c r="C1487">
        <v>438</v>
      </c>
    </row>
    <row r="1488" spans="1:3" x14ac:dyDescent="0.25">
      <c r="A1488">
        <v>16</v>
      </c>
      <c r="B1488">
        <v>0</v>
      </c>
      <c r="C1488">
        <v>438</v>
      </c>
    </row>
    <row r="1489" spans="1:3" x14ac:dyDescent="0.25">
      <c r="A1489">
        <v>14</v>
      </c>
      <c r="B1489">
        <v>0</v>
      </c>
      <c r="C1489">
        <v>438</v>
      </c>
    </row>
    <row r="1490" spans="1:3" x14ac:dyDescent="0.25">
      <c r="A1490">
        <v>19</v>
      </c>
      <c r="B1490">
        <v>0</v>
      </c>
      <c r="C1490">
        <v>438</v>
      </c>
    </row>
    <row r="1491" spans="1:3" x14ac:dyDescent="0.25">
      <c r="A1491">
        <v>16</v>
      </c>
      <c r="B1491">
        <v>0</v>
      </c>
      <c r="C1491">
        <v>438</v>
      </c>
    </row>
    <row r="1492" spans="1:3" x14ac:dyDescent="0.25">
      <c r="A1492">
        <v>14</v>
      </c>
      <c r="B1492">
        <v>0</v>
      </c>
      <c r="C1492">
        <v>438</v>
      </c>
    </row>
    <row r="1493" spans="1:3" x14ac:dyDescent="0.25">
      <c r="A1493">
        <v>14</v>
      </c>
      <c r="B1493">
        <v>0</v>
      </c>
      <c r="C1493">
        <v>438</v>
      </c>
    </row>
    <row r="1494" spans="1:3" x14ac:dyDescent="0.25">
      <c r="A1494">
        <v>18</v>
      </c>
      <c r="B1494">
        <v>0</v>
      </c>
      <c r="C1494">
        <v>438</v>
      </c>
    </row>
    <row r="1495" spans="1:3" x14ac:dyDescent="0.25">
      <c r="A1495">
        <v>14</v>
      </c>
      <c r="B1495">
        <v>0</v>
      </c>
      <c r="C1495">
        <v>513</v>
      </c>
    </row>
    <row r="1496" spans="1:3" x14ac:dyDescent="0.25">
      <c r="A1496">
        <v>14</v>
      </c>
      <c r="B1496">
        <v>0</v>
      </c>
      <c r="C1496">
        <v>513</v>
      </c>
    </row>
    <row r="1497" spans="1:3" x14ac:dyDescent="0.25">
      <c r="A1497">
        <v>15</v>
      </c>
      <c r="B1497">
        <v>0</v>
      </c>
      <c r="C1497">
        <v>513</v>
      </c>
    </row>
    <row r="1498" spans="1:3" x14ac:dyDescent="0.25">
      <c r="A1498">
        <v>18</v>
      </c>
      <c r="B1498">
        <v>0</v>
      </c>
      <c r="C1498">
        <v>513</v>
      </c>
    </row>
    <row r="1499" spans="1:3" x14ac:dyDescent="0.25">
      <c r="A1499">
        <v>12</v>
      </c>
      <c r="B1499">
        <v>0</v>
      </c>
      <c r="C1499">
        <v>513</v>
      </c>
    </row>
    <row r="1500" spans="1:3" x14ac:dyDescent="0.25">
      <c r="A1500">
        <v>19</v>
      </c>
      <c r="B1500">
        <v>0</v>
      </c>
      <c r="C1500">
        <v>513</v>
      </c>
    </row>
    <row r="1501" spans="1:3" x14ac:dyDescent="0.25">
      <c r="A1501">
        <v>15</v>
      </c>
      <c r="B1501">
        <v>0</v>
      </c>
      <c r="C1501">
        <v>513</v>
      </c>
    </row>
    <row r="1502" spans="1:3" x14ac:dyDescent="0.25">
      <c r="A1502">
        <v>16</v>
      </c>
      <c r="B1502">
        <v>0</v>
      </c>
      <c r="C1502">
        <v>513</v>
      </c>
    </row>
    <row r="1503" spans="1:3" x14ac:dyDescent="0.25">
      <c r="A1503">
        <v>21</v>
      </c>
      <c r="B1503">
        <v>0</v>
      </c>
      <c r="C1503">
        <v>513</v>
      </c>
    </row>
    <row r="1504" spans="1:3" x14ac:dyDescent="0.25">
      <c r="A1504">
        <v>15</v>
      </c>
      <c r="B1504">
        <v>0</v>
      </c>
      <c r="C1504">
        <v>484</v>
      </c>
    </row>
    <row r="1505" spans="1:3" x14ac:dyDescent="0.25">
      <c r="A1505">
        <v>21</v>
      </c>
      <c r="B1505">
        <v>0</v>
      </c>
      <c r="C1505">
        <v>484</v>
      </c>
    </row>
    <row r="1506" spans="1:3" x14ac:dyDescent="0.25">
      <c r="A1506">
        <v>14</v>
      </c>
      <c r="B1506">
        <v>0</v>
      </c>
      <c r="C1506">
        <v>484</v>
      </c>
    </row>
    <row r="1507" spans="1:3" x14ac:dyDescent="0.25">
      <c r="A1507">
        <v>15</v>
      </c>
      <c r="B1507">
        <v>0</v>
      </c>
      <c r="C1507">
        <v>484</v>
      </c>
    </row>
    <row r="1508" spans="1:3" x14ac:dyDescent="0.25">
      <c r="A1508">
        <v>15</v>
      </c>
      <c r="B1508">
        <v>0</v>
      </c>
      <c r="C1508">
        <v>484</v>
      </c>
    </row>
    <row r="1509" spans="1:3" x14ac:dyDescent="0.25">
      <c r="A1509">
        <v>15</v>
      </c>
      <c r="B1509">
        <v>0</v>
      </c>
      <c r="C1509">
        <v>484</v>
      </c>
    </row>
    <row r="1510" spans="1:3" x14ac:dyDescent="0.25">
      <c r="A1510">
        <v>16</v>
      </c>
      <c r="B1510">
        <v>0</v>
      </c>
      <c r="C1510">
        <v>484</v>
      </c>
    </row>
    <row r="1511" spans="1:3" x14ac:dyDescent="0.25">
      <c r="A1511">
        <v>20</v>
      </c>
      <c r="B1511">
        <v>0</v>
      </c>
      <c r="C1511">
        <v>484</v>
      </c>
    </row>
    <row r="1512" spans="1:3" x14ac:dyDescent="0.25">
      <c r="A1512">
        <v>17</v>
      </c>
      <c r="B1512">
        <v>0</v>
      </c>
      <c r="C1512">
        <v>484</v>
      </c>
    </row>
    <row r="1513" spans="1:3" x14ac:dyDescent="0.25">
      <c r="A1513">
        <v>13</v>
      </c>
      <c r="B1513">
        <v>0</v>
      </c>
      <c r="C1513">
        <v>492</v>
      </c>
    </row>
    <row r="1514" spans="1:3" x14ac:dyDescent="0.25">
      <c r="A1514">
        <v>17</v>
      </c>
      <c r="B1514">
        <v>0</v>
      </c>
      <c r="C1514">
        <v>492</v>
      </c>
    </row>
    <row r="1515" spans="1:3" x14ac:dyDescent="0.25">
      <c r="A1515">
        <v>14</v>
      </c>
      <c r="B1515">
        <v>0</v>
      </c>
      <c r="C1515">
        <v>492</v>
      </c>
    </row>
    <row r="1516" spans="1:3" x14ac:dyDescent="0.25">
      <c r="A1516">
        <v>20</v>
      </c>
      <c r="B1516">
        <v>0</v>
      </c>
      <c r="C1516">
        <v>492</v>
      </c>
    </row>
    <row r="1517" spans="1:3" x14ac:dyDescent="0.25">
      <c r="A1517">
        <v>18</v>
      </c>
      <c r="B1517">
        <v>0</v>
      </c>
      <c r="C1517">
        <v>492</v>
      </c>
    </row>
    <row r="1518" spans="1:3" x14ac:dyDescent="0.25">
      <c r="A1518">
        <v>17</v>
      </c>
      <c r="B1518">
        <v>0</v>
      </c>
      <c r="C1518">
        <v>492</v>
      </c>
    </row>
    <row r="1519" spans="1:3" x14ac:dyDescent="0.25">
      <c r="A1519">
        <v>15</v>
      </c>
      <c r="B1519">
        <v>0</v>
      </c>
      <c r="C1519">
        <v>492</v>
      </c>
    </row>
    <row r="1520" spans="1:3" x14ac:dyDescent="0.25">
      <c r="A1520">
        <v>18</v>
      </c>
      <c r="B1520">
        <v>0</v>
      </c>
      <c r="C1520">
        <v>492</v>
      </c>
    </row>
    <row r="1521" spans="1:3" x14ac:dyDescent="0.25">
      <c r="A1521">
        <v>16</v>
      </c>
      <c r="B1521">
        <v>0</v>
      </c>
      <c r="C1521">
        <v>492</v>
      </c>
    </row>
    <row r="1522" spans="1:3" x14ac:dyDescent="0.25">
      <c r="A1522">
        <v>20</v>
      </c>
      <c r="B1522">
        <v>0</v>
      </c>
      <c r="C1522">
        <v>498</v>
      </c>
    </row>
    <row r="1523" spans="1:3" x14ac:dyDescent="0.25">
      <c r="A1523">
        <v>18</v>
      </c>
      <c r="B1523">
        <v>0</v>
      </c>
      <c r="C1523">
        <v>498</v>
      </c>
    </row>
    <row r="1524" spans="1:3" x14ac:dyDescent="0.25">
      <c r="A1524">
        <v>15</v>
      </c>
      <c r="B1524">
        <v>0</v>
      </c>
      <c r="C1524">
        <v>498</v>
      </c>
    </row>
    <row r="1525" spans="1:3" x14ac:dyDescent="0.25">
      <c r="A1525">
        <v>17</v>
      </c>
      <c r="B1525">
        <v>0</v>
      </c>
      <c r="C1525">
        <v>498</v>
      </c>
    </row>
    <row r="1526" spans="1:3" x14ac:dyDescent="0.25">
      <c r="A1526">
        <v>16</v>
      </c>
      <c r="B1526">
        <v>0</v>
      </c>
      <c r="C1526">
        <v>498</v>
      </c>
    </row>
    <row r="1527" spans="1:3" x14ac:dyDescent="0.25">
      <c r="A1527">
        <v>13</v>
      </c>
      <c r="B1527">
        <v>0</v>
      </c>
      <c r="C1527">
        <v>498</v>
      </c>
    </row>
    <row r="1528" spans="1:3" x14ac:dyDescent="0.25">
      <c r="A1528">
        <v>19</v>
      </c>
      <c r="B1528">
        <v>0</v>
      </c>
      <c r="C1528">
        <v>498</v>
      </c>
    </row>
    <row r="1529" spans="1:3" x14ac:dyDescent="0.25">
      <c r="A1529">
        <v>19</v>
      </c>
      <c r="B1529">
        <v>0</v>
      </c>
      <c r="C1529">
        <v>498</v>
      </c>
    </row>
    <row r="1530" spans="1:3" x14ac:dyDescent="0.25">
      <c r="A1530">
        <v>21</v>
      </c>
      <c r="B1530">
        <v>0</v>
      </c>
      <c r="C1530">
        <v>498</v>
      </c>
    </row>
    <row r="1531" spans="1:3" x14ac:dyDescent="0.25">
      <c r="A1531">
        <v>19</v>
      </c>
      <c r="B1531">
        <v>0</v>
      </c>
      <c r="C1531">
        <v>465</v>
      </c>
    </row>
    <row r="1532" spans="1:3" x14ac:dyDescent="0.25">
      <c r="A1532">
        <v>15</v>
      </c>
      <c r="B1532">
        <v>0</v>
      </c>
      <c r="C1532">
        <v>465</v>
      </c>
    </row>
    <row r="1533" spans="1:3" x14ac:dyDescent="0.25">
      <c r="A1533">
        <v>17</v>
      </c>
      <c r="B1533">
        <v>0</v>
      </c>
      <c r="C1533">
        <v>465</v>
      </c>
    </row>
    <row r="1534" spans="1:3" x14ac:dyDescent="0.25">
      <c r="A1534">
        <v>17</v>
      </c>
      <c r="B1534">
        <v>0</v>
      </c>
      <c r="C1534">
        <v>465</v>
      </c>
    </row>
    <row r="1535" spans="1:3" x14ac:dyDescent="0.25">
      <c r="A1535">
        <v>18</v>
      </c>
      <c r="B1535">
        <v>0</v>
      </c>
      <c r="C1535">
        <v>465</v>
      </c>
    </row>
    <row r="1536" spans="1:3" x14ac:dyDescent="0.25">
      <c r="A1536">
        <v>14</v>
      </c>
      <c r="B1536">
        <v>0</v>
      </c>
      <c r="C1536">
        <v>465</v>
      </c>
    </row>
    <row r="1537" spans="1:3" x14ac:dyDescent="0.25">
      <c r="A1537">
        <v>19</v>
      </c>
      <c r="B1537">
        <v>0</v>
      </c>
      <c r="C1537">
        <v>465</v>
      </c>
    </row>
    <row r="1538" spans="1:3" x14ac:dyDescent="0.25">
      <c r="A1538">
        <v>20</v>
      </c>
      <c r="B1538">
        <v>0</v>
      </c>
      <c r="C1538">
        <v>465</v>
      </c>
    </row>
    <row r="1539" spans="1:3" x14ac:dyDescent="0.25">
      <c r="A1539">
        <v>15</v>
      </c>
      <c r="B1539">
        <v>0</v>
      </c>
      <c r="C1539">
        <v>485</v>
      </c>
    </row>
    <row r="1540" spans="1:3" x14ac:dyDescent="0.25">
      <c r="A1540">
        <v>14</v>
      </c>
      <c r="B1540">
        <v>0</v>
      </c>
      <c r="C1540">
        <v>485</v>
      </c>
    </row>
    <row r="1541" spans="1:3" x14ac:dyDescent="0.25">
      <c r="A1541">
        <v>16</v>
      </c>
      <c r="B1541">
        <v>0</v>
      </c>
      <c r="C1541">
        <v>485</v>
      </c>
    </row>
    <row r="1542" spans="1:3" x14ac:dyDescent="0.25">
      <c r="A1542">
        <v>16</v>
      </c>
      <c r="B1542">
        <v>0</v>
      </c>
      <c r="C1542">
        <v>485</v>
      </c>
    </row>
    <row r="1543" spans="1:3" x14ac:dyDescent="0.25">
      <c r="A1543">
        <v>16</v>
      </c>
      <c r="B1543">
        <v>0</v>
      </c>
      <c r="C1543">
        <v>485</v>
      </c>
    </row>
    <row r="1544" spans="1:3" x14ac:dyDescent="0.25">
      <c r="A1544">
        <v>15</v>
      </c>
      <c r="B1544">
        <v>0</v>
      </c>
      <c r="C1544">
        <v>485</v>
      </c>
    </row>
    <row r="1545" spans="1:3" x14ac:dyDescent="0.25">
      <c r="A1545">
        <v>17</v>
      </c>
      <c r="B1545">
        <v>0</v>
      </c>
      <c r="C1545">
        <v>485</v>
      </c>
    </row>
    <row r="1546" spans="1:3" x14ac:dyDescent="0.25">
      <c r="A1546">
        <v>18</v>
      </c>
      <c r="B1546">
        <v>0</v>
      </c>
      <c r="C1546">
        <v>485</v>
      </c>
    </row>
    <row r="1547" spans="1:3" x14ac:dyDescent="0.25">
      <c r="A1547">
        <v>17</v>
      </c>
      <c r="B1547">
        <v>0</v>
      </c>
      <c r="C1547">
        <v>485</v>
      </c>
    </row>
    <row r="1548" spans="1:3" x14ac:dyDescent="0.25">
      <c r="A1548">
        <v>13</v>
      </c>
      <c r="B1548">
        <v>0</v>
      </c>
      <c r="C1548">
        <v>523</v>
      </c>
    </row>
    <row r="1549" spans="1:3" x14ac:dyDescent="0.25">
      <c r="A1549">
        <v>17</v>
      </c>
      <c r="B1549">
        <v>0</v>
      </c>
      <c r="C1549">
        <v>523</v>
      </c>
    </row>
    <row r="1550" spans="1:3" x14ac:dyDescent="0.25">
      <c r="A1550">
        <v>16</v>
      </c>
      <c r="B1550">
        <v>0</v>
      </c>
      <c r="C1550">
        <v>523</v>
      </c>
    </row>
    <row r="1551" spans="1:3" x14ac:dyDescent="0.25">
      <c r="A1551">
        <v>19</v>
      </c>
      <c r="B1551">
        <v>0</v>
      </c>
      <c r="C1551">
        <v>523</v>
      </c>
    </row>
    <row r="1552" spans="1:3" x14ac:dyDescent="0.25">
      <c r="A1552">
        <v>16</v>
      </c>
      <c r="B1552">
        <v>0</v>
      </c>
      <c r="C1552">
        <v>523</v>
      </c>
    </row>
    <row r="1553" spans="1:3" x14ac:dyDescent="0.25">
      <c r="A1553">
        <v>19</v>
      </c>
      <c r="B1553">
        <v>0</v>
      </c>
      <c r="C1553">
        <v>523</v>
      </c>
    </row>
    <row r="1554" spans="1:3" x14ac:dyDescent="0.25">
      <c r="A1554">
        <v>31</v>
      </c>
      <c r="B1554">
        <v>0</v>
      </c>
      <c r="C1554">
        <v>523</v>
      </c>
    </row>
    <row r="1555" spans="1:3" x14ac:dyDescent="0.25">
      <c r="A1555">
        <v>20</v>
      </c>
      <c r="B1555">
        <v>0</v>
      </c>
      <c r="C1555">
        <v>523</v>
      </c>
    </row>
    <row r="1556" spans="1:3" x14ac:dyDescent="0.25">
      <c r="A1556">
        <v>16</v>
      </c>
      <c r="B1556">
        <v>0</v>
      </c>
      <c r="C1556">
        <v>500</v>
      </c>
    </row>
    <row r="1557" spans="1:3" x14ac:dyDescent="0.25">
      <c r="A1557">
        <v>21</v>
      </c>
      <c r="B1557">
        <v>0</v>
      </c>
      <c r="C1557">
        <v>500</v>
      </c>
    </row>
    <row r="1558" spans="1:3" x14ac:dyDescent="0.25">
      <c r="A1558">
        <v>12</v>
      </c>
      <c r="B1558">
        <v>0</v>
      </c>
      <c r="C1558">
        <v>500</v>
      </c>
    </row>
    <row r="1559" spans="1:3" x14ac:dyDescent="0.25">
      <c r="A1559">
        <v>12</v>
      </c>
      <c r="B1559">
        <v>0</v>
      </c>
      <c r="C1559">
        <v>500</v>
      </c>
    </row>
    <row r="1560" spans="1:3" x14ac:dyDescent="0.25">
      <c r="A1560">
        <v>16</v>
      </c>
      <c r="B1560">
        <v>0</v>
      </c>
      <c r="C1560">
        <v>500</v>
      </c>
    </row>
    <row r="1561" spans="1:3" x14ac:dyDescent="0.25">
      <c r="A1561">
        <v>15</v>
      </c>
      <c r="B1561">
        <v>0</v>
      </c>
      <c r="C1561">
        <v>500</v>
      </c>
    </row>
    <row r="1562" spans="1:3" x14ac:dyDescent="0.25">
      <c r="A1562">
        <v>20</v>
      </c>
      <c r="B1562">
        <v>0</v>
      </c>
      <c r="C1562">
        <v>500</v>
      </c>
    </row>
    <row r="1563" spans="1:3" x14ac:dyDescent="0.25">
      <c r="A1563">
        <v>20</v>
      </c>
      <c r="B1563">
        <v>0</v>
      </c>
      <c r="C1563">
        <v>500</v>
      </c>
    </row>
    <row r="1564" spans="1:3" x14ac:dyDescent="0.25">
      <c r="A1564">
        <v>13</v>
      </c>
      <c r="B1564">
        <v>0</v>
      </c>
      <c r="C1564">
        <v>500</v>
      </c>
    </row>
    <row r="1565" spans="1:3" x14ac:dyDescent="0.25">
      <c r="A1565">
        <v>18</v>
      </c>
      <c r="B1565">
        <v>0</v>
      </c>
      <c r="C1565">
        <v>435</v>
      </c>
    </row>
    <row r="1566" spans="1:3" x14ac:dyDescent="0.25">
      <c r="A1566">
        <v>14</v>
      </c>
      <c r="B1566">
        <v>0</v>
      </c>
      <c r="C1566">
        <v>435</v>
      </c>
    </row>
    <row r="1567" spans="1:3" x14ac:dyDescent="0.25">
      <c r="A1567">
        <v>16</v>
      </c>
      <c r="B1567">
        <v>0</v>
      </c>
      <c r="C1567">
        <v>435</v>
      </c>
    </row>
    <row r="1568" spans="1:3" x14ac:dyDescent="0.25">
      <c r="A1568">
        <v>13</v>
      </c>
      <c r="B1568">
        <v>0</v>
      </c>
      <c r="C1568">
        <v>435</v>
      </c>
    </row>
    <row r="1569" spans="1:3" x14ac:dyDescent="0.25">
      <c r="A1569">
        <v>19</v>
      </c>
      <c r="B1569">
        <v>0</v>
      </c>
      <c r="C1569">
        <v>435</v>
      </c>
    </row>
    <row r="1570" spans="1:3" x14ac:dyDescent="0.25">
      <c r="A1570">
        <v>22</v>
      </c>
      <c r="B1570">
        <v>0</v>
      </c>
      <c r="C1570">
        <v>435</v>
      </c>
    </row>
    <row r="1571" spans="1:3" x14ac:dyDescent="0.25">
      <c r="A1571">
        <v>21</v>
      </c>
      <c r="B1571">
        <v>0</v>
      </c>
      <c r="C1571">
        <v>435</v>
      </c>
    </row>
    <row r="1572" spans="1:3" x14ac:dyDescent="0.25">
      <c r="A1572">
        <v>19</v>
      </c>
      <c r="B1572">
        <v>0</v>
      </c>
      <c r="C1572">
        <v>435</v>
      </c>
    </row>
    <row r="1573" spans="1:3" x14ac:dyDescent="0.25">
      <c r="A1573">
        <v>13</v>
      </c>
      <c r="B1573">
        <v>0</v>
      </c>
      <c r="C1573">
        <v>435</v>
      </c>
    </row>
    <row r="1574" spans="1:3" x14ac:dyDescent="0.25">
      <c r="A1574">
        <v>12</v>
      </c>
      <c r="B1574">
        <v>0</v>
      </c>
      <c r="C1574">
        <v>500</v>
      </c>
    </row>
    <row r="1575" spans="1:3" x14ac:dyDescent="0.25">
      <c r="A1575">
        <v>16</v>
      </c>
      <c r="B1575">
        <v>0</v>
      </c>
      <c r="C1575">
        <v>500</v>
      </c>
    </row>
    <row r="1576" spans="1:3" x14ac:dyDescent="0.25">
      <c r="A1576">
        <v>17</v>
      </c>
      <c r="B1576">
        <v>0</v>
      </c>
      <c r="C1576">
        <v>500</v>
      </c>
    </row>
    <row r="1577" spans="1:3" x14ac:dyDescent="0.25">
      <c r="A1577">
        <v>16</v>
      </c>
      <c r="B1577">
        <v>0</v>
      </c>
      <c r="C1577">
        <v>500</v>
      </c>
    </row>
    <row r="1578" spans="1:3" x14ac:dyDescent="0.25">
      <c r="A1578">
        <v>25</v>
      </c>
      <c r="B1578">
        <v>0</v>
      </c>
      <c r="C1578">
        <v>500</v>
      </c>
    </row>
    <row r="1579" spans="1:3" x14ac:dyDescent="0.25">
      <c r="A1579">
        <v>16</v>
      </c>
      <c r="B1579">
        <v>0</v>
      </c>
      <c r="C1579">
        <v>500</v>
      </c>
    </row>
    <row r="1580" spans="1:3" x14ac:dyDescent="0.25">
      <c r="A1580">
        <v>17</v>
      </c>
      <c r="B1580">
        <v>0</v>
      </c>
      <c r="C1580">
        <v>500</v>
      </c>
    </row>
    <row r="1581" spans="1:3" x14ac:dyDescent="0.25">
      <c r="A1581">
        <v>16</v>
      </c>
      <c r="B1581">
        <v>0</v>
      </c>
      <c r="C1581">
        <v>500</v>
      </c>
    </row>
    <row r="1582" spans="1:3" x14ac:dyDescent="0.25">
      <c r="A1582">
        <v>16</v>
      </c>
      <c r="B1582">
        <v>0</v>
      </c>
      <c r="C1582">
        <v>460</v>
      </c>
    </row>
    <row r="1583" spans="1:3" x14ac:dyDescent="0.25">
      <c r="A1583">
        <v>17</v>
      </c>
      <c r="B1583">
        <v>0</v>
      </c>
      <c r="C1583">
        <v>460</v>
      </c>
    </row>
    <row r="1584" spans="1:3" x14ac:dyDescent="0.25">
      <c r="A1584">
        <v>15</v>
      </c>
      <c r="B1584">
        <v>0</v>
      </c>
      <c r="C1584">
        <v>460</v>
      </c>
    </row>
    <row r="1585" spans="1:3" x14ac:dyDescent="0.25">
      <c r="A1585">
        <v>15</v>
      </c>
      <c r="B1585">
        <v>0</v>
      </c>
      <c r="C1585">
        <v>460</v>
      </c>
    </row>
    <row r="1586" spans="1:3" x14ac:dyDescent="0.25">
      <c r="A1586">
        <v>19</v>
      </c>
      <c r="B1586">
        <v>0</v>
      </c>
      <c r="C1586">
        <v>460</v>
      </c>
    </row>
    <row r="1587" spans="1:3" x14ac:dyDescent="0.25">
      <c r="A1587">
        <v>20</v>
      </c>
      <c r="B1587">
        <v>0</v>
      </c>
      <c r="C1587">
        <v>460</v>
      </c>
    </row>
    <row r="1588" spans="1:3" x14ac:dyDescent="0.25">
      <c r="A1588">
        <v>16</v>
      </c>
      <c r="B1588">
        <v>0</v>
      </c>
      <c r="C1588">
        <v>460</v>
      </c>
    </row>
    <row r="1589" spans="1:3" x14ac:dyDescent="0.25">
      <c r="A1589">
        <v>16</v>
      </c>
      <c r="B1589">
        <v>0</v>
      </c>
      <c r="C1589">
        <v>460</v>
      </c>
    </row>
    <row r="1590" spans="1:3" x14ac:dyDescent="0.25">
      <c r="A1590">
        <v>19</v>
      </c>
      <c r="B1590">
        <v>0</v>
      </c>
      <c r="C1590">
        <v>563</v>
      </c>
    </row>
    <row r="1591" spans="1:3" x14ac:dyDescent="0.25">
      <c r="A1591">
        <v>17</v>
      </c>
      <c r="B1591">
        <v>0</v>
      </c>
      <c r="C1591">
        <v>563</v>
      </c>
    </row>
    <row r="1592" spans="1:3" x14ac:dyDescent="0.25">
      <c r="A1592">
        <v>17</v>
      </c>
      <c r="B1592">
        <v>0</v>
      </c>
      <c r="C1592">
        <v>563</v>
      </c>
    </row>
    <row r="1593" spans="1:3" x14ac:dyDescent="0.25">
      <c r="A1593">
        <v>16</v>
      </c>
      <c r="B1593">
        <v>0</v>
      </c>
      <c r="C1593">
        <v>563</v>
      </c>
    </row>
    <row r="1594" spans="1:3" x14ac:dyDescent="0.25">
      <c r="A1594">
        <v>21</v>
      </c>
      <c r="B1594">
        <v>0</v>
      </c>
      <c r="C1594">
        <v>563</v>
      </c>
    </row>
    <row r="1595" spans="1:3" x14ac:dyDescent="0.25">
      <c r="A1595">
        <v>17</v>
      </c>
      <c r="B1595">
        <v>0</v>
      </c>
      <c r="C1595">
        <v>563</v>
      </c>
    </row>
    <row r="1596" spans="1:3" x14ac:dyDescent="0.25">
      <c r="A1596">
        <v>17</v>
      </c>
      <c r="B1596">
        <v>0</v>
      </c>
      <c r="C1596">
        <v>563</v>
      </c>
    </row>
    <row r="1597" spans="1:3" x14ac:dyDescent="0.25">
      <c r="A1597">
        <v>17</v>
      </c>
      <c r="B1597">
        <v>0</v>
      </c>
      <c r="C1597">
        <v>563</v>
      </c>
    </row>
    <row r="1598" spans="1:3" x14ac:dyDescent="0.25">
      <c r="A1598">
        <v>17</v>
      </c>
      <c r="B1598">
        <v>0</v>
      </c>
      <c r="C1598">
        <v>563</v>
      </c>
    </row>
    <row r="1599" spans="1:3" x14ac:dyDescent="0.25">
      <c r="A1599">
        <v>14</v>
      </c>
      <c r="B1599">
        <v>0</v>
      </c>
      <c r="C1599">
        <v>491</v>
      </c>
    </row>
    <row r="1600" spans="1:3" x14ac:dyDescent="0.25">
      <c r="A1600">
        <v>17</v>
      </c>
      <c r="B1600">
        <v>0</v>
      </c>
      <c r="C1600">
        <v>491</v>
      </c>
    </row>
    <row r="1601" spans="1:3" x14ac:dyDescent="0.25">
      <c r="A1601">
        <v>15</v>
      </c>
      <c r="B1601">
        <v>0</v>
      </c>
      <c r="C1601">
        <v>491</v>
      </c>
    </row>
    <row r="1602" spans="1:3" x14ac:dyDescent="0.25">
      <c r="A1602">
        <v>21</v>
      </c>
      <c r="B1602">
        <v>0</v>
      </c>
      <c r="C1602">
        <v>491</v>
      </c>
    </row>
    <row r="1603" spans="1:3" x14ac:dyDescent="0.25">
      <c r="A1603">
        <v>18</v>
      </c>
      <c r="B1603">
        <v>0</v>
      </c>
      <c r="C1603">
        <v>491</v>
      </c>
    </row>
    <row r="1604" spans="1:3" x14ac:dyDescent="0.25">
      <c r="A1604">
        <v>15</v>
      </c>
      <c r="B1604">
        <v>0</v>
      </c>
      <c r="C1604">
        <v>491</v>
      </c>
    </row>
    <row r="1605" spans="1:3" x14ac:dyDescent="0.25">
      <c r="A1605">
        <v>15</v>
      </c>
      <c r="B1605">
        <v>0</v>
      </c>
      <c r="C1605">
        <v>491</v>
      </c>
    </row>
    <row r="1606" spans="1:3" x14ac:dyDescent="0.25">
      <c r="A1606">
        <v>17</v>
      </c>
      <c r="B1606">
        <v>0</v>
      </c>
      <c r="C1606">
        <v>491</v>
      </c>
    </row>
    <row r="1607" spans="1:3" x14ac:dyDescent="0.25">
      <c r="A1607">
        <v>17</v>
      </c>
      <c r="B1607">
        <v>0</v>
      </c>
      <c r="C1607">
        <v>459</v>
      </c>
    </row>
    <row r="1608" spans="1:3" x14ac:dyDescent="0.25">
      <c r="A1608">
        <v>19</v>
      </c>
      <c r="B1608">
        <v>0</v>
      </c>
      <c r="C1608">
        <v>459</v>
      </c>
    </row>
    <row r="1609" spans="1:3" x14ac:dyDescent="0.25">
      <c r="A1609">
        <v>18</v>
      </c>
      <c r="B1609">
        <v>0</v>
      </c>
      <c r="C1609">
        <v>459</v>
      </c>
    </row>
    <row r="1610" spans="1:3" x14ac:dyDescent="0.25">
      <c r="A1610">
        <v>16</v>
      </c>
      <c r="B1610">
        <v>0</v>
      </c>
      <c r="C1610">
        <v>459</v>
      </c>
    </row>
    <row r="1611" spans="1:3" x14ac:dyDescent="0.25">
      <c r="A1611">
        <v>20</v>
      </c>
      <c r="B1611">
        <v>0</v>
      </c>
      <c r="C1611">
        <v>459</v>
      </c>
    </row>
    <row r="1612" spans="1:3" x14ac:dyDescent="0.25">
      <c r="A1612">
        <v>21</v>
      </c>
      <c r="B1612">
        <v>0</v>
      </c>
      <c r="C1612">
        <v>459</v>
      </c>
    </row>
    <row r="1613" spans="1:3" x14ac:dyDescent="0.25">
      <c r="A1613">
        <v>18</v>
      </c>
      <c r="B1613">
        <v>0</v>
      </c>
      <c r="C1613">
        <v>459</v>
      </c>
    </row>
    <row r="1614" spans="1:3" x14ac:dyDescent="0.25">
      <c r="A1614">
        <v>16</v>
      </c>
      <c r="B1614">
        <v>0</v>
      </c>
      <c r="C1614">
        <v>459</v>
      </c>
    </row>
    <row r="1615" spans="1:3" x14ac:dyDescent="0.25">
      <c r="A1615">
        <v>17</v>
      </c>
      <c r="B1615">
        <v>0</v>
      </c>
      <c r="C1615">
        <v>459</v>
      </c>
    </row>
    <row r="1616" spans="1:3" x14ac:dyDescent="0.25">
      <c r="A1616">
        <v>16</v>
      </c>
      <c r="B1616">
        <v>0</v>
      </c>
      <c r="C1616">
        <v>468</v>
      </c>
    </row>
    <row r="1617" spans="1:3" x14ac:dyDescent="0.25">
      <c r="A1617">
        <v>16</v>
      </c>
      <c r="B1617">
        <v>0</v>
      </c>
      <c r="C1617">
        <v>468</v>
      </c>
    </row>
    <row r="1618" spans="1:3" x14ac:dyDescent="0.25">
      <c r="A1618">
        <v>20</v>
      </c>
      <c r="B1618">
        <v>0</v>
      </c>
      <c r="C1618">
        <v>468</v>
      </c>
    </row>
    <row r="1619" spans="1:3" x14ac:dyDescent="0.25">
      <c r="A1619">
        <v>20</v>
      </c>
      <c r="B1619">
        <v>0</v>
      </c>
      <c r="C1619">
        <v>468</v>
      </c>
    </row>
    <row r="1620" spans="1:3" x14ac:dyDescent="0.25">
      <c r="A1620">
        <v>15</v>
      </c>
      <c r="B1620">
        <v>0</v>
      </c>
      <c r="C1620">
        <v>468</v>
      </c>
    </row>
    <row r="1621" spans="1:3" x14ac:dyDescent="0.25">
      <c r="A1621">
        <v>16</v>
      </c>
      <c r="B1621">
        <v>0</v>
      </c>
      <c r="C1621">
        <v>468</v>
      </c>
    </row>
    <row r="1622" spans="1:3" x14ac:dyDescent="0.25">
      <c r="A1622">
        <v>16</v>
      </c>
      <c r="B1622">
        <v>0</v>
      </c>
      <c r="C1622">
        <v>468</v>
      </c>
    </row>
    <row r="1623" spans="1:3" x14ac:dyDescent="0.25">
      <c r="A1623">
        <v>14</v>
      </c>
      <c r="B1623">
        <v>0</v>
      </c>
      <c r="C1623">
        <v>468</v>
      </c>
    </row>
    <row r="1624" spans="1:3" x14ac:dyDescent="0.25">
      <c r="A1624">
        <v>14</v>
      </c>
      <c r="B1624">
        <v>0</v>
      </c>
      <c r="C1624">
        <v>468</v>
      </c>
    </row>
    <row r="1625" spans="1:3" x14ac:dyDescent="0.25">
      <c r="A1625">
        <v>15</v>
      </c>
      <c r="B1625">
        <v>0</v>
      </c>
      <c r="C1625">
        <v>469</v>
      </c>
    </row>
    <row r="1626" spans="1:3" x14ac:dyDescent="0.25">
      <c r="A1626">
        <v>15</v>
      </c>
      <c r="B1626">
        <v>0</v>
      </c>
      <c r="C1626">
        <v>469</v>
      </c>
    </row>
    <row r="1627" spans="1:3" x14ac:dyDescent="0.25">
      <c r="A1627">
        <v>17</v>
      </c>
      <c r="B1627">
        <v>0</v>
      </c>
      <c r="C1627">
        <v>469</v>
      </c>
    </row>
    <row r="1628" spans="1:3" x14ac:dyDescent="0.25">
      <c r="A1628">
        <v>15</v>
      </c>
      <c r="B1628">
        <v>0</v>
      </c>
      <c r="C1628">
        <v>469</v>
      </c>
    </row>
    <row r="1629" spans="1:3" x14ac:dyDescent="0.25">
      <c r="A1629">
        <v>14</v>
      </c>
      <c r="B1629">
        <v>0</v>
      </c>
      <c r="C1629">
        <v>469</v>
      </c>
    </row>
    <row r="1630" spans="1:3" x14ac:dyDescent="0.25">
      <c r="A1630">
        <v>17</v>
      </c>
      <c r="B1630">
        <v>0</v>
      </c>
      <c r="C1630">
        <v>469</v>
      </c>
    </row>
    <row r="1631" spans="1:3" x14ac:dyDescent="0.25">
      <c r="A1631">
        <v>17</v>
      </c>
      <c r="B1631">
        <v>0</v>
      </c>
      <c r="C1631">
        <v>469</v>
      </c>
    </row>
    <row r="1632" spans="1:3" x14ac:dyDescent="0.25">
      <c r="A1632">
        <v>16</v>
      </c>
      <c r="B1632">
        <v>0</v>
      </c>
      <c r="C1632">
        <v>469</v>
      </c>
    </row>
    <row r="1633" spans="1:3" x14ac:dyDescent="0.25">
      <c r="A1633">
        <v>16</v>
      </c>
      <c r="B1633">
        <v>0</v>
      </c>
      <c r="C1633">
        <v>469</v>
      </c>
    </row>
    <row r="1634" spans="1:3" x14ac:dyDescent="0.25">
      <c r="A1634">
        <v>13</v>
      </c>
      <c r="B1634">
        <v>0</v>
      </c>
      <c r="C1634">
        <v>526</v>
      </c>
    </row>
    <row r="1635" spans="1:3" x14ac:dyDescent="0.25">
      <c r="A1635">
        <v>18</v>
      </c>
      <c r="B1635">
        <v>0</v>
      </c>
      <c r="C1635">
        <v>526</v>
      </c>
    </row>
    <row r="1636" spans="1:3" x14ac:dyDescent="0.25">
      <c r="A1636">
        <v>15</v>
      </c>
      <c r="B1636">
        <v>0</v>
      </c>
      <c r="C1636">
        <v>526</v>
      </c>
    </row>
    <row r="1637" spans="1:3" x14ac:dyDescent="0.25">
      <c r="A1637">
        <v>19</v>
      </c>
      <c r="B1637">
        <v>0</v>
      </c>
      <c r="C1637">
        <v>526</v>
      </c>
    </row>
    <row r="1638" spans="1:3" x14ac:dyDescent="0.25">
      <c r="A1638">
        <v>16</v>
      </c>
      <c r="B1638">
        <v>0</v>
      </c>
      <c r="C1638">
        <v>526</v>
      </c>
    </row>
    <row r="1639" spans="1:3" x14ac:dyDescent="0.25">
      <c r="A1639">
        <v>14</v>
      </c>
      <c r="B1639">
        <v>0</v>
      </c>
      <c r="C1639">
        <v>526</v>
      </c>
    </row>
    <row r="1640" spans="1:3" x14ac:dyDescent="0.25">
      <c r="A1640">
        <v>14</v>
      </c>
      <c r="B1640">
        <v>0</v>
      </c>
      <c r="C1640">
        <v>526</v>
      </c>
    </row>
    <row r="1641" spans="1:3" x14ac:dyDescent="0.25">
      <c r="A1641">
        <v>17</v>
      </c>
      <c r="B1641">
        <v>0</v>
      </c>
      <c r="C1641">
        <v>526</v>
      </c>
    </row>
    <row r="1642" spans="1:3" x14ac:dyDescent="0.25">
      <c r="A1642">
        <v>18</v>
      </c>
      <c r="B1642">
        <v>0</v>
      </c>
      <c r="C1642">
        <v>526</v>
      </c>
    </row>
    <row r="1643" spans="1:3" x14ac:dyDescent="0.25">
      <c r="A1643">
        <v>18</v>
      </c>
      <c r="B1643">
        <v>0</v>
      </c>
      <c r="C1643">
        <v>470</v>
      </c>
    </row>
    <row r="1644" spans="1:3" x14ac:dyDescent="0.25">
      <c r="A1644">
        <v>16</v>
      </c>
      <c r="B1644">
        <v>0</v>
      </c>
      <c r="C1644">
        <v>470</v>
      </c>
    </row>
    <row r="1645" spans="1:3" x14ac:dyDescent="0.25">
      <c r="A1645">
        <v>15</v>
      </c>
      <c r="B1645">
        <v>0</v>
      </c>
      <c r="C1645">
        <v>470</v>
      </c>
    </row>
    <row r="1646" spans="1:3" x14ac:dyDescent="0.25">
      <c r="A1646">
        <v>14</v>
      </c>
      <c r="B1646">
        <v>0</v>
      </c>
      <c r="C1646">
        <v>470</v>
      </c>
    </row>
    <row r="1647" spans="1:3" x14ac:dyDescent="0.25">
      <c r="A1647">
        <v>16</v>
      </c>
      <c r="B1647">
        <v>0</v>
      </c>
      <c r="C1647">
        <v>470</v>
      </c>
    </row>
    <row r="1648" spans="1:3" x14ac:dyDescent="0.25">
      <c r="A1648">
        <v>14</v>
      </c>
      <c r="B1648">
        <v>0</v>
      </c>
      <c r="C1648">
        <v>470</v>
      </c>
    </row>
    <row r="1649" spans="1:3" x14ac:dyDescent="0.25">
      <c r="A1649">
        <v>12</v>
      </c>
      <c r="B1649">
        <v>0</v>
      </c>
      <c r="C1649">
        <v>470</v>
      </c>
    </row>
    <row r="1650" spans="1:3" x14ac:dyDescent="0.25">
      <c r="A1650">
        <v>15</v>
      </c>
      <c r="B1650">
        <v>0</v>
      </c>
      <c r="C1650">
        <v>470</v>
      </c>
    </row>
    <row r="1651" spans="1:3" x14ac:dyDescent="0.25">
      <c r="A1651">
        <v>21</v>
      </c>
      <c r="B1651">
        <v>0</v>
      </c>
      <c r="C1651">
        <v>470</v>
      </c>
    </row>
    <row r="1652" spans="1:3" x14ac:dyDescent="0.25">
      <c r="A1652">
        <v>16</v>
      </c>
      <c r="B1652">
        <v>0</v>
      </c>
      <c r="C1652">
        <v>498</v>
      </c>
    </row>
    <row r="1653" spans="1:3" x14ac:dyDescent="0.25">
      <c r="A1653">
        <v>16</v>
      </c>
      <c r="B1653">
        <v>0</v>
      </c>
      <c r="C1653">
        <v>498</v>
      </c>
    </row>
    <row r="1654" spans="1:3" x14ac:dyDescent="0.25">
      <c r="A1654">
        <v>17</v>
      </c>
      <c r="B1654">
        <v>0</v>
      </c>
      <c r="C1654">
        <v>498</v>
      </c>
    </row>
    <row r="1655" spans="1:3" x14ac:dyDescent="0.25">
      <c r="A1655">
        <v>15</v>
      </c>
      <c r="B1655">
        <v>0</v>
      </c>
      <c r="C1655">
        <v>498</v>
      </c>
    </row>
    <row r="1656" spans="1:3" x14ac:dyDescent="0.25">
      <c r="A1656">
        <v>18</v>
      </c>
      <c r="B1656">
        <v>0</v>
      </c>
      <c r="C1656">
        <v>498</v>
      </c>
    </row>
    <row r="1657" spans="1:3" x14ac:dyDescent="0.25">
      <c r="A1657">
        <v>14</v>
      </c>
      <c r="B1657">
        <v>0</v>
      </c>
      <c r="C1657">
        <v>498</v>
      </c>
    </row>
    <row r="1658" spans="1:3" x14ac:dyDescent="0.25">
      <c r="A1658">
        <v>15</v>
      </c>
      <c r="B1658">
        <v>0</v>
      </c>
      <c r="C1658">
        <v>498</v>
      </c>
    </row>
    <row r="1659" spans="1:3" x14ac:dyDescent="0.25">
      <c r="A1659">
        <v>20</v>
      </c>
      <c r="B1659">
        <v>0</v>
      </c>
      <c r="C1659">
        <v>498</v>
      </c>
    </row>
    <row r="1660" spans="1:3" x14ac:dyDescent="0.25">
      <c r="A1660">
        <v>14</v>
      </c>
      <c r="B1660">
        <v>0</v>
      </c>
      <c r="C1660">
        <v>498</v>
      </c>
    </row>
    <row r="1661" spans="1:3" x14ac:dyDescent="0.25">
      <c r="A1661">
        <v>17</v>
      </c>
      <c r="B1661">
        <v>0</v>
      </c>
      <c r="C1661">
        <v>478</v>
      </c>
    </row>
    <row r="1662" spans="1:3" x14ac:dyDescent="0.25">
      <c r="A1662">
        <v>18</v>
      </c>
      <c r="B1662">
        <v>0</v>
      </c>
      <c r="C1662">
        <v>478</v>
      </c>
    </row>
    <row r="1663" spans="1:3" x14ac:dyDescent="0.25">
      <c r="A1663">
        <v>17</v>
      </c>
      <c r="B1663">
        <v>0</v>
      </c>
      <c r="C1663">
        <v>478</v>
      </c>
    </row>
    <row r="1664" spans="1:3" x14ac:dyDescent="0.25">
      <c r="A1664">
        <v>15</v>
      </c>
      <c r="B1664">
        <v>0</v>
      </c>
      <c r="C1664">
        <v>478</v>
      </c>
    </row>
    <row r="1665" spans="1:3" x14ac:dyDescent="0.25">
      <c r="A1665">
        <v>15</v>
      </c>
      <c r="B1665">
        <v>0</v>
      </c>
      <c r="C1665">
        <v>478</v>
      </c>
    </row>
    <row r="1666" spans="1:3" x14ac:dyDescent="0.25">
      <c r="A1666">
        <v>18</v>
      </c>
      <c r="B1666">
        <v>0</v>
      </c>
      <c r="C1666">
        <v>478</v>
      </c>
    </row>
    <row r="1667" spans="1:3" x14ac:dyDescent="0.25">
      <c r="A1667">
        <v>20</v>
      </c>
      <c r="B1667">
        <v>0</v>
      </c>
      <c r="C1667">
        <v>478</v>
      </c>
    </row>
    <row r="1668" spans="1:3" x14ac:dyDescent="0.25">
      <c r="A1668">
        <v>19</v>
      </c>
      <c r="B1668">
        <v>0</v>
      </c>
      <c r="C1668">
        <v>478</v>
      </c>
    </row>
    <row r="1669" spans="1:3" x14ac:dyDescent="0.25">
      <c r="A1669">
        <v>18</v>
      </c>
      <c r="B1669">
        <v>0</v>
      </c>
      <c r="C1669">
        <v>554</v>
      </c>
    </row>
    <row r="1670" spans="1:3" x14ac:dyDescent="0.25">
      <c r="A1670">
        <v>16</v>
      </c>
      <c r="B1670">
        <v>0</v>
      </c>
      <c r="C1670">
        <v>554</v>
      </c>
    </row>
    <row r="1671" spans="1:3" x14ac:dyDescent="0.25">
      <c r="A1671">
        <v>16</v>
      </c>
      <c r="B1671">
        <v>0</v>
      </c>
      <c r="C1671">
        <v>554</v>
      </c>
    </row>
    <row r="1672" spans="1:3" x14ac:dyDescent="0.25">
      <c r="A1672">
        <v>16</v>
      </c>
      <c r="B1672">
        <v>0</v>
      </c>
      <c r="C1672">
        <v>554</v>
      </c>
    </row>
    <row r="1673" spans="1:3" x14ac:dyDescent="0.25">
      <c r="A1673">
        <v>14</v>
      </c>
      <c r="B1673">
        <v>0</v>
      </c>
      <c r="C1673">
        <v>554</v>
      </c>
    </row>
    <row r="1674" spans="1:3" x14ac:dyDescent="0.25">
      <c r="A1674">
        <v>15</v>
      </c>
      <c r="B1674">
        <v>0</v>
      </c>
      <c r="C1674">
        <v>554</v>
      </c>
    </row>
    <row r="1675" spans="1:3" x14ac:dyDescent="0.25">
      <c r="A1675">
        <v>20</v>
      </c>
      <c r="B1675">
        <v>0</v>
      </c>
      <c r="C1675">
        <v>554</v>
      </c>
    </row>
    <row r="1676" spans="1:3" x14ac:dyDescent="0.25">
      <c r="A1676">
        <v>15</v>
      </c>
      <c r="B1676">
        <v>0</v>
      </c>
      <c r="C1676">
        <v>554</v>
      </c>
    </row>
    <row r="1677" spans="1:3" x14ac:dyDescent="0.25">
      <c r="A1677">
        <v>19</v>
      </c>
      <c r="B1677">
        <v>0</v>
      </c>
      <c r="C1677">
        <v>554</v>
      </c>
    </row>
    <row r="1678" spans="1:3" x14ac:dyDescent="0.25">
      <c r="A1678">
        <v>13</v>
      </c>
      <c r="B1678">
        <v>0</v>
      </c>
      <c r="C1678">
        <v>482</v>
      </c>
    </row>
    <row r="1679" spans="1:3" x14ac:dyDescent="0.25">
      <c r="A1679">
        <v>12</v>
      </c>
      <c r="B1679">
        <v>0</v>
      </c>
      <c r="C1679">
        <v>482</v>
      </c>
    </row>
    <row r="1680" spans="1:3" x14ac:dyDescent="0.25">
      <c r="A1680">
        <v>16</v>
      </c>
      <c r="B1680">
        <v>0</v>
      </c>
      <c r="C1680">
        <v>482</v>
      </c>
    </row>
    <row r="1681" spans="1:3" x14ac:dyDescent="0.25">
      <c r="A1681">
        <v>16</v>
      </c>
      <c r="B1681">
        <v>0</v>
      </c>
      <c r="C1681">
        <v>482</v>
      </c>
    </row>
    <row r="1682" spans="1:3" x14ac:dyDescent="0.25">
      <c r="A1682">
        <v>14</v>
      </c>
      <c r="B1682">
        <v>0</v>
      </c>
      <c r="C1682">
        <v>482</v>
      </c>
    </row>
    <row r="1683" spans="1:3" x14ac:dyDescent="0.25">
      <c r="A1683">
        <v>20</v>
      </c>
      <c r="B1683">
        <v>0</v>
      </c>
      <c r="C1683">
        <v>482</v>
      </c>
    </row>
    <row r="1684" spans="1:3" x14ac:dyDescent="0.25">
      <c r="A1684">
        <v>19</v>
      </c>
      <c r="B1684">
        <v>0</v>
      </c>
      <c r="C1684">
        <v>482</v>
      </c>
    </row>
    <row r="1685" spans="1:3" x14ac:dyDescent="0.25">
      <c r="A1685">
        <v>17</v>
      </c>
      <c r="B1685">
        <v>0</v>
      </c>
      <c r="C1685">
        <v>482</v>
      </c>
    </row>
    <row r="1686" spans="1:3" x14ac:dyDescent="0.25">
      <c r="A1686">
        <v>16</v>
      </c>
      <c r="B1686">
        <v>0</v>
      </c>
      <c r="C1686">
        <v>482</v>
      </c>
    </row>
    <row r="1687" spans="1:3" x14ac:dyDescent="0.25">
      <c r="A1687">
        <v>18</v>
      </c>
      <c r="B1687">
        <v>0</v>
      </c>
      <c r="C1687">
        <v>501</v>
      </c>
    </row>
    <row r="1688" spans="1:3" x14ac:dyDescent="0.25">
      <c r="A1688">
        <v>15</v>
      </c>
      <c r="B1688">
        <v>0</v>
      </c>
      <c r="C1688">
        <v>501</v>
      </c>
    </row>
    <row r="1689" spans="1:3" x14ac:dyDescent="0.25">
      <c r="A1689">
        <v>17</v>
      </c>
      <c r="B1689">
        <v>0</v>
      </c>
      <c r="C1689">
        <v>501</v>
      </c>
    </row>
    <row r="1690" spans="1:3" x14ac:dyDescent="0.25">
      <c r="A1690">
        <v>17</v>
      </c>
      <c r="B1690">
        <v>0</v>
      </c>
      <c r="C1690">
        <v>501</v>
      </c>
    </row>
    <row r="1691" spans="1:3" x14ac:dyDescent="0.25">
      <c r="A1691">
        <v>18</v>
      </c>
      <c r="B1691">
        <v>0</v>
      </c>
      <c r="C1691">
        <v>501</v>
      </c>
    </row>
    <row r="1692" spans="1:3" x14ac:dyDescent="0.25">
      <c r="A1692">
        <v>18</v>
      </c>
      <c r="B1692">
        <v>0</v>
      </c>
      <c r="C1692">
        <v>501</v>
      </c>
    </row>
    <row r="1693" spans="1:3" x14ac:dyDescent="0.25">
      <c r="A1693">
        <v>12</v>
      </c>
      <c r="B1693">
        <v>0</v>
      </c>
      <c r="C1693">
        <v>501</v>
      </c>
    </row>
    <row r="1694" spans="1:3" x14ac:dyDescent="0.25">
      <c r="A1694">
        <v>13</v>
      </c>
      <c r="B1694">
        <v>0</v>
      </c>
      <c r="C1694">
        <v>501</v>
      </c>
    </row>
    <row r="1695" spans="1:3" x14ac:dyDescent="0.25">
      <c r="A1695">
        <v>15</v>
      </c>
      <c r="B1695">
        <v>0</v>
      </c>
      <c r="C1695">
        <v>501</v>
      </c>
    </row>
    <row r="1696" spans="1:3" x14ac:dyDescent="0.25">
      <c r="A1696">
        <v>14</v>
      </c>
      <c r="B1696">
        <v>0</v>
      </c>
      <c r="C1696">
        <v>423</v>
      </c>
    </row>
    <row r="1697" spans="1:3" x14ac:dyDescent="0.25">
      <c r="A1697">
        <v>15</v>
      </c>
      <c r="B1697">
        <v>0</v>
      </c>
      <c r="C1697">
        <v>423</v>
      </c>
    </row>
    <row r="1698" spans="1:3" x14ac:dyDescent="0.25">
      <c r="A1698">
        <v>16</v>
      </c>
      <c r="B1698">
        <v>0</v>
      </c>
      <c r="C1698">
        <v>423</v>
      </c>
    </row>
    <row r="1699" spans="1:3" x14ac:dyDescent="0.25">
      <c r="A1699">
        <v>18</v>
      </c>
      <c r="B1699">
        <v>0</v>
      </c>
      <c r="C1699">
        <v>423</v>
      </c>
    </row>
    <row r="1700" spans="1:3" x14ac:dyDescent="0.25">
      <c r="A1700">
        <v>21</v>
      </c>
      <c r="B1700">
        <v>0</v>
      </c>
      <c r="C1700">
        <v>423</v>
      </c>
    </row>
    <row r="1701" spans="1:3" x14ac:dyDescent="0.25">
      <c r="A1701">
        <v>19</v>
      </c>
      <c r="B1701">
        <v>0</v>
      </c>
      <c r="C1701">
        <v>423</v>
      </c>
    </row>
    <row r="1702" spans="1:3" x14ac:dyDescent="0.25">
      <c r="A1702">
        <v>19</v>
      </c>
      <c r="B1702">
        <v>0</v>
      </c>
      <c r="C1702">
        <v>423</v>
      </c>
    </row>
    <row r="1703" spans="1:3" x14ac:dyDescent="0.25">
      <c r="A1703">
        <v>16</v>
      </c>
      <c r="B1703">
        <v>0</v>
      </c>
      <c r="C1703">
        <v>423</v>
      </c>
    </row>
    <row r="1704" spans="1:3" x14ac:dyDescent="0.25">
      <c r="A1704">
        <v>15</v>
      </c>
      <c r="B1704">
        <v>0</v>
      </c>
      <c r="C1704">
        <v>595</v>
      </c>
    </row>
    <row r="1705" spans="1:3" x14ac:dyDescent="0.25">
      <c r="A1705">
        <v>17</v>
      </c>
      <c r="B1705">
        <v>0</v>
      </c>
      <c r="C1705">
        <v>595</v>
      </c>
    </row>
    <row r="1706" spans="1:3" x14ac:dyDescent="0.25">
      <c r="A1706">
        <v>15</v>
      </c>
      <c r="B1706">
        <v>0</v>
      </c>
      <c r="C1706">
        <v>595</v>
      </c>
    </row>
    <row r="1707" spans="1:3" x14ac:dyDescent="0.25">
      <c r="A1707">
        <v>19</v>
      </c>
      <c r="B1707">
        <v>0</v>
      </c>
      <c r="C1707">
        <v>595</v>
      </c>
    </row>
    <row r="1708" spans="1:3" x14ac:dyDescent="0.25">
      <c r="A1708">
        <v>18</v>
      </c>
      <c r="B1708">
        <v>0</v>
      </c>
      <c r="C1708">
        <v>595</v>
      </c>
    </row>
    <row r="1709" spans="1:3" x14ac:dyDescent="0.25">
      <c r="A1709">
        <v>12</v>
      </c>
      <c r="B1709">
        <v>0</v>
      </c>
      <c r="C1709">
        <v>595</v>
      </c>
    </row>
    <row r="1710" spans="1:3" x14ac:dyDescent="0.25">
      <c r="A1710">
        <v>16</v>
      </c>
      <c r="B1710">
        <v>0</v>
      </c>
      <c r="C1710">
        <v>595</v>
      </c>
    </row>
    <row r="1711" spans="1:3" x14ac:dyDescent="0.25">
      <c r="A1711">
        <v>15</v>
      </c>
      <c r="B1711">
        <v>0</v>
      </c>
      <c r="C1711">
        <v>595</v>
      </c>
    </row>
    <row r="1712" spans="1:3" x14ac:dyDescent="0.25">
      <c r="A1712">
        <v>15</v>
      </c>
      <c r="B1712">
        <v>0</v>
      </c>
      <c r="C1712">
        <v>595</v>
      </c>
    </row>
    <row r="1713" spans="1:3" x14ac:dyDescent="0.25">
      <c r="A1713">
        <v>16</v>
      </c>
      <c r="B1713">
        <v>0</v>
      </c>
      <c r="C1713">
        <v>488</v>
      </c>
    </row>
    <row r="1714" spans="1:3" x14ac:dyDescent="0.25">
      <c r="A1714">
        <v>13</v>
      </c>
      <c r="B1714">
        <v>0</v>
      </c>
      <c r="C1714">
        <v>488</v>
      </c>
    </row>
    <row r="1715" spans="1:3" x14ac:dyDescent="0.25">
      <c r="A1715">
        <v>22</v>
      </c>
      <c r="B1715">
        <v>0</v>
      </c>
      <c r="C1715">
        <v>488</v>
      </c>
    </row>
    <row r="1716" spans="1:3" x14ac:dyDescent="0.25">
      <c r="A1716">
        <v>20</v>
      </c>
      <c r="B1716">
        <v>0</v>
      </c>
      <c r="C1716">
        <v>488</v>
      </c>
    </row>
    <row r="1717" spans="1:3" x14ac:dyDescent="0.25">
      <c r="A1717">
        <v>15</v>
      </c>
      <c r="B1717">
        <v>0</v>
      </c>
      <c r="C1717">
        <v>488</v>
      </c>
    </row>
    <row r="1718" spans="1:3" x14ac:dyDescent="0.25">
      <c r="A1718">
        <v>17</v>
      </c>
      <c r="B1718">
        <v>0</v>
      </c>
      <c r="C1718">
        <v>488</v>
      </c>
    </row>
    <row r="1719" spans="1:3" x14ac:dyDescent="0.25">
      <c r="A1719">
        <v>16</v>
      </c>
      <c r="B1719">
        <v>0</v>
      </c>
      <c r="C1719">
        <v>488</v>
      </c>
    </row>
    <row r="1720" spans="1:3" x14ac:dyDescent="0.25">
      <c r="A1720">
        <v>15</v>
      </c>
      <c r="B1720">
        <v>0</v>
      </c>
      <c r="C1720">
        <v>488</v>
      </c>
    </row>
    <row r="1721" spans="1:3" x14ac:dyDescent="0.25">
      <c r="A1721">
        <v>15</v>
      </c>
      <c r="B1721">
        <v>0</v>
      </c>
      <c r="C1721">
        <v>476</v>
      </c>
    </row>
    <row r="1722" spans="1:3" x14ac:dyDescent="0.25">
      <c r="A1722">
        <v>19</v>
      </c>
      <c r="B1722">
        <v>0</v>
      </c>
      <c r="C1722">
        <v>476</v>
      </c>
    </row>
    <row r="1723" spans="1:3" x14ac:dyDescent="0.25">
      <c r="A1723">
        <v>23</v>
      </c>
      <c r="B1723">
        <v>0</v>
      </c>
      <c r="C1723">
        <v>476</v>
      </c>
    </row>
    <row r="1724" spans="1:3" x14ac:dyDescent="0.25">
      <c r="A1724">
        <v>20</v>
      </c>
      <c r="B1724">
        <v>0</v>
      </c>
      <c r="C1724">
        <v>476</v>
      </c>
    </row>
    <row r="1725" spans="1:3" x14ac:dyDescent="0.25">
      <c r="A1725">
        <v>15</v>
      </c>
      <c r="B1725">
        <v>0</v>
      </c>
      <c r="C1725">
        <v>476</v>
      </c>
    </row>
    <row r="1726" spans="1:3" x14ac:dyDescent="0.25">
      <c r="A1726">
        <v>15</v>
      </c>
      <c r="B1726">
        <v>0</v>
      </c>
      <c r="C1726">
        <v>476</v>
      </c>
    </row>
    <row r="1727" spans="1:3" x14ac:dyDescent="0.25">
      <c r="A1727">
        <v>17</v>
      </c>
      <c r="B1727">
        <v>0</v>
      </c>
      <c r="C1727">
        <v>476</v>
      </c>
    </row>
    <row r="1728" spans="1:3" x14ac:dyDescent="0.25">
      <c r="A1728">
        <v>13</v>
      </c>
      <c r="B1728">
        <v>0</v>
      </c>
      <c r="C1728">
        <v>476</v>
      </c>
    </row>
    <row r="1729" spans="1:3" x14ac:dyDescent="0.25">
      <c r="A1729">
        <v>14</v>
      </c>
      <c r="B1729">
        <v>0</v>
      </c>
      <c r="C1729">
        <v>476</v>
      </c>
    </row>
    <row r="1730" spans="1:3" x14ac:dyDescent="0.25">
      <c r="A1730">
        <v>15</v>
      </c>
      <c r="B1730">
        <v>0</v>
      </c>
      <c r="C1730">
        <v>491</v>
      </c>
    </row>
    <row r="1731" spans="1:3" x14ac:dyDescent="0.25">
      <c r="A1731">
        <v>20</v>
      </c>
      <c r="B1731">
        <v>0</v>
      </c>
      <c r="C1731">
        <v>491</v>
      </c>
    </row>
    <row r="1732" spans="1:3" x14ac:dyDescent="0.25">
      <c r="A1732">
        <v>21</v>
      </c>
      <c r="B1732">
        <v>0</v>
      </c>
      <c r="C1732">
        <v>491</v>
      </c>
    </row>
    <row r="1733" spans="1:3" x14ac:dyDescent="0.25">
      <c r="A1733">
        <v>18</v>
      </c>
      <c r="B1733">
        <v>0</v>
      </c>
      <c r="C1733">
        <v>491</v>
      </c>
    </row>
    <row r="1734" spans="1:3" x14ac:dyDescent="0.25">
      <c r="A1734">
        <v>17</v>
      </c>
      <c r="B1734">
        <v>0</v>
      </c>
      <c r="C1734">
        <v>491</v>
      </c>
    </row>
    <row r="1735" spans="1:3" x14ac:dyDescent="0.25">
      <c r="A1735">
        <v>14</v>
      </c>
      <c r="B1735">
        <v>0</v>
      </c>
      <c r="C1735">
        <v>491</v>
      </c>
    </row>
    <row r="1736" spans="1:3" x14ac:dyDescent="0.25">
      <c r="A1736">
        <v>15</v>
      </c>
      <c r="B1736">
        <v>0</v>
      </c>
      <c r="C1736">
        <v>491</v>
      </c>
    </row>
    <row r="1737" spans="1:3" x14ac:dyDescent="0.25">
      <c r="A1737">
        <v>14</v>
      </c>
      <c r="B1737">
        <v>0</v>
      </c>
      <c r="C1737">
        <v>491</v>
      </c>
    </row>
    <row r="1738" spans="1:3" x14ac:dyDescent="0.25">
      <c r="A1738">
        <v>14</v>
      </c>
      <c r="B1738">
        <v>0</v>
      </c>
      <c r="C1738">
        <v>491</v>
      </c>
    </row>
    <row r="1739" spans="1:3" x14ac:dyDescent="0.25">
      <c r="A1739">
        <v>20</v>
      </c>
      <c r="B1739">
        <v>0</v>
      </c>
      <c r="C1739">
        <v>501</v>
      </c>
    </row>
    <row r="1740" spans="1:3" x14ac:dyDescent="0.25">
      <c r="A1740">
        <v>21</v>
      </c>
      <c r="B1740">
        <v>0</v>
      </c>
      <c r="C1740">
        <v>501</v>
      </c>
    </row>
    <row r="1741" spans="1:3" x14ac:dyDescent="0.25">
      <c r="A1741">
        <v>18</v>
      </c>
      <c r="B1741">
        <v>0</v>
      </c>
      <c r="C1741">
        <v>501</v>
      </c>
    </row>
    <row r="1742" spans="1:3" x14ac:dyDescent="0.25">
      <c r="A1742">
        <v>15</v>
      </c>
      <c r="B1742">
        <v>0</v>
      </c>
      <c r="C1742">
        <v>501</v>
      </c>
    </row>
    <row r="1743" spans="1:3" x14ac:dyDescent="0.25">
      <c r="A1743">
        <v>15</v>
      </c>
      <c r="B1743">
        <v>0</v>
      </c>
      <c r="C1743">
        <v>501</v>
      </c>
    </row>
    <row r="1744" spans="1:3" x14ac:dyDescent="0.25">
      <c r="A1744">
        <v>15</v>
      </c>
      <c r="B1744">
        <v>0</v>
      </c>
      <c r="C1744">
        <v>501</v>
      </c>
    </row>
    <row r="1745" spans="1:3" x14ac:dyDescent="0.25">
      <c r="A1745">
        <v>15</v>
      </c>
      <c r="B1745">
        <v>0</v>
      </c>
      <c r="C1745">
        <v>501</v>
      </c>
    </row>
    <row r="1746" spans="1:3" x14ac:dyDescent="0.25">
      <c r="A1746">
        <v>15</v>
      </c>
      <c r="B1746">
        <v>0</v>
      </c>
      <c r="C1746">
        <v>501</v>
      </c>
    </row>
    <row r="1747" spans="1:3" x14ac:dyDescent="0.25">
      <c r="A1747">
        <v>16</v>
      </c>
      <c r="B1747">
        <v>0</v>
      </c>
      <c r="C1747">
        <v>501</v>
      </c>
    </row>
    <row r="1748" spans="1:3" x14ac:dyDescent="0.25">
      <c r="A1748">
        <v>20</v>
      </c>
      <c r="B1748">
        <v>0</v>
      </c>
      <c r="C1748">
        <v>501</v>
      </c>
    </row>
    <row r="1749" spans="1:3" x14ac:dyDescent="0.25">
      <c r="A1749">
        <v>16</v>
      </c>
      <c r="B1749">
        <v>0</v>
      </c>
      <c r="C1749">
        <v>501</v>
      </c>
    </row>
    <row r="1750" spans="1:3" x14ac:dyDescent="0.25">
      <c r="A1750">
        <v>19</v>
      </c>
      <c r="B1750">
        <v>0</v>
      </c>
      <c r="C1750">
        <v>501</v>
      </c>
    </row>
    <row r="1751" spans="1:3" x14ac:dyDescent="0.25">
      <c r="A1751">
        <v>19</v>
      </c>
      <c r="B1751">
        <v>0</v>
      </c>
      <c r="C1751">
        <v>501</v>
      </c>
    </row>
    <row r="1752" spans="1:3" x14ac:dyDescent="0.25">
      <c r="A1752">
        <v>15</v>
      </c>
      <c r="B1752">
        <v>0</v>
      </c>
      <c r="C1752">
        <v>501</v>
      </c>
    </row>
    <row r="1753" spans="1:3" x14ac:dyDescent="0.25">
      <c r="A1753">
        <v>17</v>
      </c>
      <c r="B1753">
        <v>0</v>
      </c>
      <c r="C1753">
        <v>501</v>
      </c>
    </row>
    <row r="1754" spans="1:3" x14ac:dyDescent="0.25">
      <c r="A1754">
        <v>14</v>
      </c>
      <c r="B1754">
        <v>0</v>
      </c>
      <c r="C1754">
        <v>501</v>
      </c>
    </row>
    <row r="1755" spans="1:3" x14ac:dyDescent="0.25">
      <c r="A1755">
        <v>15</v>
      </c>
      <c r="B1755">
        <v>0</v>
      </c>
      <c r="C1755">
        <v>501</v>
      </c>
    </row>
    <row r="1756" spans="1:3" x14ac:dyDescent="0.25">
      <c r="A1756">
        <v>19</v>
      </c>
      <c r="B1756">
        <v>0</v>
      </c>
      <c r="C1756">
        <v>501</v>
      </c>
    </row>
    <row r="1757" spans="1:3" x14ac:dyDescent="0.25">
      <c r="A1757">
        <v>17</v>
      </c>
      <c r="B1757">
        <v>0</v>
      </c>
      <c r="C1757">
        <v>508</v>
      </c>
    </row>
    <row r="1758" spans="1:3" x14ac:dyDescent="0.25">
      <c r="A1758">
        <v>18</v>
      </c>
      <c r="B1758">
        <v>0</v>
      </c>
      <c r="C1758">
        <v>508</v>
      </c>
    </row>
    <row r="1759" spans="1:3" x14ac:dyDescent="0.25">
      <c r="A1759">
        <v>17</v>
      </c>
      <c r="B1759">
        <v>0</v>
      </c>
      <c r="C1759">
        <v>508</v>
      </c>
    </row>
    <row r="1760" spans="1:3" x14ac:dyDescent="0.25">
      <c r="A1760">
        <v>15</v>
      </c>
      <c r="B1760">
        <v>0</v>
      </c>
      <c r="C1760">
        <v>508</v>
      </c>
    </row>
    <row r="1761" spans="1:3" x14ac:dyDescent="0.25">
      <c r="A1761">
        <v>15</v>
      </c>
      <c r="B1761">
        <v>0</v>
      </c>
      <c r="C1761">
        <v>508</v>
      </c>
    </row>
    <row r="1762" spans="1:3" x14ac:dyDescent="0.25">
      <c r="A1762">
        <v>14</v>
      </c>
      <c r="B1762">
        <v>0</v>
      </c>
      <c r="C1762">
        <v>508</v>
      </c>
    </row>
    <row r="1763" spans="1:3" x14ac:dyDescent="0.25">
      <c r="A1763">
        <v>18</v>
      </c>
      <c r="B1763">
        <v>0</v>
      </c>
      <c r="C1763">
        <v>508</v>
      </c>
    </row>
    <row r="1764" spans="1:3" x14ac:dyDescent="0.25">
      <c r="A1764">
        <v>17</v>
      </c>
      <c r="B1764">
        <v>0</v>
      </c>
      <c r="C1764">
        <v>508</v>
      </c>
    </row>
    <row r="1765" spans="1:3" x14ac:dyDescent="0.25">
      <c r="A1765">
        <v>18</v>
      </c>
      <c r="B1765">
        <v>0</v>
      </c>
      <c r="C1765">
        <v>511</v>
      </c>
    </row>
    <row r="1766" spans="1:3" x14ac:dyDescent="0.25">
      <c r="A1766">
        <v>17</v>
      </c>
      <c r="B1766">
        <v>0</v>
      </c>
      <c r="C1766">
        <v>511</v>
      </c>
    </row>
    <row r="1767" spans="1:3" x14ac:dyDescent="0.25">
      <c r="A1767">
        <v>18</v>
      </c>
      <c r="B1767">
        <v>0</v>
      </c>
      <c r="C1767">
        <v>511</v>
      </c>
    </row>
    <row r="1768" spans="1:3" x14ac:dyDescent="0.25">
      <c r="A1768">
        <v>14</v>
      </c>
      <c r="B1768">
        <v>0</v>
      </c>
      <c r="C1768">
        <v>511</v>
      </c>
    </row>
    <row r="1769" spans="1:3" x14ac:dyDescent="0.25">
      <c r="A1769">
        <v>13</v>
      </c>
      <c r="B1769">
        <v>0</v>
      </c>
      <c r="C1769">
        <v>511</v>
      </c>
    </row>
    <row r="1770" spans="1:3" x14ac:dyDescent="0.25">
      <c r="A1770">
        <v>14</v>
      </c>
      <c r="B1770">
        <v>0</v>
      </c>
      <c r="C1770">
        <v>511</v>
      </c>
    </row>
    <row r="1771" spans="1:3" x14ac:dyDescent="0.25">
      <c r="A1771">
        <v>17</v>
      </c>
      <c r="B1771">
        <v>0</v>
      </c>
      <c r="C1771">
        <v>511</v>
      </c>
    </row>
    <row r="1772" spans="1:3" x14ac:dyDescent="0.25">
      <c r="A1772">
        <v>20</v>
      </c>
      <c r="B1772">
        <v>0</v>
      </c>
      <c r="C1772">
        <v>511</v>
      </c>
    </row>
    <row r="1773" spans="1:3" x14ac:dyDescent="0.25">
      <c r="A1773">
        <v>22</v>
      </c>
      <c r="B1773">
        <v>0</v>
      </c>
      <c r="C1773">
        <v>511</v>
      </c>
    </row>
    <row r="1774" spans="1:3" x14ac:dyDescent="0.25">
      <c r="A1774">
        <v>19</v>
      </c>
      <c r="B1774">
        <v>0</v>
      </c>
      <c r="C1774">
        <v>450</v>
      </c>
    </row>
    <row r="1775" spans="1:3" x14ac:dyDescent="0.25">
      <c r="A1775">
        <v>15</v>
      </c>
      <c r="B1775">
        <v>0</v>
      </c>
      <c r="C1775">
        <v>450</v>
      </c>
    </row>
    <row r="1776" spans="1:3" x14ac:dyDescent="0.25">
      <c r="A1776">
        <v>18</v>
      </c>
      <c r="B1776">
        <v>0</v>
      </c>
      <c r="C1776">
        <v>450</v>
      </c>
    </row>
    <row r="1777" spans="1:3" x14ac:dyDescent="0.25">
      <c r="A1777">
        <v>15</v>
      </c>
      <c r="B1777">
        <v>0</v>
      </c>
      <c r="C1777">
        <v>450</v>
      </c>
    </row>
    <row r="1778" spans="1:3" x14ac:dyDescent="0.25">
      <c r="A1778">
        <v>17</v>
      </c>
      <c r="B1778">
        <v>0</v>
      </c>
      <c r="C1778">
        <v>450</v>
      </c>
    </row>
    <row r="1779" spans="1:3" x14ac:dyDescent="0.25">
      <c r="A1779">
        <v>13</v>
      </c>
      <c r="B1779">
        <v>0</v>
      </c>
      <c r="C1779">
        <v>450</v>
      </c>
    </row>
    <row r="1780" spans="1:3" x14ac:dyDescent="0.25">
      <c r="A1780">
        <v>18</v>
      </c>
      <c r="B1780">
        <v>0</v>
      </c>
      <c r="C1780">
        <v>450</v>
      </c>
    </row>
    <row r="1781" spans="1:3" x14ac:dyDescent="0.25">
      <c r="A1781">
        <v>15</v>
      </c>
      <c r="B1781">
        <v>0</v>
      </c>
      <c r="C1781">
        <v>450</v>
      </c>
    </row>
    <row r="1782" spans="1:3" x14ac:dyDescent="0.25">
      <c r="A1782">
        <v>16</v>
      </c>
      <c r="B1782">
        <v>0</v>
      </c>
      <c r="C1782">
        <v>495</v>
      </c>
    </row>
    <row r="1783" spans="1:3" x14ac:dyDescent="0.25">
      <c r="A1783">
        <v>14</v>
      </c>
      <c r="B1783">
        <v>0</v>
      </c>
      <c r="C1783">
        <v>495</v>
      </c>
    </row>
    <row r="1784" spans="1:3" x14ac:dyDescent="0.25">
      <c r="A1784">
        <v>16</v>
      </c>
      <c r="B1784">
        <v>0</v>
      </c>
      <c r="C1784">
        <v>495</v>
      </c>
    </row>
    <row r="1785" spans="1:3" x14ac:dyDescent="0.25">
      <c r="A1785">
        <v>16</v>
      </c>
      <c r="B1785">
        <v>0</v>
      </c>
      <c r="C1785">
        <v>495</v>
      </c>
    </row>
    <row r="1786" spans="1:3" x14ac:dyDescent="0.25">
      <c r="A1786">
        <v>18</v>
      </c>
      <c r="B1786">
        <v>0</v>
      </c>
      <c r="C1786">
        <v>495</v>
      </c>
    </row>
    <row r="1787" spans="1:3" x14ac:dyDescent="0.25">
      <c r="A1787">
        <v>15</v>
      </c>
      <c r="B1787">
        <v>0</v>
      </c>
      <c r="C1787">
        <v>495</v>
      </c>
    </row>
    <row r="1788" spans="1:3" x14ac:dyDescent="0.25">
      <c r="A1788">
        <v>20</v>
      </c>
      <c r="B1788">
        <v>0</v>
      </c>
      <c r="C1788">
        <v>495</v>
      </c>
    </row>
    <row r="1789" spans="1:3" x14ac:dyDescent="0.25">
      <c r="A1789">
        <v>20</v>
      </c>
      <c r="B1789">
        <v>0</v>
      </c>
      <c r="C1789">
        <v>495</v>
      </c>
    </row>
    <row r="1790" spans="1:3" x14ac:dyDescent="0.25">
      <c r="A1790">
        <v>17</v>
      </c>
      <c r="B1790">
        <v>0</v>
      </c>
      <c r="C1790">
        <v>495</v>
      </c>
    </row>
    <row r="1791" spans="1:3" x14ac:dyDescent="0.25">
      <c r="A1791">
        <v>15</v>
      </c>
      <c r="B1791">
        <v>0</v>
      </c>
      <c r="C1791">
        <v>439</v>
      </c>
    </row>
    <row r="1792" spans="1:3" x14ac:dyDescent="0.25">
      <c r="A1792">
        <v>15</v>
      </c>
      <c r="B1792">
        <v>0</v>
      </c>
      <c r="C1792">
        <v>439</v>
      </c>
    </row>
    <row r="1793" spans="1:3" x14ac:dyDescent="0.25">
      <c r="A1793">
        <v>18</v>
      </c>
      <c r="B1793">
        <v>0</v>
      </c>
      <c r="C1793">
        <v>439</v>
      </c>
    </row>
    <row r="1794" spans="1:3" x14ac:dyDescent="0.25">
      <c r="A1794">
        <v>14</v>
      </c>
      <c r="B1794">
        <v>0</v>
      </c>
      <c r="C1794">
        <v>439</v>
      </c>
    </row>
    <row r="1795" spans="1:3" x14ac:dyDescent="0.25">
      <c r="A1795">
        <v>19</v>
      </c>
      <c r="B1795">
        <v>0</v>
      </c>
      <c r="C1795">
        <v>439</v>
      </c>
    </row>
    <row r="1796" spans="1:3" x14ac:dyDescent="0.25">
      <c r="A1796">
        <v>19</v>
      </c>
      <c r="B1796">
        <v>0</v>
      </c>
      <c r="C1796">
        <v>439</v>
      </c>
    </row>
    <row r="1797" spans="1:3" x14ac:dyDescent="0.25">
      <c r="A1797">
        <v>17</v>
      </c>
      <c r="B1797">
        <v>0</v>
      </c>
      <c r="C1797">
        <v>439</v>
      </c>
    </row>
    <row r="1798" spans="1:3" x14ac:dyDescent="0.25">
      <c r="A1798">
        <v>12</v>
      </c>
      <c r="B1798">
        <v>0</v>
      </c>
      <c r="C1798">
        <v>507</v>
      </c>
    </row>
    <row r="1799" spans="1:3" x14ac:dyDescent="0.25">
      <c r="A1799">
        <v>16</v>
      </c>
      <c r="B1799">
        <v>0</v>
      </c>
      <c r="C1799">
        <v>507</v>
      </c>
    </row>
    <row r="1800" spans="1:3" x14ac:dyDescent="0.25">
      <c r="A1800">
        <v>14</v>
      </c>
      <c r="B1800">
        <v>0</v>
      </c>
      <c r="C1800">
        <v>507</v>
      </c>
    </row>
    <row r="1801" spans="1:3" x14ac:dyDescent="0.25">
      <c r="A1801">
        <v>16</v>
      </c>
      <c r="B1801">
        <v>0</v>
      </c>
      <c r="C1801">
        <v>507</v>
      </c>
    </row>
    <row r="1802" spans="1:3" x14ac:dyDescent="0.25">
      <c r="A1802">
        <v>18</v>
      </c>
      <c r="B1802">
        <v>0</v>
      </c>
      <c r="C1802">
        <v>507</v>
      </c>
    </row>
    <row r="1803" spans="1:3" x14ac:dyDescent="0.25">
      <c r="A1803">
        <v>19</v>
      </c>
      <c r="B1803">
        <v>0</v>
      </c>
      <c r="C1803">
        <v>507</v>
      </c>
    </row>
    <row r="1804" spans="1:3" x14ac:dyDescent="0.25">
      <c r="A1804">
        <v>13</v>
      </c>
      <c r="B1804">
        <v>0</v>
      </c>
      <c r="C1804">
        <v>507</v>
      </c>
    </row>
    <row r="1805" spans="1:3" x14ac:dyDescent="0.25">
      <c r="A1805">
        <v>19</v>
      </c>
      <c r="B1805">
        <v>0</v>
      </c>
      <c r="C1805">
        <v>507</v>
      </c>
    </row>
    <row r="1806" spans="1:3" x14ac:dyDescent="0.25">
      <c r="A1806">
        <v>16</v>
      </c>
      <c r="B1806">
        <v>0</v>
      </c>
      <c r="C1806">
        <v>507</v>
      </c>
    </row>
    <row r="1807" spans="1:3" x14ac:dyDescent="0.25">
      <c r="A1807">
        <v>15</v>
      </c>
      <c r="B1807">
        <v>0</v>
      </c>
      <c r="C1807">
        <v>493</v>
      </c>
    </row>
    <row r="1808" spans="1:3" x14ac:dyDescent="0.25">
      <c r="A1808">
        <v>15</v>
      </c>
      <c r="B1808">
        <v>0</v>
      </c>
      <c r="C1808">
        <v>493</v>
      </c>
    </row>
    <row r="1809" spans="1:3" x14ac:dyDescent="0.25">
      <c r="A1809">
        <v>14</v>
      </c>
      <c r="B1809">
        <v>0</v>
      </c>
      <c r="C1809">
        <v>493</v>
      </c>
    </row>
    <row r="1810" spans="1:3" x14ac:dyDescent="0.25">
      <c r="A1810">
        <v>16</v>
      </c>
      <c r="B1810">
        <v>0</v>
      </c>
      <c r="C1810">
        <v>493</v>
      </c>
    </row>
    <row r="1811" spans="1:3" x14ac:dyDescent="0.25">
      <c r="A1811">
        <v>22</v>
      </c>
      <c r="B1811">
        <v>0</v>
      </c>
      <c r="C1811">
        <v>493</v>
      </c>
    </row>
    <row r="1812" spans="1:3" x14ac:dyDescent="0.25">
      <c r="A1812">
        <v>18</v>
      </c>
      <c r="B1812">
        <v>0</v>
      </c>
      <c r="C1812">
        <v>493</v>
      </c>
    </row>
    <row r="1813" spans="1:3" x14ac:dyDescent="0.25">
      <c r="A1813">
        <v>13</v>
      </c>
      <c r="B1813">
        <v>0</v>
      </c>
      <c r="C1813">
        <v>493</v>
      </c>
    </row>
    <row r="1814" spans="1:3" x14ac:dyDescent="0.25">
      <c r="A1814">
        <v>12</v>
      </c>
      <c r="B1814">
        <v>0</v>
      </c>
      <c r="C1814">
        <v>493</v>
      </c>
    </row>
    <row r="1815" spans="1:3" x14ac:dyDescent="0.25">
      <c r="A1815">
        <v>13</v>
      </c>
      <c r="B1815">
        <v>0</v>
      </c>
      <c r="C1815">
        <v>493</v>
      </c>
    </row>
    <row r="1816" spans="1:3" x14ac:dyDescent="0.25">
      <c r="A1816">
        <v>14</v>
      </c>
      <c r="B1816">
        <v>0</v>
      </c>
      <c r="C1816">
        <v>470</v>
      </c>
    </row>
    <row r="1817" spans="1:3" x14ac:dyDescent="0.25">
      <c r="A1817">
        <v>17</v>
      </c>
      <c r="B1817">
        <v>0</v>
      </c>
      <c r="C1817">
        <v>470</v>
      </c>
    </row>
    <row r="1818" spans="1:3" x14ac:dyDescent="0.25">
      <c r="A1818">
        <v>17</v>
      </c>
      <c r="B1818">
        <v>0</v>
      </c>
      <c r="C1818">
        <v>470</v>
      </c>
    </row>
    <row r="1819" spans="1:3" x14ac:dyDescent="0.25">
      <c r="A1819">
        <v>19</v>
      </c>
      <c r="B1819">
        <v>0</v>
      </c>
      <c r="C1819">
        <v>470</v>
      </c>
    </row>
    <row r="1820" spans="1:3" x14ac:dyDescent="0.25">
      <c r="A1820">
        <v>21</v>
      </c>
      <c r="B1820">
        <v>0</v>
      </c>
      <c r="C1820">
        <v>470</v>
      </c>
    </row>
    <row r="1821" spans="1:3" x14ac:dyDescent="0.25">
      <c r="A1821">
        <v>14</v>
      </c>
      <c r="B1821">
        <v>0</v>
      </c>
      <c r="C1821">
        <v>470</v>
      </c>
    </row>
    <row r="1822" spans="1:3" x14ac:dyDescent="0.25">
      <c r="A1822">
        <v>14</v>
      </c>
      <c r="B1822">
        <v>0</v>
      </c>
      <c r="C1822">
        <v>470</v>
      </c>
    </row>
    <row r="1823" spans="1:3" x14ac:dyDescent="0.25">
      <c r="A1823">
        <v>16</v>
      </c>
      <c r="B1823">
        <v>0</v>
      </c>
      <c r="C1823">
        <v>470</v>
      </c>
    </row>
    <row r="1824" spans="1:3" x14ac:dyDescent="0.25">
      <c r="A1824">
        <v>16</v>
      </c>
      <c r="B1824">
        <v>0</v>
      </c>
      <c r="C1824">
        <v>470</v>
      </c>
    </row>
    <row r="1825" spans="1:3" x14ac:dyDescent="0.25">
      <c r="A1825">
        <v>14</v>
      </c>
      <c r="B1825">
        <v>0</v>
      </c>
      <c r="C1825">
        <v>535</v>
      </c>
    </row>
    <row r="1826" spans="1:3" x14ac:dyDescent="0.25">
      <c r="A1826">
        <v>17</v>
      </c>
      <c r="B1826">
        <v>0</v>
      </c>
      <c r="C1826">
        <v>535</v>
      </c>
    </row>
    <row r="1827" spans="1:3" x14ac:dyDescent="0.25">
      <c r="A1827">
        <v>24</v>
      </c>
      <c r="B1827">
        <v>0</v>
      </c>
      <c r="C1827">
        <v>535</v>
      </c>
    </row>
    <row r="1828" spans="1:3" x14ac:dyDescent="0.25">
      <c r="A1828">
        <v>17</v>
      </c>
      <c r="B1828">
        <v>0</v>
      </c>
      <c r="C1828">
        <v>535</v>
      </c>
    </row>
    <row r="1829" spans="1:3" x14ac:dyDescent="0.25">
      <c r="A1829">
        <v>16</v>
      </c>
      <c r="B1829">
        <v>0</v>
      </c>
      <c r="C1829">
        <v>535</v>
      </c>
    </row>
    <row r="1830" spans="1:3" x14ac:dyDescent="0.25">
      <c r="A1830">
        <v>16</v>
      </c>
      <c r="B1830">
        <v>0</v>
      </c>
      <c r="C1830">
        <v>535</v>
      </c>
    </row>
    <row r="1831" spans="1:3" x14ac:dyDescent="0.25">
      <c r="A1831">
        <v>15</v>
      </c>
      <c r="B1831">
        <v>0</v>
      </c>
      <c r="C1831">
        <v>535</v>
      </c>
    </row>
    <row r="1832" spans="1:3" x14ac:dyDescent="0.25">
      <c r="A1832">
        <v>16</v>
      </c>
      <c r="B1832">
        <v>0</v>
      </c>
      <c r="C1832">
        <v>535</v>
      </c>
    </row>
    <row r="1833" spans="1:3" x14ac:dyDescent="0.25">
      <c r="A1833">
        <v>15</v>
      </c>
      <c r="B1833">
        <v>0</v>
      </c>
      <c r="C1833">
        <v>485</v>
      </c>
    </row>
    <row r="1834" spans="1:3" x14ac:dyDescent="0.25">
      <c r="A1834">
        <v>17</v>
      </c>
      <c r="B1834">
        <v>0</v>
      </c>
      <c r="C1834">
        <v>485</v>
      </c>
    </row>
    <row r="1835" spans="1:3" x14ac:dyDescent="0.25">
      <c r="A1835">
        <v>22</v>
      </c>
      <c r="B1835">
        <v>0</v>
      </c>
      <c r="C1835">
        <v>485</v>
      </c>
    </row>
    <row r="1836" spans="1:3" x14ac:dyDescent="0.25">
      <c r="A1836">
        <v>21</v>
      </c>
      <c r="B1836">
        <v>0</v>
      </c>
      <c r="C1836">
        <v>485</v>
      </c>
    </row>
    <row r="1837" spans="1:3" x14ac:dyDescent="0.25">
      <c r="A1837">
        <v>15</v>
      </c>
      <c r="B1837">
        <v>0</v>
      </c>
      <c r="C1837">
        <v>485</v>
      </c>
    </row>
    <row r="1838" spans="1:3" x14ac:dyDescent="0.25">
      <c r="A1838">
        <v>15</v>
      </c>
      <c r="B1838">
        <v>0</v>
      </c>
      <c r="C1838">
        <v>485</v>
      </c>
    </row>
    <row r="1839" spans="1:3" x14ac:dyDescent="0.25">
      <c r="A1839">
        <v>17</v>
      </c>
      <c r="B1839">
        <v>0</v>
      </c>
      <c r="C1839">
        <v>485</v>
      </c>
    </row>
    <row r="1840" spans="1:3" x14ac:dyDescent="0.25">
      <c r="A1840">
        <v>15</v>
      </c>
      <c r="B1840">
        <v>0</v>
      </c>
      <c r="C1840">
        <v>485</v>
      </c>
    </row>
    <row r="1841" spans="1:3" x14ac:dyDescent="0.25">
      <c r="A1841">
        <v>13</v>
      </c>
      <c r="B1841">
        <v>0</v>
      </c>
      <c r="C1841">
        <v>485</v>
      </c>
    </row>
    <row r="1842" spans="1:3" x14ac:dyDescent="0.25">
      <c r="A1842">
        <v>17</v>
      </c>
      <c r="B1842">
        <v>0</v>
      </c>
      <c r="C1842">
        <v>481</v>
      </c>
    </row>
    <row r="1843" spans="1:3" x14ac:dyDescent="0.25">
      <c r="A1843">
        <v>20</v>
      </c>
      <c r="B1843">
        <v>0</v>
      </c>
      <c r="C1843">
        <v>481</v>
      </c>
    </row>
    <row r="1844" spans="1:3" x14ac:dyDescent="0.25">
      <c r="A1844">
        <v>17</v>
      </c>
      <c r="B1844">
        <v>0</v>
      </c>
      <c r="C1844">
        <v>481</v>
      </c>
    </row>
    <row r="1845" spans="1:3" x14ac:dyDescent="0.25">
      <c r="A1845">
        <v>13</v>
      </c>
      <c r="B1845">
        <v>0</v>
      </c>
      <c r="C1845">
        <v>481</v>
      </c>
    </row>
    <row r="1846" spans="1:3" x14ac:dyDescent="0.25">
      <c r="A1846">
        <v>17</v>
      </c>
      <c r="B1846">
        <v>0</v>
      </c>
      <c r="C1846">
        <v>481</v>
      </c>
    </row>
    <row r="1847" spans="1:3" x14ac:dyDescent="0.25">
      <c r="A1847">
        <v>17</v>
      </c>
      <c r="B1847">
        <v>0</v>
      </c>
      <c r="C1847">
        <v>481</v>
      </c>
    </row>
    <row r="1848" spans="1:3" x14ac:dyDescent="0.25">
      <c r="A1848">
        <v>14</v>
      </c>
      <c r="B1848">
        <v>0</v>
      </c>
      <c r="C1848">
        <v>481</v>
      </c>
    </row>
    <row r="1849" spans="1:3" x14ac:dyDescent="0.25">
      <c r="A1849">
        <v>16</v>
      </c>
      <c r="B1849">
        <v>0</v>
      </c>
      <c r="C1849">
        <v>481</v>
      </c>
    </row>
    <row r="1850" spans="1:3" x14ac:dyDescent="0.25">
      <c r="A1850">
        <v>19</v>
      </c>
      <c r="B1850">
        <v>0</v>
      </c>
      <c r="C1850">
        <v>481</v>
      </c>
    </row>
    <row r="1851" spans="1:3" x14ac:dyDescent="0.25">
      <c r="A1851">
        <v>18</v>
      </c>
      <c r="B1851">
        <v>0</v>
      </c>
      <c r="C1851">
        <v>495</v>
      </c>
    </row>
    <row r="1852" spans="1:3" x14ac:dyDescent="0.25">
      <c r="A1852">
        <v>19</v>
      </c>
      <c r="B1852">
        <v>0</v>
      </c>
      <c r="C1852">
        <v>495</v>
      </c>
    </row>
    <row r="1853" spans="1:3" x14ac:dyDescent="0.25">
      <c r="A1853">
        <v>18</v>
      </c>
      <c r="B1853">
        <v>0</v>
      </c>
      <c r="C1853">
        <v>495</v>
      </c>
    </row>
    <row r="1854" spans="1:3" x14ac:dyDescent="0.25">
      <c r="A1854">
        <v>19</v>
      </c>
      <c r="B1854">
        <v>0</v>
      </c>
      <c r="C1854">
        <v>495</v>
      </c>
    </row>
    <row r="1855" spans="1:3" x14ac:dyDescent="0.25">
      <c r="A1855">
        <v>16</v>
      </c>
      <c r="B1855">
        <v>0</v>
      </c>
      <c r="C1855">
        <v>495</v>
      </c>
    </row>
    <row r="1856" spans="1:3" x14ac:dyDescent="0.25">
      <c r="A1856">
        <v>16</v>
      </c>
      <c r="B1856">
        <v>0</v>
      </c>
      <c r="C1856">
        <v>495</v>
      </c>
    </row>
    <row r="1857" spans="1:3" x14ac:dyDescent="0.25">
      <c r="A1857">
        <v>15</v>
      </c>
      <c r="B1857">
        <v>0</v>
      </c>
      <c r="C1857">
        <v>495</v>
      </c>
    </row>
    <row r="1858" spans="1:3" x14ac:dyDescent="0.25">
      <c r="A1858">
        <v>14</v>
      </c>
      <c r="B1858">
        <v>0</v>
      </c>
      <c r="C1858">
        <v>495</v>
      </c>
    </row>
    <row r="1859" spans="1:3" x14ac:dyDescent="0.25">
      <c r="A1859">
        <v>21</v>
      </c>
      <c r="B1859">
        <v>0</v>
      </c>
      <c r="C1859">
        <v>495</v>
      </c>
    </row>
    <row r="1860" spans="1:3" x14ac:dyDescent="0.25">
      <c r="A1860">
        <v>19</v>
      </c>
      <c r="B1860">
        <v>0</v>
      </c>
      <c r="C1860">
        <v>521</v>
      </c>
    </row>
    <row r="1861" spans="1:3" x14ac:dyDescent="0.25">
      <c r="A1861">
        <v>19</v>
      </c>
      <c r="B1861">
        <v>0</v>
      </c>
      <c r="C1861">
        <v>521</v>
      </c>
    </row>
    <row r="1862" spans="1:3" x14ac:dyDescent="0.25">
      <c r="A1862">
        <v>18</v>
      </c>
      <c r="B1862">
        <v>0</v>
      </c>
      <c r="C1862">
        <v>521</v>
      </c>
    </row>
    <row r="1863" spans="1:3" x14ac:dyDescent="0.25">
      <c r="A1863">
        <v>18</v>
      </c>
      <c r="B1863">
        <v>0</v>
      </c>
      <c r="C1863">
        <v>521</v>
      </c>
    </row>
    <row r="1864" spans="1:3" x14ac:dyDescent="0.25">
      <c r="A1864">
        <v>17</v>
      </c>
      <c r="B1864">
        <v>0</v>
      </c>
      <c r="C1864">
        <v>521</v>
      </c>
    </row>
    <row r="1865" spans="1:3" x14ac:dyDescent="0.25">
      <c r="A1865">
        <v>16</v>
      </c>
      <c r="B1865">
        <v>0</v>
      </c>
      <c r="C1865">
        <v>521</v>
      </c>
    </row>
    <row r="1866" spans="1:3" x14ac:dyDescent="0.25">
      <c r="A1866">
        <v>14</v>
      </c>
      <c r="B1866">
        <v>0</v>
      </c>
      <c r="C1866">
        <v>521</v>
      </c>
    </row>
    <row r="1867" spans="1:3" x14ac:dyDescent="0.25">
      <c r="A1867">
        <v>17</v>
      </c>
      <c r="B1867">
        <v>0</v>
      </c>
      <c r="C1867">
        <v>521</v>
      </c>
    </row>
    <row r="1868" spans="1:3" x14ac:dyDescent="0.25">
      <c r="A1868">
        <v>22</v>
      </c>
      <c r="B1868">
        <v>0</v>
      </c>
      <c r="C1868">
        <v>521</v>
      </c>
    </row>
    <row r="1869" spans="1:3" x14ac:dyDescent="0.25">
      <c r="A1869">
        <v>17</v>
      </c>
      <c r="B1869">
        <v>0</v>
      </c>
      <c r="C1869">
        <v>522</v>
      </c>
    </row>
    <row r="1870" spans="1:3" x14ac:dyDescent="0.25">
      <c r="A1870">
        <v>17</v>
      </c>
      <c r="B1870">
        <v>0</v>
      </c>
      <c r="C1870">
        <v>522</v>
      </c>
    </row>
    <row r="1871" spans="1:3" x14ac:dyDescent="0.25">
      <c r="A1871">
        <v>20</v>
      </c>
      <c r="B1871">
        <v>0</v>
      </c>
      <c r="C1871">
        <v>522</v>
      </c>
    </row>
    <row r="1872" spans="1:3" x14ac:dyDescent="0.25">
      <c r="A1872">
        <v>14</v>
      </c>
      <c r="B1872">
        <v>0</v>
      </c>
      <c r="C1872">
        <v>522</v>
      </c>
    </row>
    <row r="1873" spans="1:3" x14ac:dyDescent="0.25">
      <c r="A1873">
        <v>13</v>
      </c>
      <c r="B1873">
        <v>0</v>
      </c>
      <c r="C1873">
        <v>522</v>
      </c>
    </row>
    <row r="1874" spans="1:3" x14ac:dyDescent="0.25">
      <c r="A1874">
        <v>14</v>
      </c>
      <c r="B1874">
        <v>0</v>
      </c>
      <c r="C1874">
        <v>522</v>
      </c>
    </row>
    <row r="1875" spans="1:3" x14ac:dyDescent="0.25">
      <c r="A1875">
        <v>16</v>
      </c>
      <c r="B1875">
        <v>0</v>
      </c>
      <c r="C1875">
        <v>522</v>
      </c>
    </row>
    <row r="1876" spans="1:3" x14ac:dyDescent="0.25">
      <c r="A1876">
        <v>20</v>
      </c>
      <c r="B1876">
        <v>0</v>
      </c>
      <c r="C1876">
        <v>522</v>
      </c>
    </row>
    <row r="1877" spans="1:3" x14ac:dyDescent="0.25">
      <c r="A1877">
        <v>18</v>
      </c>
      <c r="B1877">
        <v>0</v>
      </c>
      <c r="C1877">
        <v>522</v>
      </c>
    </row>
    <row r="1878" spans="1:3" x14ac:dyDescent="0.25">
      <c r="A1878">
        <v>16</v>
      </c>
      <c r="B1878">
        <v>0</v>
      </c>
      <c r="C1878">
        <v>530</v>
      </c>
    </row>
    <row r="1879" spans="1:3" x14ac:dyDescent="0.25">
      <c r="A1879">
        <v>18</v>
      </c>
      <c r="B1879">
        <v>0</v>
      </c>
      <c r="C1879">
        <v>530</v>
      </c>
    </row>
    <row r="1880" spans="1:3" x14ac:dyDescent="0.25">
      <c r="A1880">
        <v>18</v>
      </c>
      <c r="B1880">
        <v>0</v>
      </c>
      <c r="C1880">
        <v>530</v>
      </c>
    </row>
    <row r="1881" spans="1:3" x14ac:dyDescent="0.25">
      <c r="A1881">
        <v>19</v>
      </c>
      <c r="B1881">
        <v>0</v>
      </c>
      <c r="C1881">
        <v>530</v>
      </c>
    </row>
    <row r="1882" spans="1:3" x14ac:dyDescent="0.25">
      <c r="A1882">
        <v>18</v>
      </c>
      <c r="B1882">
        <v>0</v>
      </c>
      <c r="C1882">
        <v>530</v>
      </c>
    </row>
    <row r="1883" spans="1:3" x14ac:dyDescent="0.25">
      <c r="A1883">
        <v>17</v>
      </c>
      <c r="B1883">
        <v>0</v>
      </c>
      <c r="C1883">
        <v>530</v>
      </c>
    </row>
    <row r="1884" spans="1:3" x14ac:dyDescent="0.25">
      <c r="A1884">
        <v>17</v>
      </c>
      <c r="B1884">
        <v>0</v>
      </c>
      <c r="C1884">
        <v>530</v>
      </c>
    </row>
    <row r="1885" spans="1:3" x14ac:dyDescent="0.25">
      <c r="A1885">
        <v>15</v>
      </c>
      <c r="B1885">
        <v>0</v>
      </c>
      <c r="C1885">
        <v>530</v>
      </c>
    </row>
    <row r="1886" spans="1:3" x14ac:dyDescent="0.25">
      <c r="A1886">
        <v>18</v>
      </c>
      <c r="B1886">
        <v>0</v>
      </c>
      <c r="C1886">
        <v>530</v>
      </c>
    </row>
    <row r="1887" spans="1:3" x14ac:dyDescent="0.25">
      <c r="A1887">
        <v>17</v>
      </c>
      <c r="B1887">
        <v>0</v>
      </c>
      <c r="C1887">
        <v>506</v>
      </c>
    </row>
    <row r="1888" spans="1:3" x14ac:dyDescent="0.25">
      <c r="A1888">
        <v>14</v>
      </c>
      <c r="B1888">
        <v>0</v>
      </c>
      <c r="C1888">
        <v>506</v>
      </c>
    </row>
    <row r="1889" spans="1:3" x14ac:dyDescent="0.25">
      <c r="A1889">
        <v>13</v>
      </c>
      <c r="B1889">
        <v>0</v>
      </c>
      <c r="C1889">
        <v>506</v>
      </c>
    </row>
    <row r="1890" spans="1:3" x14ac:dyDescent="0.25">
      <c r="A1890">
        <v>13</v>
      </c>
      <c r="B1890">
        <v>0</v>
      </c>
      <c r="C1890">
        <v>506</v>
      </c>
    </row>
    <row r="1891" spans="1:3" x14ac:dyDescent="0.25">
      <c r="A1891">
        <v>17</v>
      </c>
      <c r="B1891">
        <v>0</v>
      </c>
      <c r="C1891">
        <v>506</v>
      </c>
    </row>
    <row r="1892" spans="1:3" x14ac:dyDescent="0.25">
      <c r="A1892">
        <v>22</v>
      </c>
      <c r="B1892">
        <v>0</v>
      </c>
      <c r="C1892">
        <v>506</v>
      </c>
    </row>
    <row r="1893" spans="1:3" x14ac:dyDescent="0.25">
      <c r="A1893">
        <v>16</v>
      </c>
      <c r="B1893">
        <v>0</v>
      </c>
      <c r="C1893">
        <v>506</v>
      </c>
    </row>
    <row r="1894" spans="1:3" x14ac:dyDescent="0.25">
      <c r="A1894">
        <v>14</v>
      </c>
      <c r="B1894">
        <v>0</v>
      </c>
      <c r="C1894">
        <v>506</v>
      </c>
    </row>
    <row r="1895" spans="1:3" x14ac:dyDescent="0.25">
      <c r="A1895">
        <v>17</v>
      </c>
      <c r="B1895">
        <v>0</v>
      </c>
      <c r="C1895">
        <v>506</v>
      </c>
    </row>
    <row r="1896" spans="1:3" x14ac:dyDescent="0.25">
      <c r="A1896">
        <v>14</v>
      </c>
      <c r="B1896">
        <v>0</v>
      </c>
      <c r="C1896">
        <v>467</v>
      </c>
    </row>
    <row r="1897" spans="1:3" x14ac:dyDescent="0.25">
      <c r="A1897">
        <v>17</v>
      </c>
      <c r="B1897">
        <v>0</v>
      </c>
      <c r="C1897">
        <v>467</v>
      </c>
    </row>
    <row r="1898" spans="1:3" x14ac:dyDescent="0.25">
      <c r="A1898">
        <v>17</v>
      </c>
      <c r="B1898">
        <v>0</v>
      </c>
      <c r="C1898">
        <v>467</v>
      </c>
    </row>
    <row r="1899" spans="1:3" x14ac:dyDescent="0.25">
      <c r="A1899">
        <v>17</v>
      </c>
      <c r="B1899">
        <v>0</v>
      </c>
      <c r="C1899">
        <v>467</v>
      </c>
    </row>
    <row r="1900" spans="1:3" x14ac:dyDescent="0.25">
      <c r="A1900">
        <v>21</v>
      </c>
      <c r="B1900">
        <v>0</v>
      </c>
      <c r="C1900">
        <v>467</v>
      </c>
    </row>
    <row r="1901" spans="1:3" x14ac:dyDescent="0.25">
      <c r="A1901">
        <v>19</v>
      </c>
      <c r="B1901">
        <v>0</v>
      </c>
      <c r="C1901">
        <v>467</v>
      </c>
    </row>
    <row r="1902" spans="1:3" x14ac:dyDescent="0.25">
      <c r="A1902">
        <v>15</v>
      </c>
      <c r="B1902">
        <v>0</v>
      </c>
      <c r="C1902">
        <v>467</v>
      </c>
    </row>
    <row r="1903" spans="1:3" x14ac:dyDescent="0.25">
      <c r="A1903">
        <v>17</v>
      </c>
      <c r="B1903">
        <v>0</v>
      </c>
      <c r="C1903">
        <v>467</v>
      </c>
    </row>
    <row r="1904" spans="1:3" x14ac:dyDescent="0.25">
      <c r="A1904">
        <v>15</v>
      </c>
      <c r="B1904">
        <v>0</v>
      </c>
      <c r="C1904">
        <v>467</v>
      </c>
    </row>
    <row r="1905" spans="1:3" x14ac:dyDescent="0.25">
      <c r="A1905">
        <v>13</v>
      </c>
      <c r="B1905">
        <v>0</v>
      </c>
      <c r="C1905">
        <v>504</v>
      </c>
    </row>
    <row r="1906" spans="1:3" x14ac:dyDescent="0.25">
      <c r="A1906">
        <v>18</v>
      </c>
      <c r="B1906">
        <v>0</v>
      </c>
      <c r="C1906">
        <v>504</v>
      </c>
    </row>
    <row r="1907" spans="1:3" x14ac:dyDescent="0.25">
      <c r="A1907">
        <v>14</v>
      </c>
      <c r="B1907">
        <v>0</v>
      </c>
      <c r="C1907">
        <v>504</v>
      </c>
    </row>
    <row r="1908" spans="1:3" x14ac:dyDescent="0.25">
      <c r="A1908">
        <v>17</v>
      </c>
      <c r="B1908">
        <v>0</v>
      </c>
      <c r="C1908">
        <v>504</v>
      </c>
    </row>
    <row r="1909" spans="1:3" x14ac:dyDescent="0.25">
      <c r="A1909">
        <v>17</v>
      </c>
      <c r="B1909">
        <v>0</v>
      </c>
      <c r="C1909">
        <v>504</v>
      </c>
    </row>
    <row r="1910" spans="1:3" x14ac:dyDescent="0.25">
      <c r="A1910">
        <v>15</v>
      </c>
      <c r="B1910">
        <v>0</v>
      </c>
      <c r="C1910">
        <v>504</v>
      </c>
    </row>
    <row r="1911" spans="1:3" x14ac:dyDescent="0.25">
      <c r="A1911">
        <v>16</v>
      </c>
      <c r="B1911">
        <v>0</v>
      </c>
      <c r="C1911">
        <v>504</v>
      </c>
    </row>
    <row r="1912" spans="1:3" x14ac:dyDescent="0.25">
      <c r="A1912">
        <v>18</v>
      </c>
      <c r="B1912">
        <v>0</v>
      </c>
      <c r="C1912">
        <v>504</v>
      </c>
    </row>
    <row r="1913" spans="1:3" x14ac:dyDescent="0.25">
      <c r="A1913">
        <v>15</v>
      </c>
      <c r="B1913">
        <v>0</v>
      </c>
      <c r="C1913">
        <v>549</v>
      </c>
    </row>
    <row r="1914" spans="1:3" x14ac:dyDescent="0.25">
      <c r="A1914">
        <v>15</v>
      </c>
      <c r="B1914">
        <v>0</v>
      </c>
      <c r="C1914">
        <v>549</v>
      </c>
    </row>
    <row r="1915" spans="1:3" x14ac:dyDescent="0.25">
      <c r="A1915">
        <v>14</v>
      </c>
      <c r="B1915">
        <v>0</v>
      </c>
      <c r="C1915">
        <v>549</v>
      </c>
    </row>
    <row r="1916" spans="1:3" x14ac:dyDescent="0.25">
      <c r="A1916">
        <v>16</v>
      </c>
      <c r="B1916">
        <v>0</v>
      </c>
      <c r="C1916">
        <v>549</v>
      </c>
    </row>
    <row r="1917" spans="1:3" x14ac:dyDescent="0.25">
      <c r="A1917">
        <v>18</v>
      </c>
      <c r="B1917">
        <v>0</v>
      </c>
      <c r="C1917">
        <v>549</v>
      </c>
    </row>
    <row r="1918" spans="1:3" x14ac:dyDescent="0.25">
      <c r="A1918">
        <v>15</v>
      </c>
      <c r="B1918">
        <v>0</v>
      </c>
      <c r="C1918">
        <v>549</v>
      </c>
    </row>
    <row r="1919" spans="1:3" x14ac:dyDescent="0.25">
      <c r="A1919">
        <v>15</v>
      </c>
      <c r="B1919">
        <v>0</v>
      </c>
      <c r="C1919">
        <v>549</v>
      </c>
    </row>
    <row r="1920" spans="1:3" x14ac:dyDescent="0.25">
      <c r="A1920">
        <v>16</v>
      </c>
      <c r="B1920">
        <v>0</v>
      </c>
      <c r="C1920">
        <v>549</v>
      </c>
    </row>
    <row r="1921" spans="1:3" x14ac:dyDescent="0.25">
      <c r="A1921">
        <v>15</v>
      </c>
      <c r="B1921">
        <v>0</v>
      </c>
      <c r="C1921">
        <v>549</v>
      </c>
    </row>
    <row r="1922" spans="1:3" x14ac:dyDescent="0.25">
      <c r="A1922">
        <v>14</v>
      </c>
      <c r="B1922">
        <v>0</v>
      </c>
      <c r="C1922">
        <v>498</v>
      </c>
    </row>
    <row r="1923" spans="1:3" x14ac:dyDescent="0.25">
      <c r="A1923">
        <v>17</v>
      </c>
      <c r="B1923">
        <v>0</v>
      </c>
      <c r="C1923">
        <v>498</v>
      </c>
    </row>
    <row r="1924" spans="1:3" x14ac:dyDescent="0.25">
      <c r="A1924">
        <v>21</v>
      </c>
      <c r="B1924">
        <v>0</v>
      </c>
      <c r="C1924">
        <v>498</v>
      </c>
    </row>
    <row r="1925" spans="1:3" x14ac:dyDescent="0.25">
      <c r="A1925">
        <v>18</v>
      </c>
      <c r="B1925">
        <v>0</v>
      </c>
      <c r="C1925">
        <v>498</v>
      </c>
    </row>
    <row r="1926" spans="1:3" x14ac:dyDescent="0.25">
      <c r="A1926">
        <v>16</v>
      </c>
      <c r="B1926">
        <v>0</v>
      </c>
      <c r="C1926">
        <v>498</v>
      </c>
    </row>
    <row r="1927" spans="1:3" x14ac:dyDescent="0.25">
      <c r="A1927">
        <v>18</v>
      </c>
      <c r="B1927">
        <v>0</v>
      </c>
      <c r="C1927">
        <v>498</v>
      </c>
    </row>
    <row r="1928" spans="1:3" x14ac:dyDescent="0.25">
      <c r="A1928">
        <v>17</v>
      </c>
      <c r="B1928">
        <v>0</v>
      </c>
      <c r="C1928">
        <v>498</v>
      </c>
    </row>
    <row r="1929" spans="1:3" x14ac:dyDescent="0.25">
      <c r="A1929">
        <v>14</v>
      </c>
      <c r="B1929">
        <v>0</v>
      </c>
      <c r="C1929">
        <v>498</v>
      </c>
    </row>
    <row r="1930" spans="1:3" x14ac:dyDescent="0.25">
      <c r="A1930">
        <v>19</v>
      </c>
      <c r="B1930">
        <v>0</v>
      </c>
      <c r="C1930">
        <v>496</v>
      </c>
    </row>
    <row r="1931" spans="1:3" x14ac:dyDescent="0.25">
      <c r="A1931">
        <v>17</v>
      </c>
      <c r="B1931">
        <v>0</v>
      </c>
      <c r="C1931">
        <v>496</v>
      </c>
    </row>
    <row r="1932" spans="1:3" x14ac:dyDescent="0.25">
      <c r="A1932">
        <v>20</v>
      </c>
      <c r="B1932">
        <v>0</v>
      </c>
      <c r="C1932">
        <v>496</v>
      </c>
    </row>
    <row r="1933" spans="1:3" x14ac:dyDescent="0.25">
      <c r="A1933">
        <v>18</v>
      </c>
      <c r="B1933">
        <v>0</v>
      </c>
      <c r="C1933">
        <v>496</v>
      </c>
    </row>
    <row r="1934" spans="1:3" x14ac:dyDescent="0.25">
      <c r="A1934">
        <v>14</v>
      </c>
      <c r="B1934">
        <v>0</v>
      </c>
      <c r="C1934">
        <v>496</v>
      </c>
    </row>
    <row r="1935" spans="1:3" x14ac:dyDescent="0.25">
      <c r="A1935">
        <v>14</v>
      </c>
      <c r="B1935">
        <v>0</v>
      </c>
      <c r="C1935">
        <v>496</v>
      </c>
    </row>
    <row r="1936" spans="1:3" x14ac:dyDescent="0.25">
      <c r="A1936">
        <v>20</v>
      </c>
      <c r="B1936">
        <v>0</v>
      </c>
      <c r="C1936">
        <v>496</v>
      </c>
    </row>
    <row r="1937" spans="1:3" x14ac:dyDescent="0.25">
      <c r="A1937">
        <v>14</v>
      </c>
      <c r="B1937">
        <v>0</v>
      </c>
      <c r="C1937">
        <v>496</v>
      </c>
    </row>
    <row r="1938" spans="1:3" x14ac:dyDescent="0.25">
      <c r="A1938">
        <v>18</v>
      </c>
      <c r="B1938">
        <v>0</v>
      </c>
      <c r="C1938">
        <v>503</v>
      </c>
    </row>
    <row r="1939" spans="1:3" x14ac:dyDescent="0.25">
      <c r="A1939">
        <v>16</v>
      </c>
      <c r="B1939">
        <v>0</v>
      </c>
      <c r="C1939">
        <v>503</v>
      </c>
    </row>
    <row r="1940" spans="1:3" x14ac:dyDescent="0.25">
      <c r="A1940">
        <v>20</v>
      </c>
      <c r="B1940">
        <v>0</v>
      </c>
      <c r="C1940">
        <v>503</v>
      </c>
    </row>
    <row r="1941" spans="1:3" x14ac:dyDescent="0.25">
      <c r="A1941">
        <v>18</v>
      </c>
      <c r="B1941">
        <v>0</v>
      </c>
      <c r="C1941">
        <v>503</v>
      </c>
    </row>
    <row r="1942" spans="1:3" x14ac:dyDescent="0.25">
      <c r="A1942">
        <v>16</v>
      </c>
      <c r="B1942">
        <v>0</v>
      </c>
      <c r="C1942">
        <v>503</v>
      </c>
    </row>
    <row r="1943" spans="1:3" x14ac:dyDescent="0.25">
      <c r="A1943">
        <v>18</v>
      </c>
      <c r="B1943">
        <v>0</v>
      </c>
      <c r="C1943">
        <v>503</v>
      </c>
    </row>
    <row r="1944" spans="1:3" x14ac:dyDescent="0.25">
      <c r="A1944">
        <v>16</v>
      </c>
      <c r="B1944">
        <v>0</v>
      </c>
      <c r="C1944">
        <v>503</v>
      </c>
    </row>
    <row r="1945" spans="1:3" x14ac:dyDescent="0.25">
      <c r="A1945">
        <v>17</v>
      </c>
      <c r="B1945">
        <v>0</v>
      </c>
      <c r="C1945">
        <v>503</v>
      </c>
    </row>
    <row r="1946" spans="1:3" x14ac:dyDescent="0.25">
      <c r="A1946">
        <v>16</v>
      </c>
      <c r="B1946">
        <v>0</v>
      </c>
      <c r="C1946">
        <v>503</v>
      </c>
    </row>
    <row r="1947" spans="1:3" x14ac:dyDescent="0.25">
      <c r="A1947">
        <v>18</v>
      </c>
      <c r="B1947">
        <v>0</v>
      </c>
      <c r="C1947">
        <v>514</v>
      </c>
    </row>
    <row r="1948" spans="1:3" x14ac:dyDescent="0.25">
      <c r="A1948">
        <v>19</v>
      </c>
      <c r="B1948">
        <v>0</v>
      </c>
      <c r="C1948">
        <v>514</v>
      </c>
    </row>
    <row r="1949" spans="1:3" x14ac:dyDescent="0.25">
      <c r="A1949">
        <v>17</v>
      </c>
      <c r="B1949">
        <v>0</v>
      </c>
      <c r="C1949">
        <v>514</v>
      </c>
    </row>
    <row r="1950" spans="1:3" x14ac:dyDescent="0.25">
      <c r="A1950">
        <v>14</v>
      </c>
      <c r="B1950">
        <v>0</v>
      </c>
      <c r="C1950">
        <v>514</v>
      </c>
    </row>
    <row r="1951" spans="1:3" x14ac:dyDescent="0.25">
      <c r="A1951">
        <v>17</v>
      </c>
      <c r="B1951">
        <v>0</v>
      </c>
      <c r="C1951">
        <v>514</v>
      </c>
    </row>
    <row r="1952" spans="1:3" x14ac:dyDescent="0.25">
      <c r="A1952">
        <v>14</v>
      </c>
      <c r="B1952">
        <v>0</v>
      </c>
      <c r="C1952">
        <v>514</v>
      </c>
    </row>
    <row r="1953" spans="1:3" x14ac:dyDescent="0.25">
      <c r="A1953">
        <v>13</v>
      </c>
      <c r="B1953">
        <v>0</v>
      </c>
      <c r="C1953">
        <v>514</v>
      </c>
    </row>
    <row r="1954" spans="1:3" x14ac:dyDescent="0.25">
      <c r="A1954">
        <v>15</v>
      </c>
      <c r="B1954">
        <v>0</v>
      </c>
      <c r="C1954">
        <v>514</v>
      </c>
    </row>
    <row r="1955" spans="1:3" x14ac:dyDescent="0.25">
      <c r="A1955">
        <v>21</v>
      </c>
      <c r="B1955">
        <v>0</v>
      </c>
      <c r="C1955">
        <v>452</v>
      </c>
    </row>
    <row r="1956" spans="1:3" x14ac:dyDescent="0.25">
      <c r="A1956">
        <v>19</v>
      </c>
      <c r="B1956">
        <v>0</v>
      </c>
      <c r="C1956">
        <v>452</v>
      </c>
    </row>
    <row r="1957" spans="1:3" x14ac:dyDescent="0.25">
      <c r="A1957">
        <v>17</v>
      </c>
      <c r="B1957">
        <v>0</v>
      </c>
      <c r="C1957">
        <v>452</v>
      </c>
    </row>
    <row r="1958" spans="1:3" x14ac:dyDescent="0.25">
      <c r="A1958">
        <v>14</v>
      </c>
      <c r="B1958">
        <v>0</v>
      </c>
      <c r="C1958">
        <v>452</v>
      </c>
    </row>
    <row r="1959" spans="1:3" x14ac:dyDescent="0.25">
      <c r="A1959">
        <v>16</v>
      </c>
      <c r="B1959">
        <v>0</v>
      </c>
      <c r="C1959">
        <v>452</v>
      </c>
    </row>
    <row r="1960" spans="1:3" x14ac:dyDescent="0.25">
      <c r="A1960">
        <v>19</v>
      </c>
      <c r="B1960">
        <v>0</v>
      </c>
      <c r="C1960">
        <v>452</v>
      </c>
    </row>
    <row r="1961" spans="1:3" x14ac:dyDescent="0.25">
      <c r="A1961">
        <v>16</v>
      </c>
      <c r="B1961">
        <v>0</v>
      </c>
      <c r="C1961">
        <v>452</v>
      </c>
    </row>
    <row r="1962" spans="1:3" x14ac:dyDescent="0.25">
      <c r="A1962">
        <v>16</v>
      </c>
      <c r="B1962">
        <v>0</v>
      </c>
      <c r="C1962">
        <v>452</v>
      </c>
    </row>
    <row r="1963" spans="1:3" x14ac:dyDescent="0.25">
      <c r="A1963">
        <v>19</v>
      </c>
      <c r="B1963">
        <v>0</v>
      </c>
      <c r="C1963">
        <v>452</v>
      </c>
    </row>
    <row r="1964" spans="1:3" x14ac:dyDescent="0.25">
      <c r="A1964">
        <v>21</v>
      </c>
      <c r="B1964">
        <v>0</v>
      </c>
      <c r="C1964">
        <v>469</v>
      </c>
    </row>
    <row r="1965" spans="1:3" x14ac:dyDescent="0.25">
      <c r="A1965">
        <v>19</v>
      </c>
      <c r="B1965">
        <v>0</v>
      </c>
      <c r="C1965">
        <v>469</v>
      </c>
    </row>
    <row r="1966" spans="1:3" x14ac:dyDescent="0.25">
      <c r="A1966">
        <v>17</v>
      </c>
      <c r="B1966">
        <v>0</v>
      </c>
      <c r="C1966">
        <v>469</v>
      </c>
    </row>
    <row r="1967" spans="1:3" x14ac:dyDescent="0.25">
      <c r="A1967">
        <v>15</v>
      </c>
      <c r="B1967">
        <v>0</v>
      </c>
      <c r="C1967">
        <v>469</v>
      </c>
    </row>
    <row r="1968" spans="1:3" x14ac:dyDescent="0.25">
      <c r="A1968">
        <v>14</v>
      </c>
      <c r="B1968">
        <v>0</v>
      </c>
      <c r="C1968">
        <v>469</v>
      </c>
    </row>
    <row r="1969" spans="1:3" x14ac:dyDescent="0.25">
      <c r="A1969">
        <v>14</v>
      </c>
      <c r="B1969">
        <v>0</v>
      </c>
      <c r="C1969">
        <v>469</v>
      </c>
    </row>
    <row r="1970" spans="1:3" x14ac:dyDescent="0.25">
      <c r="A1970">
        <v>14</v>
      </c>
      <c r="B1970">
        <v>0</v>
      </c>
      <c r="C1970">
        <v>469</v>
      </c>
    </row>
    <row r="1971" spans="1:3" x14ac:dyDescent="0.25">
      <c r="A1971">
        <v>17</v>
      </c>
      <c r="B1971">
        <v>0</v>
      </c>
      <c r="C1971">
        <v>469</v>
      </c>
    </row>
    <row r="1972" spans="1:3" x14ac:dyDescent="0.25">
      <c r="A1972">
        <v>17</v>
      </c>
      <c r="B1972">
        <v>0</v>
      </c>
      <c r="C1972">
        <v>469</v>
      </c>
    </row>
    <row r="1973" spans="1:3" x14ac:dyDescent="0.25">
      <c r="A1973">
        <v>17</v>
      </c>
      <c r="B1973">
        <v>0</v>
      </c>
      <c r="C1973">
        <v>479</v>
      </c>
    </row>
    <row r="1974" spans="1:3" x14ac:dyDescent="0.25">
      <c r="A1974">
        <v>15</v>
      </c>
      <c r="B1974">
        <v>0</v>
      </c>
      <c r="C1974">
        <v>479</v>
      </c>
    </row>
    <row r="1975" spans="1:3" x14ac:dyDescent="0.25">
      <c r="A1975">
        <v>18</v>
      </c>
      <c r="B1975">
        <v>0</v>
      </c>
      <c r="C1975">
        <v>479</v>
      </c>
    </row>
    <row r="1976" spans="1:3" x14ac:dyDescent="0.25">
      <c r="A1976">
        <v>15</v>
      </c>
      <c r="B1976">
        <v>0</v>
      </c>
      <c r="C1976">
        <v>479</v>
      </c>
    </row>
    <row r="1977" spans="1:3" x14ac:dyDescent="0.25">
      <c r="A1977">
        <v>21</v>
      </c>
      <c r="B1977">
        <v>0</v>
      </c>
      <c r="C1977">
        <v>479</v>
      </c>
    </row>
    <row r="1978" spans="1:3" x14ac:dyDescent="0.25">
      <c r="A1978">
        <v>13</v>
      </c>
      <c r="B1978">
        <v>0</v>
      </c>
      <c r="C1978">
        <v>479</v>
      </c>
    </row>
    <row r="1979" spans="1:3" x14ac:dyDescent="0.25">
      <c r="A1979">
        <v>13</v>
      </c>
      <c r="B1979">
        <v>0</v>
      </c>
      <c r="C1979">
        <v>479</v>
      </c>
    </row>
    <row r="1980" spans="1:3" x14ac:dyDescent="0.25">
      <c r="A1980">
        <v>20</v>
      </c>
      <c r="B1980">
        <v>0</v>
      </c>
      <c r="C1980">
        <v>479</v>
      </c>
    </row>
    <row r="1981" spans="1:3" x14ac:dyDescent="0.25">
      <c r="A1981">
        <v>15</v>
      </c>
      <c r="B1981">
        <v>0</v>
      </c>
      <c r="C1981">
        <v>479</v>
      </c>
    </row>
    <row r="1982" spans="1:3" x14ac:dyDescent="0.25">
      <c r="A1982">
        <v>17</v>
      </c>
      <c r="B1982">
        <v>0</v>
      </c>
      <c r="C1982">
        <v>452</v>
      </c>
    </row>
    <row r="1983" spans="1:3" x14ac:dyDescent="0.25">
      <c r="A1983">
        <v>17</v>
      </c>
      <c r="B1983">
        <v>0</v>
      </c>
      <c r="C1983">
        <v>452</v>
      </c>
    </row>
    <row r="1984" spans="1:3" x14ac:dyDescent="0.25">
      <c r="A1984">
        <v>17</v>
      </c>
      <c r="B1984">
        <v>0</v>
      </c>
      <c r="C1984">
        <v>452</v>
      </c>
    </row>
    <row r="1985" spans="1:3" x14ac:dyDescent="0.25">
      <c r="A1985">
        <v>15</v>
      </c>
      <c r="B1985">
        <v>0</v>
      </c>
      <c r="C1985">
        <v>452</v>
      </c>
    </row>
    <row r="1986" spans="1:3" x14ac:dyDescent="0.25">
      <c r="A1986">
        <v>19</v>
      </c>
      <c r="B1986">
        <v>0</v>
      </c>
      <c r="C1986">
        <v>452</v>
      </c>
    </row>
    <row r="1987" spans="1:3" x14ac:dyDescent="0.25">
      <c r="A1987">
        <v>16</v>
      </c>
      <c r="B1987">
        <v>0</v>
      </c>
      <c r="C1987">
        <v>452</v>
      </c>
    </row>
    <row r="1988" spans="1:3" x14ac:dyDescent="0.25">
      <c r="A1988">
        <v>16</v>
      </c>
      <c r="B1988">
        <v>0</v>
      </c>
      <c r="C1988">
        <v>452</v>
      </c>
    </row>
    <row r="1989" spans="1:3" x14ac:dyDescent="0.25">
      <c r="A1989">
        <v>17</v>
      </c>
      <c r="B1989">
        <v>0</v>
      </c>
      <c r="C1989">
        <v>452</v>
      </c>
    </row>
    <row r="1990" spans="1:3" x14ac:dyDescent="0.25">
      <c r="A1990">
        <v>16</v>
      </c>
      <c r="B1990">
        <v>0</v>
      </c>
      <c r="C1990">
        <v>452</v>
      </c>
    </row>
    <row r="1991" spans="1:3" x14ac:dyDescent="0.25">
      <c r="A1991">
        <v>17</v>
      </c>
      <c r="B1991">
        <v>0</v>
      </c>
      <c r="C1991">
        <v>506</v>
      </c>
    </row>
    <row r="1992" spans="1:3" x14ac:dyDescent="0.25">
      <c r="A1992">
        <v>17</v>
      </c>
      <c r="B1992">
        <v>0</v>
      </c>
      <c r="C1992">
        <v>506</v>
      </c>
    </row>
    <row r="1993" spans="1:3" x14ac:dyDescent="0.25">
      <c r="A1993">
        <v>14</v>
      </c>
      <c r="B1993">
        <v>0</v>
      </c>
      <c r="C1993">
        <v>506</v>
      </c>
    </row>
    <row r="1994" spans="1:3" x14ac:dyDescent="0.25">
      <c r="A1994">
        <v>12</v>
      </c>
      <c r="B1994">
        <v>0</v>
      </c>
      <c r="C1994">
        <v>506</v>
      </c>
    </row>
    <row r="1995" spans="1:3" x14ac:dyDescent="0.25">
      <c r="A1995">
        <v>15</v>
      </c>
      <c r="B1995">
        <v>0</v>
      </c>
      <c r="C1995">
        <v>506</v>
      </c>
    </row>
    <row r="1996" spans="1:3" x14ac:dyDescent="0.25">
      <c r="A1996">
        <v>19</v>
      </c>
      <c r="B1996">
        <v>0</v>
      </c>
      <c r="C1996">
        <v>506</v>
      </c>
    </row>
    <row r="1997" spans="1:3" x14ac:dyDescent="0.25">
      <c r="A1997">
        <v>18</v>
      </c>
      <c r="B1997">
        <v>0</v>
      </c>
      <c r="C1997">
        <v>506</v>
      </c>
    </row>
    <row r="1998" spans="1:3" x14ac:dyDescent="0.25">
      <c r="A1998">
        <v>18</v>
      </c>
      <c r="B1998">
        <v>0</v>
      </c>
      <c r="C1998">
        <v>506</v>
      </c>
    </row>
    <row r="1999" spans="1:3" x14ac:dyDescent="0.25">
      <c r="A1999">
        <v>15</v>
      </c>
      <c r="B1999">
        <v>0</v>
      </c>
      <c r="C1999">
        <v>506</v>
      </c>
    </row>
    <row r="2000" spans="1:3" x14ac:dyDescent="0.25">
      <c r="A2000">
        <v>13</v>
      </c>
      <c r="B2000">
        <v>0</v>
      </c>
      <c r="C2000">
        <v>470</v>
      </c>
    </row>
    <row r="2001" spans="1:3" x14ac:dyDescent="0.25">
      <c r="A2001">
        <v>14</v>
      </c>
      <c r="B2001">
        <v>0</v>
      </c>
      <c r="C2001">
        <v>470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H17"/>
  <sheetViews>
    <sheetView workbookViewId="0">
      <selection activeCell="H16" sqref="H16"/>
    </sheetView>
  </sheetViews>
  <sheetFormatPr baseColWidth="10" defaultRowHeight="15" x14ac:dyDescent="0.25"/>
  <cols>
    <col min="2" max="2" width="24" bestFit="1" customWidth="1"/>
    <col min="6" max="6" width="23.140625" bestFit="1" customWidth="1"/>
    <col min="7" max="7" width="21.7109375" bestFit="1" customWidth="1"/>
  </cols>
  <sheetData>
    <row r="1" spans="2:8" ht="15.75" thickBot="1" x14ac:dyDescent="0.3"/>
    <row r="2" spans="2:8" x14ac:dyDescent="0.25">
      <c r="B2" s="1" t="s">
        <v>4</v>
      </c>
      <c r="C2" s="2">
        <v>2</v>
      </c>
      <c r="E2" s="15" t="s">
        <v>8</v>
      </c>
      <c r="F2" s="13" t="s">
        <v>7</v>
      </c>
      <c r="G2" s="13" t="s">
        <v>9</v>
      </c>
      <c r="H2" s="14" t="s">
        <v>10</v>
      </c>
    </row>
    <row r="3" spans="2:8" x14ac:dyDescent="0.25">
      <c r="B3" s="3" t="s">
        <v>5</v>
      </c>
      <c r="C3" s="4">
        <v>80</v>
      </c>
      <c r="E3" s="11">
        <v>1</v>
      </c>
      <c r="F3" s="7">
        <v>31.175000000000001</v>
      </c>
      <c r="G3" s="7">
        <v>0</v>
      </c>
      <c r="H3" s="8">
        <v>0.41114999999999996</v>
      </c>
    </row>
    <row r="4" spans="2:8" ht="15.75" thickBot="1" x14ac:dyDescent="0.3">
      <c r="B4" s="5" t="s">
        <v>6</v>
      </c>
      <c r="C4" s="6">
        <v>100</v>
      </c>
      <c r="E4" s="11">
        <v>2</v>
      </c>
      <c r="F4" s="7">
        <v>16.212499999999999</v>
      </c>
      <c r="G4" s="7">
        <v>0</v>
      </c>
      <c r="H4" s="8">
        <v>0.34608749999999999</v>
      </c>
    </row>
    <row r="5" spans="2:8" x14ac:dyDescent="0.25">
      <c r="E5" s="11">
        <v>3</v>
      </c>
      <c r="F5" s="7">
        <v>16.9375</v>
      </c>
      <c r="G5" s="7">
        <v>0</v>
      </c>
      <c r="H5" s="8">
        <v>0.34517500000000001</v>
      </c>
    </row>
    <row r="6" spans="2:8" x14ac:dyDescent="0.25">
      <c r="E6" s="11">
        <v>4</v>
      </c>
      <c r="F6" s="7">
        <v>17.125</v>
      </c>
      <c r="G6" s="7">
        <v>0</v>
      </c>
      <c r="H6" s="8">
        <v>0.31868750000000001</v>
      </c>
    </row>
    <row r="7" spans="2:8" x14ac:dyDescent="0.25">
      <c r="E7" s="11">
        <v>5</v>
      </c>
      <c r="F7" s="7">
        <v>17.1875</v>
      </c>
      <c r="G7" s="7">
        <v>0</v>
      </c>
      <c r="H7" s="8">
        <v>0.33076250000000001</v>
      </c>
    </row>
    <row r="8" spans="2:8" x14ac:dyDescent="0.25">
      <c r="E8" s="11">
        <v>6</v>
      </c>
      <c r="F8" s="7">
        <v>15.574999999999999</v>
      </c>
      <c r="G8" s="7">
        <v>0</v>
      </c>
      <c r="H8" s="8">
        <v>0.3258125</v>
      </c>
    </row>
    <row r="9" spans="2:8" x14ac:dyDescent="0.25">
      <c r="E9" s="11">
        <v>7</v>
      </c>
      <c r="F9" s="7">
        <v>16.100000000000001</v>
      </c>
      <c r="G9" s="7">
        <v>0</v>
      </c>
      <c r="H9" s="8">
        <v>0.319575</v>
      </c>
    </row>
    <row r="10" spans="2:8" x14ac:dyDescent="0.25">
      <c r="E10" s="11">
        <v>8</v>
      </c>
      <c r="F10" s="7">
        <v>15.975</v>
      </c>
      <c r="G10" s="7">
        <v>0</v>
      </c>
      <c r="H10" s="8">
        <v>0.31277499999999997</v>
      </c>
    </row>
    <row r="11" spans="2:8" x14ac:dyDescent="0.25">
      <c r="E11" s="11">
        <v>9</v>
      </c>
      <c r="F11" s="7">
        <v>15.3</v>
      </c>
      <c r="G11" s="7">
        <v>0</v>
      </c>
      <c r="H11" s="8">
        <v>0.31310000000000004</v>
      </c>
    </row>
    <row r="12" spans="2:8" ht="15.75" thickBot="1" x14ac:dyDescent="0.3">
      <c r="E12" s="12">
        <v>10</v>
      </c>
      <c r="F12" s="9">
        <v>15</v>
      </c>
      <c r="G12" s="9">
        <v>0</v>
      </c>
      <c r="H12" s="10">
        <v>0.32785000000000003</v>
      </c>
    </row>
    <row r="14" spans="2:8" x14ac:dyDescent="0.25">
      <c r="E14" s="23" t="s">
        <v>11</v>
      </c>
      <c r="F14" s="24">
        <f>AVERAGE(Datos1.6!A4:A801)</f>
        <v>16.349624060150376</v>
      </c>
      <c r="G14" s="24">
        <f t="shared" ref="G14:H14" si="0">AVERAGE(G3:G12)</f>
        <v>0</v>
      </c>
      <c r="H14" s="24">
        <f t="shared" si="0"/>
        <v>0.33509749999999999</v>
      </c>
    </row>
    <row r="15" spans="2:8" x14ac:dyDescent="0.25">
      <c r="E15" t="s">
        <v>33</v>
      </c>
      <c r="F15">
        <f>_xlfn.VAR.S(Datos1.6!A4:A801)</f>
        <v>42.664309770662541</v>
      </c>
      <c r="G15">
        <f>_xlfn.VAR.S(Datos1.6!B4:B801)</f>
        <v>0</v>
      </c>
      <c r="H15">
        <f>_xlfn.VAR.S(Datos1.6!C4:C801)*0.00001</f>
        <v>4.9555243000852199E-2</v>
      </c>
    </row>
    <row r="16" spans="2:8" x14ac:dyDescent="0.25">
      <c r="E16" t="s">
        <v>34</v>
      </c>
      <c r="F16">
        <f>SQRT(F15)</f>
        <v>6.5317922326619167</v>
      </c>
      <c r="G16">
        <f t="shared" ref="G16:H16" si="1">SQRT(G15)</f>
        <v>0</v>
      </c>
      <c r="H16">
        <f t="shared" si="1"/>
        <v>0.2226100694057935</v>
      </c>
    </row>
    <row r="17" spans="5:8" x14ac:dyDescent="0.25">
      <c r="E17" t="s">
        <v>35</v>
      </c>
      <c r="F17">
        <f>MEDIAN(F2:F12)</f>
        <v>16.15625</v>
      </c>
      <c r="G17">
        <f t="shared" ref="G17:H17" si="2">MEDIAN(G2:G12)</f>
        <v>0</v>
      </c>
      <c r="H17">
        <f t="shared" si="2"/>
        <v>0.32683125000000002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801"/>
  <sheetViews>
    <sheetView topLeftCell="A764" workbookViewId="0">
      <selection activeCell="C1" sqref="C1"/>
    </sheetView>
  </sheetViews>
  <sheetFormatPr baseColWidth="10" defaultRowHeight="15" x14ac:dyDescent="0.25"/>
  <cols>
    <col min="1" max="3" width="10.710937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>
        <v>540</v>
      </c>
      <c r="B2">
        <v>0</v>
      </c>
      <c r="C2">
        <v>0</v>
      </c>
    </row>
    <row r="3" spans="1:3" x14ac:dyDescent="0.25">
      <c r="A3">
        <v>540</v>
      </c>
      <c r="B3">
        <v>0</v>
      </c>
      <c r="C3">
        <v>0</v>
      </c>
    </row>
    <row r="4" spans="1:3" x14ac:dyDescent="0.25">
      <c r="A4">
        <v>26</v>
      </c>
      <c r="B4">
        <v>0</v>
      </c>
      <c r="C4">
        <v>0</v>
      </c>
    </row>
    <row r="5" spans="1:3" x14ac:dyDescent="0.25">
      <c r="A5">
        <v>21</v>
      </c>
      <c r="B5">
        <v>0</v>
      </c>
      <c r="C5">
        <v>0</v>
      </c>
    </row>
    <row r="6" spans="1:3" x14ac:dyDescent="0.25">
      <c r="A6">
        <v>22</v>
      </c>
      <c r="B6">
        <v>0</v>
      </c>
      <c r="C6">
        <v>0</v>
      </c>
    </row>
    <row r="7" spans="1:3" x14ac:dyDescent="0.25">
      <c r="A7">
        <v>18</v>
      </c>
      <c r="B7">
        <v>0</v>
      </c>
      <c r="C7">
        <v>0</v>
      </c>
    </row>
    <row r="8" spans="1:3" x14ac:dyDescent="0.25">
      <c r="A8">
        <v>19</v>
      </c>
      <c r="B8">
        <v>0</v>
      </c>
      <c r="C8">
        <v>0</v>
      </c>
    </row>
    <row r="9" spans="1:3" x14ac:dyDescent="0.25">
      <c r="A9">
        <v>20</v>
      </c>
      <c r="B9">
        <v>0</v>
      </c>
      <c r="C9">
        <v>0</v>
      </c>
    </row>
    <row r="10" spans="1:3" x14ac:dyDescent="0.25">
      <c r="A10">
        <v>15</v>
      </c>
      <c r="B10">
        <v>0</v>
      </c>
      <c r="C10">
        <v>0</v>
      </c>
    </row>
    <row r="11" spans="1:3" x14ac:dyDescent="0.25">
      <c r="A11">
        <v>17</v>
      </c>
      <c r="B11">
        <v>0</v>
      </c>
      <c r="C11">
        <v>580</v>
      </c>
    </row>
    <row r="12" spans="1:3" x14ac:dyDescent="0.25">
      <c r="A12">
        <v>16</v>
      </c>
      <c r="B12">
        <v>0</v>
      </c>
      <c r="C12">
        <v>580</v>
      </c>
    </row>
    <row r="13" spans="1:3" x14ac:dyDescent="0.25">
      <c r="A13">
        <v>17</v>
      </c>
      <c r="B13">
        <v>0</v>
      </c>
      <c r="C13">
        <v>580</v>
      </c>
    </row>
    <row r="14" spans="1:3" x14ac:dyDescent="0.25">
      <c r="A14">
        <v>18</v>
      </c>
      <c r="B14">
        <v>0</v>
      </c>
      <c r="C14">
        <v>580</v>
      </c>
    </row>
    <row r="15" spans="1:3" x14ac:dyDescent="0.25">
      <c r="A15">
        <v>18</v>
      </c>
      <c r="B15">
        <v>0</v>
      </c>
      <c r="C15">
        <v>580</v>
      </c>
    </row>
    <row r="16" spans="1:3" x14ac:dyDescent="0.25">
      <c r="A16">
        <v>18</v>
      </c>
      <c r="B16">
        <v>0</v>
      </c>
      <c r="C16">
        <v>580</v>
      </c>
    </row>
    <row r="17" spans="1:3" x14ac:dyDescent="0.25">
      <c r="A17">
        <v>20</v>
      </c>
      <c r="B17">
        <v>0</v>
      </c>
      <c r="C17">
        <v>580</v>
      </c>
    </row>
    <row r="18" spans="1:3" x14ac:dyDescent="0.25">
      <c r="A18">
        <v>17</v>
      </c>
      <c r="B18">
        <v>0</v>
      </c>
      <c r="C18">
        <v>580</v>
      </c>
    </row>
    <row r="19" spans="1:3" x14ac:dyDescent="0.25">
      <c r="A19">
        <v>18</v>
      </c>
      <c r="B19">
        <v>0</v>
      </c>
      <c r="C19">
        <v>580</v>
      </c>
    </row>
    <row r="20" spans="1:3" x14ac:dyDescent="0.25">
      <c r="A20">
        <v>18</v>
      </c>
      <c r="B20">
        <v>0</v>
      </c>
      <c r="C20">
        <v>469</v>
      </c>
    </row>
    <row r="21" spans="1:3" x14ac:dyDescent="0.25">
      <c r="A21">
        <v>17</v>
      </c>
      <c r="B21">
        <v>0</v>
      </c>
      <c r="C21">
        <v>469</v>
      </c>
    </row>
    <row r="22" spans="1:3" x14ac:dyDescent="0.25">
      <c r="A22">
        <v>22</v>
      </c>
      <c r="B22">
        <v>0</v>
      </c>
      <c r="C22">
        <v>469</v>
      </c>
    </row>
    <row r="23" spans="1:3" x14ac:dyDescent="0.25">
      <c r="A23">
        <v>18</v>
      </c>
      <c r="B23">
        <v>0</v>
      </c>
      <c r="C23">
        <v>469</v>
      </c>
    </row>
    <row r="24" spans="1:3" x14ac:dyDescent="0.25">
      <c r="A24">
        <v>18</v>
      </c>
      <c r="B24">
        <v>0</v>
      </c>
      <c r="C24">
        <v>469</v>
      </c>
    </row>
    <row r="25" spans="1:3" x14ac:dyDescent="0.25">
      <c r="A25">
        <v>19</v>
      </c>
      <c r="B25">
        <v>0</v>
      </c>
      <c r="C25">
        <v>469</v>
      </c>
    </row>
    <row r="26" spans="1:3" x14ac:dyDescent="0.25">
      <c r="A26">
        <v>26</v>
      </c>
      <c r="B26">
        <v>0</v>
      </c>
      <c r="C26">
        <v>469</v>
      </c>
    </row>
    <row r="27" spans="1:3" x14ac:dyDescent="0.25">
      <c r="A27">
        <v>16</v>
      </c>
      <c r="B27">
        <v>0</v>
      </c>
      <c r="C27">
        <v>469</v>
      </c>
    </row>
    <row r="28" spans="1:3" x14ac:dyDescent="0.25">
      <c r="A28">
        <v>17</v>
      </c>
      <c r="B28">
        <v>0</v>
      </c>
      <c r="C28">
        <v>521</v>
      </c>
    </row>
    <row r="29" spans="1:3" x14ac:dyDescent="0.25">
      <c r="A29">
        <v>22</v>
      </c>
      <c r="B29">
        <v>0</v>
      </c>
      <c r="C29">
        <v>521</v>
      </c>
    </row>
    <row r="30" spans="1:3" x14ac:dyDescent="0.25">
      <c r="A30">
        <v>21</v>
      </c>
      <c r="B30">
        <v>0</v>
      </c>
      <c r="C30">
        <v>521</v>
      </c>
    </row>
    <row r="31" spans="1:3" x14ac:dyDescent="0.25">
      <c r="A31">
        <v>22</v>
      </c>
      <c r="B31">
        <v>0</v>
      </c>
      <c r="C31">
        <v>521</v>
      </c>
    </row>
    <row r="32" spans="1:3" x14ac:dyDescent="0.25">
      <c r="A32">
        <v>21</v>
      </c>
      <c r="B32">
        <v>0</v>
      </c>
      <c r="C32">
        <v>521</v>
      </c>
    </row>
    <row r="33" spans="1:3" x14ac:dyDescent="0.25">
      <c r="A33">
        <v>22</v>
      </c>
      <c r="B33">
        <v>0</v>
      </c>
      <c r="C33">
        <v>521</v>
      </c>
    </row>
    <row r="34" spans="1:3" x14ac:dyDescent="0.25">
      <c r="A34">
        <v>17</v>
      </c>
      <c r="B34">
        <v>0</v>
      </c>
      <c r="C34">
        <v>521</v>
      </c>
    </row>
    <row r="35" spans="1:3" x14ac:dyDescent="0.25">
      <c r="A35">
        <v>22</v>
      </c>
      <c r="B35">
        <v>0</v>
      </c>
      <c r="C35">
        <v>521</v>
      </c>
    </row>
    <row r="36" spans="1:3" x14ac:dyDescent="0.25">
      <c r="A36">
        <v>21</v>
      </c>
      <c r="B36">
        <v>0</v>
      </c>
      <c r="C36">
        <v>486</v>
      </c>
    </row>
    <row r="37" spans="1:3" x14ac:dyDescent="0.25">
      <c r="A37">
        <v>16</v>
      </c>
      <c r="B37">
        <v>0</v>
      </c>
      <c r="C37">
        <v>486</v>
      </c>
    </row>
    <row r="38" spans="1:3" x14ac:dyDescent="0.25">
      <c r="A38">
        <v>16</v>
      </c>
      <c r="B38">
        <v>0</v>
      </c>
      <c r="C38">
        <v>486</v>
      </c>
    </row>
    <row r="39" spans="1:3" x14ac:dyDescent="0.25">
      <c r="A39">
        <v>21</v>
      </c>
      <c r="B39">
        <v>0</v>
      </c>
      <c r="C39">
        <v>486</v>
      </c>
    </row>
    <row r="40" spans="1:3" x14ac:dyDescent="0.25">
      <c r="A40">
        <v>23</v>
      </c>
      <c r="B40">
        <v>0</v>
      </c>
      <c r="C40">
        <v>486</v>
      </c>
    </row>
    <row r="41" spans="1:3" x14ac:dyDescent="0.25">
      <c r="A41">
        <v>26</v>
      </c>
      <c r="B41">
        <v>0</v>
      </c>
      <c r="C41">
        <v>486</v>
      </c>
    </row>
    <row r="42" spans="1:3" x14ac:dyDescent="0.25">
      <c r="A42">
        <v>21</v>
      </c>
      <c r="B42">
        <v>0</v>
      </c>
      <c r="C42">
        <v>486</v>
      </c>
    </row>
    <row r="43" spans="1:3" x14ac:dyDescent="0.25">
      <c r="A43">
        <v>16</v>
      </c>
      <c r="B43">
        <v>0</v>
      </c>
      <c r="C43">
        <v>486</v>
      </c>
    </row>
    <row r="44" spans="1:3" x14ac:dyDescent="0.25">
      <c r="A44">
        <v>18</v>
      </c>
      <c r="B44">
        <v>0</v>
      </c>
      <c r="C44">
        <v>489</v>
      </c>
    </row>
    <row r="45" spans="1:3" x14ac:dyDescent="0.25">
      <c r="A45">
        <v>16</v>
      </c>
      <c r="B45">
        <v>0</v>
      </c>
      <c r="C45">
        <v>489</v>
      </c>
    </row>
    <row r="46" spans="1:3" x14ac:dyDescent="0.25">
      <c r="A46">
        <v>20</v>
      </c>
      <c r="B46">
        <v>0</v>
      </c>
      <c r="C46">
        <v>489</v>
      </c>
    </row>
    <row r="47" spans="1:3" x14ac:dyDescent="0.25">
      <c r="A47">
        <v>19</v>
      </c>
      <c r="B47">
        <v>0</v>
      </c>
      <c r="C47">
        <v>489</v>
      </c>
    </row>
    <row r="48" spans="1:3" x14ac:dyDescent="0.25">
      <c r="A48">
        <v>22</v>
      </c>
      <c r="B48">
        <v>0</v>
      </c>
      <c r="C48">
        <v>489</v>
      </c>
    </row>
    <row r="49" spans="1:3" x14ac:dyDescent="0.25">
      <c r="A49">
        <v>15</v>
      </c>
      <c r="B49">
        <v>0</v>
      </c>
      <c r="C49">
        <v>489</v>
      </c>
    </row>
    <row r="50" spans="1:3" x14ac:dyDescent="0.25">
      <c r="A50">
        <v>17</v>
      </c>
      <c r="B50">
        <v>0</v>
      </c>
      <c r="C50">
        <v>489</v>
      </c>
    </row>
    <row r="51" spans="1:3" x14ac:dyDescent="0.25">
      <c r="A51">
        <v>17</v>
      </c>
      <c r="B51">
        <v>0</v>
      </c>
      <c r="C51">
        <v>489</v>
      </c>
    </row>
    <row r="52" spans="1:3" x14ac:dyDescent="0.25">
      <c r="A52">
        <v>20</v>
      </c>
      <c r="B52">
        <v>0</v>
      </c>
      <c r="C52">
        <v>459</v>
      </c>
    </row>
    <row r="53" spans="1:3" x14ac:dyDescent="0.25">
      <c r="A53">
        <v>20</v>
      </c>
      <c r="B53">
        <v>0</v>
      </c>
      <c r="C53">
        <v>459</v>
      </c>
    </row>
    <row r="54" spans="1:3" x14ac:dyDescent="0.25">
      <c r="A54">
        <v>17</v>
      </c>
      <c r="B54">
        <v>0</v>
      </c>
      <c r="C54">
        <v>459</v>
      </c>
    </row>
    <row r="55" spans="1:3" x14ac:dyDescent="0.25">
      <c r="A55">
        <v>21</v>
      </c>
      <c r="B55">
        <v>0</v>
      </c>
      <c r="C55">
        <v>459</v>
      </c>
    </row>
    <row r="56" spans="1:3" x14ac:dyDescent="0.25">
      <c r="A56">
        <v>22</v>
      </c>
      <c r="B56">
        <v>0</v>
      </c>
      <c r="C56">
        <v>459</v>
      </c>
    </row>
    <row r="57" spans="1:3" x14ac:dyDescent="0.25">
      <c r="A57">
        <v>17</v>
      </c>
      <c r="B57">
        <v>0</v>
      </c>
      <c r="C57">
        <v>459</v>
      </c>
    </row>
    <row r="58" spans="1:3" x14ac:dyDescent="0.25">
      <c r="A58">
        <v>18</v>
      </c>
      <c r="B58">
        <v>0</v>
      </c>
      <c r="C58">
        <v>459</v>
      </c>
    </row>
    <row r="59" spans="1:3" x14ac:dyDescent="0.25">
      <c r="A59">
        <v>19</v>
      </c>
      <c r="B59">
        <v>0</v>
      </c>
      <c r="C59">
        <v>459</v>
      </c>
    </row>
    <row r="60" spans="1:3" x14ac:dyDescent="0.25">
      <c r="A60">
        <v>13</v>
      </c>
      <c r="B60">
        <v>0</v>
      </c>
      <c r="C60">
        <v>510</v>
      </c>
    </row>
    <row r="61" spans="1:3" x14ac:dyDescent="0.25">
      <c r="A61">
        <v>12</v>
      </c>
      <c r="B61">
        <v>0</v>
      </c>
      <c r="C61">
        <v>510</v>
      </c>
    </row>
    <row r="62" spans="1:3" x14ac:dyDescent="0.25">
      <c r="A62">
        <v>12</v>
      </c>
      <c r="B62">
        <v>0</v>
      </c>
      <c r="C62">
        <v>510</v>
      </c>
    </row>
    <row r="63" spans="1:3" x14ac:dyDescent="0.25">
      <c r="A63">
        <v>12</v>
      </c>
      <c r="B63">
        <v>0</v>
      </c>
      <c r="C63">
        <v>510</v>
      </c>
    </row>
    <row r="64" spans="1:3" x14ac:dyDescent="0.25">
      <c r="A64">
        <v>13</v>
      </c>
      <c r="B64">
        <v>0</v>
      </c>
      <c r="C64">
        <v>510</v>
      </c>
    </row>
    <row r="65" spans="1:3" x14ac:dyDescent="0.25">
      <c r="A65">
        <v>12</v>
      </c>
      <c r="B65">
        <v>0</v>
      </c>
      <c r="C65">
        <v>510</v>
      </c>
    </row>
    <row r="66" spans="1:3" x14ac:dyDescent="0.25">
      <c r="A66">
        <v>14</v>
      </c>
      <c r="B66">
        <v>0</v>
      </c>
      <c r="C66">
        <v>309</v>
      </c>
    </row>
    <row r="67" spans="1:3" x14ac:dyDescent="0.25">
      <c r="A67">
        <v>15</v>
      </c>
      <c r="B67">
        <v>0</v>
      </c>
      <c r="C67">
        <v>309</v>
      </c>
    </row>
    <row r="68" spans="1:3" x14ac:dyDescent="0.25">
      <c r="A68">
        <v>13</v>
      </c>
      <c r="B68">
        <v>0</v>
      </c>
      <c r="C68">
        <v>309</v>
      </c>
    </row>
    <row r="69" spans="1:3" x14ac:dyDescent="0.25">
      <c r="A69">
        <v>13</v>
      </c>
      <c r="B69">
        <v>0</v>
      </c>
      <c r="C69">
        <v>309</v>
      </c>
    </row>
    <row r="70" spans="1:3" x14ac:dyDescent="0.25">
      <c r="A70">
        <v>13</v>
      </c>
      <c r="B70">
        <v>0</v>
      </c>
      <c r="C70">
        <v>309</v>
      </c>
    </row>
    <row r="71" spans="1:3" x14ac:dyDescent="0.25">
      <c r="A71">
        <v>35</v>
      </c>
      <c r="B71">
        <v>0</v>
      </c>
      <c r="C71">
        <v>325</v>
      </c>
    </row>
    <row r="72" spans="1:3" x14ac:dyDescent="0.25">
      <c r="A72">
        <v>16</v>
      </c>
      <c r="B72">
        <v>0</v>
      </c>
      <c r="C72">
        <v>325</v>
      </c>
    </row>
    <row r="73" spans="1:3" x14ac:dyDescent="0.25">
      <c r="A73">
        <v>13</v>
      </c>
      <c r="B73">
        <v>0</v>
      </c>
      <c r="C73">
        <v>325</v>
      </c>
    </row>
    <row r="74" spans="1:3" x14ac:dyDescent="0.25">
      <c r="A74">
        <v>33</v>
      </c>
      <c r="B74">
        <v>0</v>
      </c>
      <c r="C74">
        <v>325</v>
      </c>
    </row>
    <row r="75" spans="1:3" x14ac:dyDescent="0.25">
      <c r="A75">
        <v>12</v>
      </c>
      <c r="B75">
        <v>0</v>
      </c>
      <c r="C75">
        <v>325</v>
      </c>
    </row>
    <row r="76" spans="1:3" x14ac:dyDescent="0.25">
      <c r="A76">
        <v>17</v>
      </c>
      <c r="B76">
        <v>0</v>
      </c>
      <c r="C76">
        <v>325</v>
      </c>
    </row>
    <row r="77" spans="1:3" x14ac:dyDescent="0.25">
      <c r="A77">
        <v>13</v>
      </c>
      <c r="B77">
        <v>0</v>
      </c>
      <c r="C77">
        <v>345</v>
      </c>
    </row>
    <row r="78" spans="1:3" x14ac:dyDescent="0.25">
      <c r="A78">
        <v>14</v>
      </c>
      <c r="B78">
        <v>0</v>
      </c>
      <c r="C78">
        <v>345</v>
      </c>
    </row>
    <row r="79" spans="1:3" x14ac:dyDescent="0.25">
      <c r="A79">
        <v>15</v>
      </c>
      <c r="B79">
        <v>0</v>
      </c>
      <c r="C79">
        <v>345</v>
      </c>
    </row>
    <row r="80" spans="1:3" x14ac:dyDescent="0.25">
      <c r="A80">
        <v>12</v>
      </c>
      <c r="B80">
        <v>0</v>
      </c>
      <c r="C80">
        <v>345</v>
      </c>
    </row>
    <row r="81" spans="1:3" x14ac:dyDescent="0.25">
      <c r="A81">
        <v>16</v>
      </c>
      <c r="B81">
        <v>0</v>
      </c>
      <c r="C81">
        <v>345</v>
      </c>
    </row>
    <row r="82" spans="1:3" x14ac:dyDescent="0.25">
      <c r="A82">
        <v>22</v>
      </c>
      <c r="B82">
        <v>0</v>
      </c>
      <c r="C82">
        <v>437</v>
      </c>
    </row>
    <row r="83" spans="1:3" x14ac:dyDescent="0.25">
      <c r="A83">
        <v>15</v>
      </c>
      <c r="B83">
        <v>0</v>
      </c>
      <c r="C83">
        <v>437</v>
      </c>
    </row>
    <row r="84" spans="1:3" x14ac:dyDescent="0.25">
      <c r="A84">
        <v>17</v>
      </c>
      <c r="B84">
        <v>0</v>
      </c>
      <c r="C84">
        <v>437</v>
      </c>
    </row>
    <row r="85" spans="1:3" x14ac:dyDescent="0.25">
      <c r="A85">
        <v>14</v>
      </c>
      <c r="B85">
        <v>0</v>
      </c>
      <c r="C85">
        <v>437</v>
      </c>
    </row>
    <row r="86" spans="1:3" x14ac:dyDescent="0.25">
      <c r="A86">
        <v>16</v>
      </c>
      <c r="B86">
        <v>0</v>
      </c>
      <c r="C86">
        <v>437</v>
      </c>
    </row>
    <row r="87" spans="1:3" x14ac:dyDescent="0.25">
      <c r="A87">
        <v>15</v>
      </c>
      <c r="B87">
        <v>0</v>
      </c>
      <c r="C87">
        <v>437</v>
      </c>
    </row>
    <row r="88" spans="1:3" x14ac:dyDescent="0.25">
      <c r="A88">
        <v>12</v>
      </c>
      <c r="B88">
        <v>0</v>
      </c>
      <c r="C88">
        <v>421</v>
      </c>
    </row>
    <row r="89" spans="1:3" x14ac:dyDescent="0.25">
      <c r="A89">
        <v>28</v>
      </c>
      <c r="B89">
        <v>0</v>
      </c>
      <c r="C89">
        <v>421</v>
      </c>
    </row>
    <row r="90" spans="1:3" x14ac:dyDescent="0.25">
      <c r="A90">
        <v>13</v>
      </c>
      <c r="B90">
        <v>0</v>
      </c>
      <c r="C90">
        <v>421</v>
      </c>
    </row>
    <row r="91" spans="1:3" x14ac:dyDescent="0.25">
      <c r="A91">
        <v>32</v>
      </c>
      <c r="B91">
        <v>0</v>
      </c>
      <c r="C91">
        <v>421</v>
      </c>
    </row>
    <row r="92" spans="1:3" x14ac:dyDescent="0.25">
      <c r="A92">
        <v>15</v>
      </c>
      <c r="B92">
        <v>0</v>
      </c>
      <c r="C92">
        <v>421</v>
      </c>
    </row>
    <row r="93" spans="1:3" x14ac:dyDescent="0.25">
      <c r="A93">
        <v>13</v>
      </c>
      <c r="B93">
        <v>0</v>
      </c>
      <c r="C93">
        <v>325</v>
      </c>
    </row>
    <row r="94" spans="1:3" x14ac:dyDescent="0.25">
      <c r="A94">
        <v>31</v>
      </c>
      <c r="B94">
        <v>0</v>
      </c>
      <c r="C94">
        <v>325</v>
      </c>
    </row>
    <row r="95" spans="1:3" x14ac:dyDescent="0.25">
      <c r="A95">
        <v>14</v>
      </c>
      <c r="B95">
        <v>0</v>
      </c>
      <c r="C95">
        <v>325</v>
      </c>
    </row>
    <row r="96" spans="1:3" x14ac:dyDescent="0.25">
      <c r="A96">
        <v>16</v>
      </c>
      <c r="B96">
        <v>0</v>
      </c>
      <c r="C96">
        <v>325</v>
      </c>
    </row>
    <row r="97" spans="1:3" x14ac:dyDescent="0.25">
      <c r="A97">
        <v>18</v>
      </c>
      <c r="B97">
        <v>0</v>
      </c>
      <c r="C97">
        <v>325</v>
      </c>
    </row>
    <row r="98" spans="1:3" x14ac:dyDescent="0.25">
      <c r="A98">
        <v>13</v>
      </c>
      <c r="B98">
        <v>0</v>
      </c>
      <c r="C98">
        <v>425</v>
      </c>
    </row>
    <row r="99" spans="1:3" x14ac:dyDescent="0.25">
      <c r="A99">
        <v>12</v>
      </c>
      <c r="B99">
        <v>0</v>
      </c>
      <c r="C99">
        <v>425</v>
      </c>
    </row>
    <row r="100" spans="1:3" x14ac:dyDescent="0.25">
      <c r="A100">
        <v>14</v>
      </c>
      <c r="B100">
        <v>0</v>
      </c>
      <c r="C100">
        <v>425</v>
      </c>
    </row>
    <row r="101" spans="1:3" x14ac:dyDescent="0.25">
      <c r="A101">
        <v>20</v>
      </c>
      <c r="B101">
        <v>0</v>
      </c>
      <c r="C101">
        <v>425</v>
      </c>
    </row>
    <row r="102" spans="1:3" x14ac:dyDescent="0.25">
      <c r="A102">
        <v>15</v>
      </c>
      <c r="B102">
        <v>0</v>
      </c>
      <c r="C102">
        <v>425</v>
      </c>
    </row>
    <row r="103" spans="1:3" x14ac:dyDescent="0.25">
      <c r="A103">
        <v>12</v>
      </c>
      <c r="B103">
        <v>0</v>
      </c>
      <c r="C103">
        <v>425</v>
      </c>
    </row>
    <row r="104" spans="1:3" x14ac:dyDescent="0.25">
      <c r="A104">
        <v>12</v>
      </c>
      <c r="B104">
        <v>0</v>
      </c>
      <c r="C104">
        <v>328</v>
      </c>
    </row>
    <row r="105" spans="1:3" x14ac:dyDescent="0.25">
      <c r="A105">
        <v>16</v>
      </c>
      <c r="B105">
        <v>0</v>
      </c>
      <c r="C105">
        <v>328</v>
      </c>
    </row>
    <row r="106" spans="1:3" x14ac:dyDescent="0.25">
      <c r="A106">
        <v>20</v>
      </c>
      <c r="B106">
        <v>0</v>
      </c>
      <c r="C106">
        <v>328</v>
      </c>
    </row>
    <row r="107" spans="1:3" x14ac:dyDescent="0.25">
      <c r="A107">
        <v>16</v>
      </c>
      <c r="B107">
        <v>0</v>
      </c>
      <c r="C107">
        <v>328</v>
      </c>
    </row>
    <row r="108" spans="1:3" x14ac:dyDescent="0.25">
      <c r="A108">
        <v>12</v>
      </c>
      <c r="B108">
        <v>0</v>
      </c>
      <c r="C108">
        <v>328</v>
      </c>
    </row>
    <row r="109" spans="1:3" x14ac:dyDescent="0.25">
      <c r="A109">
        <v>38</v>
      </c>
      <c r="B109">
        <v>0</v>
      </c>
      <c r="C109">
        <v>369</v>
      </c>
    </row>
    <row r="110" spans="1:3" x14ac:dyDescent="0.25">
      <c r="A110">
        <v>12</v>
      </c>
      <c r="B110">
        <v>0</v>
      </c>
      <c r="C110">
        <v>369</v>
      </c>
    </row>
    <row r="111" spans="1:3" x14ac:dyDescent="0.25">
      <c r="A111">
        <v>20</v>
      </c>
      <c r="B111">
        <v>0</v>
      </c>
      <c r="C111">
        <v>369</v>
      </c>
    </row>
    <row r="112" spans="1:3" x14ac:dyDescent="0.25">
      <c r="A112">
        <v>13</v>
      </c>
      <c r="B112">
        <v>0</v>
      </c>
      <c r="C112">
        <v>369</v>
      </c>
    </row>
    <row r="113" spans="1:3" x14ac:dyDescent="0.25">
      <c r="A113">
        <v>13</v>
      </c>
      <c r="B113">
        <v>0</v>
      </c>
      <c r="C113">
        <v>369</v>
      </c>
    </row>
    <row r="114" spans="1:3" x14ac:dyDescent="0.25">
      <c r="A114">
        <v>33</v>
      </c>
      <c r="B114">
        <v>0</v>
      </c>
      <c r="C114">
        <v>369</v>
      </c>
    </row>
    <row r="115" spans="1:3" x14ac:dyDescent="0.25">
      <c r="A115">
        <v>13</v>
      </c>
      <c r="B115">
        <v>0</v>
      </c>
      <c r="C115">
        <v>335</v>
      </c>
    </row>
    <row r="116" spans="1:3" x14ac:dyDescent="0.25">
      <c r="A116">
        <v>16</v>
      </c>
      <c r="B116">
        <v>0</v>
      </c>
      <c r="C116">
        <v>335</v>
      </c>
    </row>
    <row r="117" spans="1:3" x14ac:dyDescent="0.25">
      <c r="A117">
        <v>22</v>
      </c>
      <c r="B117">
        <v>0</v>
      </c>
      <c r="C117">
        <v>335</v>
      </c>
    </row>
    <row r="118" spans="1:3" x14ac:dyDescent="0.25">
      <c r="A118">
        <v>14</v>
      </c>
      <c r="B118">
        <v>0</v>
      </c>
      <c r="C118">
        <v>335</v>
      </c>
    </row>
    <row r="119" spans="1:3" x14ac:dyDescent="0.25">
      <c r="A119">
        <v>15</v>
      </c>
      <c r="B119">
        <v>0</v>
      </c>
      <c r="C119">
        <v>335</v>
      </c>
    </row>
    <row r="120" spans="1:3" x14ac:dyDescent="0.25">
      <c r="A120">
        <v>14</v>
      </c>
      <c r="B120">
        <v>0</v>
      </c>
      <c r="C120">
        <v>332</v>
      </c>
    </row>
    <row r="121" spans="1:3" x14ac:dyDescent="0.25">
      <c r="A121">
        <v>18</v>
      </c>
      <c r="B121">
        <v>0</v>
      </c>
      <c r="C121">
        <v>332</v>
      </c>
    </row>
    <row r="122" spans="1:3" x14ac:dyDescent="0.25">
      <c r="A122">
        <v>13</v>
      </c>
      <c r="B122">
        <v>0</v>
      </c>
      <c r="C122">
        <v>332</v>
      </c>
    </row>
    <row r="123" spans="1:3" x14ac:dyDescent="0.25">
      <c r="A123">
        <v>28</v>
      </c>
      <c r="B123">
        <v>0</v>
      </c>
      <c r="C123">
        <v>332</v>
      </c>
    </row>
    <row r="124" spans="1:3" x14ac:dyDescent="0.25">
      <c r="A124">
        <v>13</v>
      </c>
      <c r="B124">
        <v>0</v>
      </c>
      <c r="C124">
        <v>332</v>
      </c>
    </row>
    <row r="125" spans="1:3" x14ac:dyDescent="0.25">
      <c r="A125">
        <v>11</v>
      </c>
      <c r="B125">
        <v>0</v>
      </c>
      <c r="C125">
        <v>332</v>
      </c>
    </row>
    <row r="126" spans="1:3" x14ac:dyDescent="0.25">
      <c r="A126">
        <v>16</v>
      </c>
      <c r="B126">
        <v>0</v>
      </c>
      <c r="C126">
        <v>346</v>
      </c>
    </row>
    <row r="127" spans="1:3" x14ac:dyDescent="0.25">
      <c r="A127">
        <v>17</v>
      </c>
      <c r="B127">
        <v>0</v>
      </c>
      <c r="C127">
        <v>346</v>
      </c>
    </row>
    <row r="128" spans="1:3" x14ac:dyDescent="0.25">
      <c r="A128">
        <v>13</v>
      </c>
      <c r="B128">
        <v>0</v>
      </c>
      <c r="C128">
        <v>346</v>
      </c>
    </row>
    <row r="129" spans="1:3" x14ac:dyDescent="0.25">
      <c r="A129">
        <v>21</v>
      </c>
      <c r="B129">
        <v>0</v>
      </c>
      <c r="C129">
        <v>346</v>
      </c>
    </row>
    <row r="130" spans="1:3" x14ac:dyDescent="0.25">
      <c r="A130">
        <v>12</v>
      </c>
      <c r="B130">
        <v>0</v>
      </c>
      <c r="C130">
        <v>346</v>
      </c>
    </row>
    <row r="131" spans="1:3" x14ac:dyDescent="0.25">
      <c r="A131">
        <v>16</v>
      </c>
      <c r="B131">
        <v>0</v>
      </c>
      <c r="C131">
        <v>358</v>
      </c>
    </row>
    <row r="132" spans="1:3" x14ac:dyDescent="0.25">
      <c r="A132">
        <v>12</v>
      </c>
      <c r="B132">
        <v>0</v>
      </c>
      <c r="C132">
        <v>358</v>
      </c>
    </row>
    <row r="133" spans="1:3" x14ac:dyDescent="0.25">
      <c r="A133">
        <v>13</v>
      </c>
      <c r="B133">
        <v>0</v>
      </c>
      <c r="C133">
        <v>358</v>
      </c>
    </row>
    <row r="134" spans="1:3" x14ac:dyDescent="0.25">
      <c r="A134">
        <v>12</v>
      </c>
      <c r="B134">
        <v>0</v>
      </c>
      <c r="C134">
        <v>358</v>
      </c>
    </row>
    <row r="135" spans="1:3" x14ac:dyDescent="0.25">
      <c r="A135">
        <v>15</v>
      </c>
      <c r="B135">
        <v>0</v>
      </c>
      <c r="C135">
        <v>358</v>
      </c>
    </row>
    <row r="136" spans="1:3" x14ac:dyDescent="0.25">
      <c r="A136">
        <v>16</v>
      </c>
      <c r="B136">
        <v>0</v>
      </c>
      <c r="C136">
        <v>276</v>
      </c>
    </row>
    <row r="137" spans="1:3" x14ac:dyDescent="0.25">
      <c r="A137">
        <v>15</v>
      </c>
      <c r="B137">
        <v>0</v>
      </c>
      <c r="C137">
        <v>276</v>
      </c>
    </row>
    <row r="138" spans="1:3" x14ac:dyDescent="0.25">
      <c r="A138">
        <v>14</v>
      </c>
      <c r="B138">
        <v>0</v>
      </c>
      <c r="C138">
        <v>276</v>
      </c>
    </row>
    <row r="139" spans="1:3" x14ac:dyDescent="0.25">
      <c r="A139">
        <v>12</v>
      </c>
      <c r="B139">
        <v>0</v>
      </c>
      <c r="C139">
        <v>276</v>
      </c>
    </row>
    <row r="140" spans="1:3" x14ac:dyDescent="0.25">
      <c r="A140">
        <v>18</v>
      </c>
      <c r="B140">
        <v>0</v>
      </c>
      <c r="C140">
        <v>276</v>
      </c>
    </row>
    <row r="141" spans="1:3" x14ac:dyDescent="0.25">
      <c r="A141">
        <v>19</v>
      </c>
      <c r="B141">
        <v>0</v>
      </c>
      <c r="C141">
        <v>276</v>
      </c>
    </row>
    <row r="142" spans="1:3" x14ac:dyDescent="0.25">
      <c r="A142">
        <v>13</v>
      </c>
      <c r="B142">
        <v>0</v>
      </c>
      <c r="C142">
        <v>328</v>
      </c>
    </row>
    <row r="143" spans="1:3" x14ac:dyDescent="0.25">
      <c r="A143">
        <v>12</v>
      </c>
      <c r="B143">
        <v>0</v>
      </c>
      <c r="C143">
        <v>328</v>
      </c>
    </row>
    <row r="144" spans="1:3" x14ac:dyDescent="0.25">
      <c r="A144">
        <v>14</v>
      </c>
      <c r="B144">
        <v>0</v>
      </c>
      <c r="C144">
        <v>328</v>
      </c>
    </row>
    <row r="145" spans="1:3" x14ac:dyDescent="0.25">
      <c r="A145">
        <v>14</v>
      </c>
      <c r="B145">
        <v>0</v>
      </c>
      <c r="C145">
        <v>328</v>
      </c>
    </row>
    <row r="146" spans="1:3" x14ac:dyDescent="0.25">
      <c r="A146">
        <v>15</v>
      </c>
      <c r="B146">
        <v>0</v>
      </c>
      <c r="C146">
        <v>328</v>
      </c>
    </row>
    <row r="147" spans="1:3" x14ac:dyDescent="0.25">
      <c r="A147">
        <v>12</v>
      </c>
      <c r="B147">
        <v>0</v>
      </c>
      <c r="C147">
        <v>328</v>
      </c>
    </row>
    <row r="148" spans="1:3" x14ac:dyDescent="0.25">
      <c r="A148">
        <v>13</v>
      </c>
      <c r="B148">
        <v>0</v>
      </c>
      <c r="C148">
        <v>323</v>
      </c>
    </row>
    <row r="149" spans="1:3" x14ac:dyDescent="0.25">
      <c r="A149">
        <v>12</v>
      </c>
      <c r="B149">
        <v>0</v>
      </c>
      <c r="C149">
        <v>323</v>
      </c>
    </row>
    <row r="150" spans="1:3" x14ac:dyDescent="0.25">
      <c r="A150">
        <v>17</v>
      </c>
      <c r="B150">
        <v>0</v>
      </c>
      <c r="C150">
        <v>323</v>
      </c>
    </row>
    <row r="151" spans="1:3" x14ac:dyDescent="0.25">
      <c r="A151">
        <v>16</v>
      </c>
      <c r="B151">
        <v>0</v>
      </c>
      <c r="C151">
        <v>323</v>
      </c>
    </row>
    <row r="152" spans="1:3" x14ac:dyDescent="0.25">
      <c r="A152">
        <v>15</v>
      </c>
      <c r="B152">
        <v>0</v>
      </c>
      <c r="C152">
        <v>323</v>
      </c>
    </row>
    <row r="153" spans="1:3" x14ac:dyDescent="0.25">
      <c r="A153">
        <v>14</v>
      </c>
      <c r="B153">
        <v>0</v>
      </c>
      <c r="C153">
        <v>291</v>
      </c>
    </row>
    <row r="154" spans="1:3" x14ac:dyDescent="0.25">
      <c r="A154">
        <v>13</v>
      </c>
      <c r="B154">
        <v>0</v>
      </c>
      <c r="C154">
        <v>291</v>
      </c>
    </row>
    <row r="155" spans="1:3" x14ac:dyDescent="0.25">
      <c r="A155">
        <v>13</v>
      </c>
      <c r="B155">
        <v>0</v>
      </c>
      <c r="C155">
        <v>291</v>
      </c>
    </row>
    <row r="156" spans="1:3" x14ac:dyDescent="0.25">
      <c r="A156">
        <v>15</v>
      </c>
      <c r="B156">
        <v>0</v>
      </c>
      <c r="C156">
        <v>291</v>
      </c>
    </row>
    <row r="157" spans="1:3" x14ac:dyDescent="0.25">
      <c r="A157">
        <v>13</v>
      </c>
      <c r="B157">
        <v>0</v>
      </c>
      <c r="C157">
        <v>291</v>
      </c>
    </row>
    <row r="158" spans="1:3" x14ac:dyDescent="0.25">
      <c r="A158">
        <v>12</v>
      </c>
      <c r="B158">
        <v>0</v>
      </c>
      <c r="C158">
        <v>291</v>
      </c>
    </row>
    <row r="159" spans="1:3" x14ac:dyDescent="0.25">
      <c r="A159">
        <v>13</v>
      </c>
      <c r="B159">
        <v>0</v>
      </c>
      <c r="C159">
        <v>253</v>
      </c>
    </row>
    <row r="160" spans="1:3" x14ac:dyDescent="0.25">
      <c r="A160">
        <v>30</v>
      </c>
      <c r="B160">
        <v>0</v>
      </c>
      <c r="C160">
        <v>253</v>
      </c>
    </row>
    <row r="161" spans="1:3" x14ac:dyDescent="0.25">
      <c r="A161">
        <v>21</v>
      </c>
      <c r="B161">
        <v>0</v>
      </c>
      <c r="C161">
        <v>253</v>
      </c>
    </row>
    <row r="162" spans="1:3" x14ac:dyDescent="0.25">
      <c r="A162">
        <v>14</v>
      </c>
      <c r="B162">
        <v>0</v>
      </c>
      <c r="C162">
        <v>253</v>
      </c>
    </row>
    <row r="163" spans="1:3" x14ac:dyDescent="0.25">
      <c r="A163">
        <v>13</v>
      </c>
      <c r="B163">
        <v>0</v>
      </c>
      <c r="C163">
        <v>253</v>
      </c>
    </row>
    <row r="164" spans="1:3" x14ac:dyDescent="0.25">
      <c r="A164">
        <v>12</v>
      </c>
      <c r="B164">
        <v>0</v>
      </c>
      <c r="C164">
        <v>253</v>
      </c>
    </row>
    <row r="165" spans="1:3" x14ac:dyDescent="0.25">
      <c r="A165">
        <v>12</v>
      </c>
      <c r="B165">
        <v>0</v>
      </c>
      <c r="C165">
        <v>371</v>
      </c>
    </row>
    <row r="166" spans="1:3" x14ac:dyDescent="0.25">
      <c r="A166">
        <v>18</v>
      </c>
      <c r="B166">
        <v>0</v>
      </c>
      <c r="C166">
        <v>371</v>
      </c>
    </row>
    <row r="167" spans="1:3" x14ac:dyDescent="0.25">
      <c r="A167">
        <v>12</v>
      </c>
      <c r="B167">
        <v>0</v>
      </c>
      <c r="C167">
        <v>371</v>
      </c>
    </row>
    <row r="168" spans="1:3" x14ac:dyDescent="0.25">
      <c r="A168">
        <v>29</v>
      </c>
      <c r="B168">
        <v>0</v>
      </c>
      <c r="C168">
        <v>371</v>
      </c>
    </row>
    <row r="169" spans="1:3" x14ac:dyDescent="0.25">
      <c r="A169">
        <v>13</v>
      </c>
      <c r="B169">
        <v>0</v>
      </c>
      <c r="C169">
        <v>371</v>
      </c>
    </row>
    <row r="170" spans="1:3" x14ac:dyDescent="0.25">
      <c r="A170">
        <v>13</v>
      </c>
      <c r="B170">
        <v>0</v>
      </c>
      <c r="C170">
        <v>312</v>
      </c>
    </row>
    <row r="171" spans="1:3" x14ac:dyDescent="0.25">
      <c r="A171">
        <v>15</v>
      </c>
      <c r="B171">
        <v>0</v>
      </c>
      <c r="C171">
        <v>312</v>
      </c>
    </row>
    <row r="172" spans="1:3" x14ac:dyDescent="0.25">
      <c r="A172">
        <v>12</v>
      </c>
      <c r="B172">
        <v>0</v>
      </c>
      <c r="C172">
        <v>312</v>
      </c>
    </row>
    <row r="173" spans="1:3" x14ac:dyDescent="0.25">
      <c r="A173">
        <v>13</v>
      </c>
      <c r="B173">
        <v>0</v>
      </c>
      <c r="C173">
        <v>312</v>
      </c>
    </row>
    <row r="174" spans="1:3" x14ac:dyDescent="0.25">
      <c r="A174">
        <v>32</v>
      </c>
      <c r="B174">
        <v>0</v>
      </c>
      <c r="C174">
        <v>312</v>
      </c>
    </row>
    <row r="175" spans="1:3" x14ac:dyDescent="0.25">
      <c r="A175">
        <v>16</v>
      </c>
      <c r="B175">
        <v>0</v>
      </c>
      <c r="C175">
        <v>312</v>
      </c>
    </row>
    <row r="176" spans="1:3" x14ac:dyDescent="0.25">
      <c r="A176">
        <v>17</v>
      </c>
      <c r="B176">
        <v>0</v>
      </c>
      <c r="C176">
        <v>364</v>
      </c>
    </row>
    <row r="177" spans="1:3" x14ac:dyDescent="0.25">
      <c r="A177">
        <v>13</v>
      </c>
      <c r="B177">
        <v>0</v>
      </c>
      <c r="C177">
        <v>364</v>
      </c>
    </row>
    <row r="178" spans="1:3" x14ac:dyDescent="0.25">
      <c r="A178">
        <v>13</v>
      </c>
      <c r="B178">
        <v>0</v>
      </c>
      <c r="C178">
        <v>364</v>
      </c>
    </row>
    <row r="179" spans="1:3" x14ac:dyDescent="0.25">
      <c r="A179">
        <v>14</v>
      </c>
      <c r="B179">
        <v>0</v>
      </c>
      <c r="C179">
        <v>364</v>
      </c>
    </row>
    <row r="180" spans="1:3" x14ac:dyDescent="0.25">
      <c r="A180">
        <v>12</v>
      </c>
      <c r="B180">
        <v>0</v>
      </c>
      <c r="C180">
        <v>364</v>
      </c>
    </row>
    <row r="181" spans="1:3" x14ac:dyDescent="0.25">
      <c r="A181">
        <v>16</v>
      </c>
      <c r="B181">
        <v>0</v>
      </c>
      <c r="C181">
        <v>364</v>
      </c>
    </row>
    <row r="182" spans="1:3" x14ac:dyDescent="0.25">
      <c r="A182">
        <v>12</v>
      </c>
      <c r="B182">
        <v>0</v>
      </c>
      <c r="C182">
        <v>282</v>
      </c>
    </row>
    <row r="183" spans="1:3" x14ac:dyDescent="0.25">
      <c r="A183">
        <v>20</v>
      </c>
      <c r="B183">
        <v>0</v>
      </c>
      <c r="C183">
        <v>282</v>
      </c>
    </row>
    <row r="184" spans="1:3" x14ac:dyDescent="0.25">
      <c r="A184">
        <v>13</v>
      </c>
      <c r="B184">
        <v>0</v>
      </c>
      <c r="C184">
        <v>282</v>
      </c>
    </row>
    <row r="185" spans="1:3" x14ac:dyDescent="0.25">
      <c r="A185">
        <v>15</v>
      </c>
      <c r="B185">
        <v>0</v>
      </c>
      <c r="C185">
        <v>282</v>
      </c>
    </row>
    <row r="186" spans="1:3" x14ac:dyDescent="0.25">
      <c r="A186">
        <v>15</v>
      </c>
      <c r="B186">
        <v>0</v>
      </c>
      <c r="C186">
        <v>282</v>
      </c>
    </row>
    <row r="187" spans="1:3" x14ac:dyDescent="0.25">
      <c r="A187">
        <v>12</v>
      </c>
      <c r="B187">
        <v>0</v>
      </c>
      <c r="C187">
        <v>282</v>
      </c>
    </row>
    <row r="188" spans="1:3" x14ac:dyDescent="0.25">
      <c r="A188">
        <v>17</v>
      </c>
      <c r="B188">
        <v>0</v>
      </c>
      <c r="C188">
        <v>436</v>
      </c>
    </row>
    <row r="189" spans="1:3" x14ac:dyDescent="0.25">
      <c r="A189">
        <v>13</v>
      </c>
      <c r="B189">
        <v>0</v>
      </c>
      <c r="C189">
        <v>436</v>
      </c>
    </row>
    <row r="190" spans="1:3" x14ac:dyDescent="0.25">
      <c r="A190">
        <v>13</v>
      </c>
      <c r="B190">
        <v>0</v>
      </c>
      <c r="C190">
        <v>436</v>
      </c>
    </row>
    <row r="191" spans="1:3" x14ac:dyDescent="0.25">
      <c r="A191">
        <v>15</v>
      </c>
      <c r="B191">
        <v>0</v>
      </c>
      <c r="C191">
        <v>436</v>
      </c>
    </row>
    <row r="192" spans="1:3" x14ac:dyDescent="0.25">
      <c r="A192">
        <v>29</v>
      </c>
      <c r="B192">
        <v>0</v>
      </c>
      <c r="C192">
        <v>436</v>
      </c>
    </row>
    <row r="193" spans="1:3" x14ac:dyDescent="0.25">
      <c r="A193">
        <v>13</v>
      </c>
      <c r="B193">
        <v>0</v>
      </c>
      <c r="C193">
        <v>436</v>
      </c>
    </row>
    <row r="194" spans="1:3" x14ac:dyDescent="0.25">
      <c r="A194">
        <v>21</v>
      </c>
      <c r="B194">
        <v>0</v>
      </c>
      <c r="C194">
        <v>482</v>
      </c>
    </row>
    <row r="195" spans="1:3" x14ac:dyDescent="0.25">
      <c r="A195">
        <v>13</v>
      </c>
      <c r="B195">
        <v>0</v>
      </c>
      <c r="C195">
        <v>482</v>
      </c>
    </row>
    <row r="196" spans="1:3" x14ac:dyDescent="0.25">
      <c r="A196">
        <v>16</v>
      </c>
      <c r="B196">
        <v>0</v>
      </c>
      <c r="C196">
        <v>482</v>
      </c>
    </row>
    <row r="197" spans="1:3" x14ac:dyDescent="0.25">
      <c r="A197">
        <v>12</v>
      </c>
      <c r="B197">
        <v>0</v>
      </c>
      <c r="C197">
        <v>482</v>
      </c>
    </row>
    <row r="198" spans="1:3" x14ac:dyDescent="0.25">
      <c r="A198">
        <v>13</v>
      </c>
      <c r="B198">
        <v>0</v>
      </c>
      <c r="C198">
        <v>482</v>
      </c>
    </row>
    <row r="199" spans="1:3" x14ac:dyDescent="0.25">
      <c r="A199">
        <v>12</v>
      </c>
      <c r="B199">
        <v>0</v>
      </c>
      <c r="C199">
        <v>482</v>
      </c>
    </row>
    <row r="200" spans="1:3" x14ac:dyDescent="0.25">
      <c r="A200">
        <v>28</v>
      </c>
      <c r="B200">
        <v>0</v>
      </c>
      <c r="C200">
        <v>322</v>
      </c>
    </row>
    <row r="201" spans="1:3" x14ac:dyDescent="0.25">
      <c r="A201">
        <v>17</v>
      </c>
      <c r="B201">
        <v>0</v>
      </c>
      <c r="C201">
        <v>322</v>
      </c>
    </row>
    <row r="202" spans="1:3" x14ac:dyDescent="0.25">
      <c r="A202">
        <v>15</v>
      </c>
      <c r="B202">
        <v>0</v>
      </c>
      <c r="C202">
        <v>322</v>
      </c>
    </row>
    <row r="203" spans="1:3" x14ac:dyDescent="0.25">
      <c r="A203">
        <v>14</v>
      </c>
      <c r="B203">
        <v>0</v>
      </c>
      <c r="C203">
        <v>322</v>
      </c>
    </row>
    <row r="204" spans="1:3" x14ac:dyDescent="0.25">
      <c r="A204">
        <v>35</v>
      </c>
      <c r="B204">
        <v>0</v>
      </c>
      <c r="C204">
        <v>322</v>
      </c>
    </row>
    <row r="205" spans="1:3" x14ac:dyDescent="0.25">
      <c r="A205">
        <v>20</v>
      </c>
      <c r="B205">
        <v>0</v>
      </c>
      <c r="C205">
        <v>322</v>
      </c>
    </row>
    <row r="206" spans="1:3" x14ac:dyDescent="0.25">
      <c r="A206">
        <v>14</v>
      </c>
      <c r="B206">
        <v>0</v>
      </c>
      <c r="C206">
        <v>436</v>
      </c>
    </row>
    <row r="207" spans="1:3" x14ac:dyDescent="0.25">
      <c r="A207">
        <v>14</v>
      </c>
      <c r="B207">
        <v>0</v>
      </c>
      <c r="C207">
        <v>436</v>
      </c>
    </row>
    <row r="208" spans="1:3" x14ac:dyDescent="0.25">
      <c r="A208">
        <v>11</v>
      </c>
      <c r="B208">
        <v>0</v>
      </c>
      <c r="C208">
        <v>436</v>
      </c>
    </row>
    <row r="209" spans="1:3" x14ac:dyDescent="0.25">
      <c r="A209">
        <v>30</v>
      </c>
      <c r="B209">
        <v>0</v>
      </c>
      <c r="C209">
        <v>436</v>
      </c>
    </row>
    <row r="210" spans="1:3" x14ac:dyDescent="0.25">
      <c r="A210">
        <v>12</v>
      </c>
      <c r="B210">
        <v>0</v>
      </c>
      <c r="C210">
        <v>436</v>
      </c>
    </row>
    <row r="211" spans="1:3" x14ac:dyDescent="0.25">
      <c r="A211">
        <v>18</v>
      </c>
      <c r="B211">
        <v>0</v>
      </c>
      <c r="C211">
        <v>436</v>
      </c>
    </row>
    <row r="212" spans="1:3" x14ac:dyDescent="0.25">
      <c r="A212">
        <v>12</v>
      </c>
      <c r="B212">
        <v>0</v>
      </c>
      <c r="C212">
        <v>289</v>
      </c>
    </row>
    <row r="213" spans="1:3" x14ac:dyDescent="0.25">
      <c r="A213">
        <v>39</v>
      </c>
      <c r="B213">
        <v>0</v>
      </c>
      <c r="C213">
        <v>289</v>
      </c>
    </row>
    <row r="214" spans="1:3" x14ac:dyDescent="0.25">
      <c r="A214">
        <v>13</v>
      </c>
      <c r="B214">
        <v>0</v>
      </c>
      <c r="C214">
        <v>289</v>
      </c>
    </row>
    <row r="215" spans="1:3" x14ac:dyDescent="0.25">
      <c r="A215">
        <v>32</v>
      </c>
      <c r="B215">
        <v>0</v>
      </c>
      <c r="C215">
        <v>289</v>
      </c>
    </row>
    <row r="216" spans="1:3" x14ac:dyDescent="0.25">
      <c r="A216">
        <v>17</v>
      </c>
      <c r="B216">
        <v>0</v>
      </c>
      <c r="C216">
        <v>289</v>
      </c>
    </row>
    <row r="217" spans="1:3" x14ac:dyDescent="0.25">
      <c r="A217">
        <v>12</v>
      </c>
      <c r="B217">
        <v>0</v>
      </c>
      <c r="C217">
        <v>353</v>
      </c>
    </row>
    <row r="218" spans="1:3" x14ac:dyDescent="0.25">
      <c r="A218">
        <v>12</v>
      </c>
      <c r="B218">
        <v>0</v>
      </c>
      <c r="C218">
        <v>353</v>
      </c>
    </row>
    <row r="219" spans="1:3" x14ac:dyDescent="0.25">
      <c r="A219">
        <v>12</v>
      </c>
      <c r="B219">
        <v>0</v>
      </c>
      <c r="C219">
        <v>353</v>
      </c>
    </row>
    <row r="220" spans="1:3" x14ac:dyDescent="0.25">
      <c r="A220">
        <v>32</v>
      </c>
      <c r="B220">
        <v>0</v>
      </c>
      <c r="C220">
        <v>353</v>
      </c>
    </row>
    <row r="221" spans="1:3" x14ac:dyDescent="0.25">
      <c r="A221">
        <v>16</v>
      </c>
      <c r="B221">
        <v>0</v>
      </c>
      <c r="C221">
        <v>353</v>
      </c>
    </row>
    <row r="222" spans="1:3" x14ac:dyDescent="0.25">
      <c r="A222">
        <v>12</v>
      </c>
      <c r="B222">
        <v>0</v>
      </c>
      <c r="C222">
        <v>353</v>
      </c>
    </row>
    <row r="223" spans="1:3" x14ac:dyDescent="0.25">
      <c r="A223">
        <v>12</v>
      </c>
      <c r="B223">
        <v>0</v>
      </c>
      <c r="C223">
        <v>301</v>
      </c>
    </row>
    <row r="224" spans="1:3" x14ac:dyDescent="0.25">
      <c r="A224">
        <v>11</v>
      </c>
      <c r="B224">
        <v>0</v>
      </c>
      <c r="C224">
        <v>301</v>
      </c>
    </row>
    <row r="225" spans="1:3" x14ac:dyDescent="0.25">
      <c r="A225">
        <v>12</v>
      </c>
      <c r="B225">
        <v>0</v>
      </c>
      <c r="C225">
        <v>301</v>
      </c>
    </row>
    <row r="226" spans="1:3" x14ac:dyDescent="0.25">
      <c r="A226">
        <v>13</v>
      </c>
      <c r="B226">
        <v>0</v>
      </c>
      <c r="C226">
        <v>301</v>
      </c>
    </row>
    <row r="227" spans="1:3" x14ac:dyDescent="0.25">
      <c r="A227">
        <v>12</v>
      </c>
      <c r="B227">
        <v>0</v>
      </c>
      <c r="C227">
        <v>301</v>
      </c>
    </row>
    <row r="228" spans="1:3" x14ac:dyDescent="0.25">
      <c r="A228">
        <v>12</v>
      </c>
      <c r="B228">
        <v>0</v>
      </c>
      <c r="C228">
        <v>294</v>
      </c>
    </row>
    <row r="229" spans="1:3" x14ac:dyDescent="0.25">
      <c r="A229">
        <v>33</v>
      </c>
      <c r="B229">
        <v>0</v>
      </c>
      <c r="C229">
        <v>294</v>
      </c>
    </row>
    <row r="230" spans="1:3" x14ac:dyDescent="0.25">
      <c r="A230">
        <v>12</v>
      </c>
      <c r="B230">
        <v>0</v>
      </c>
      <c r="C230">
        <v>294</v>
      </c>
    </row>
    <row r="231" spans="1:3" x14ac:dyDescent="0.25">
      <c r="A231">
        <v>18</v>
      </c>
      <c r="B231">
        <v>0</v>
      </c>
      <c r="C231">
        <v>294</v>
      </c>
    </row>
    <row r="232" spans="1:3" x14ac:dyDescent="0.25">
      <c r="A232">
        <v>13</v>
      </c>
      <c r="B232">
        <v>0</v>
      </c>
      <c r="C232">
        <v>294</v>
      </c>
    </row>
    <row r="233" spans="1:3" x14ac:dyDescent="0.25">
      <c r="A233">
        <v>29</v>
      </c>
      <c r="B233">
        <v>0</v>
      </c>
      <c r="C233">
        <v>290</v>
      </c>
    </row>
    <row r="234" spans="1:3" x14ac:dyDescent="0.25">
      <c r="A234">
        <v>12</v>
      </c>
      <c r="B234">
        <v>0</v>
      </c>
      <c r="C234">
        <v>290</v>
      </c>
    </row>
    <row r="235" spans="1:3" x14ac:dyDescent="0.25">
      <c r="A235">
        <v>30</v>
      </c>
      <c r="B235">
        <v>0</v>
      </c>
      <c r="C235">
        <v>290</v>
      </c>
    </row>
    <row r="236" spans="1:3" x14ac:dyDescent="0.25">
      <c r="A236">
        <v>18</v>
      </c>
      <c r="B236">
        <v>0</v>
      </c>
      <c r="C236">
        <v>290</v>
      </c>
    </row>
    <row r="237" spans="1:3" x14ac:dyDescent="0.25">
      <c r="A237">
        <v>12</v>
      </c>
      <c r="B237">
        <v>0</v>
      </c>
      <c r="C237">
        <v>290</v>
      </c>
    </row>
    <row r="238" spans="1:3" x14ac:dyDescent="0.25">
      <c r="A238">
        <v>12</v>
      </c>
      <c r="B238">
        <v>0</v>
      </c>
      <c r="C238">
        <v>290</v>
      </c>
    </row>
    <row r="239" spans="1:3" x14ac:dyDescent="0.25">
      <c r="A239">
        <v>12</v>
      </c>
      <c r="B239">
        <v>0</v>
      </c>
      <c r="C239">
        <v>306</v>
      </c>
    </row>
    <row r="240" spans="1:3" x14ac:dyDescent="0.25">
      <c r="A240">
        <v>41</v>
      </c>
      <c r="B240">
        <v>0</v>
      </c>
      <c r="C240">
        <v>306</v>
      </c>
    </row>
    <row r="241" spans="1:3" x14ac:dyDescent="0.25">
      <c r="A241">
        <v>21</v>
      </c>
      <c r="B241">
        <v>0</v>
      </c>
      <c r="C241">
        <v>306</v>
      </c>
    </row>
    <row r="242" spans="1:3" x14ac:dyDescent="0.25">
      <c r="A242">
        <v>12</v>
      </c>
      <c r="B242">
        <v>0</v>
      </c>
      <c r="C242">
        <v>306</v>
      </c>
    </row>
    <row r="243" spans="1:3" x14ac:dyDescent="0.25">
      <c r="A243">
        <v>12</v>
      </c>
      <c r="B243">
        <v>0</v>
      </c>
      <c r="C243">
        <v>306</v>
      </c>
    </row>
    <row r="244" spans="1:3" x14ac:dyDescent="0.25">
      <c r="A244">
        <v>13</v>
      </c>
      <c r="B244">
        <v>0</v>
      </c>
      <c r="C244">
        <v>363</v>
      </c>
    </row>
    <row r="245" spans="1:3" x14ac:dyDescent="0.25">
      <c r="A245">
        <v>12</v>
      </c>
      <c r="B245">
        <v>0</v>
      </c>
      <c r="C245">
        <v>363</v>
      </c>
    </row>
    <row r="246" spans="1:3" x14ac:dyDescent="0.25">
      <c r="A246">
        <v>13</v>
      </c>
      <c r="B246">
        <v>0</v>
      </c>
      <c r="C246">
        <v>363</v>
      </c>
    </row>
    <row r="247" spans="1:3" x14ac:dyDescent="0.25">
      <c r="A247">
        <v>12</v>
      </c>
      <c r="B247">
        <v>0</v>
      </c>
      <c r="C247">
        <v>363</v>
      </c>
    </row>
    <row r="248" spans="1:3" x14ac:dyDescent="0.25">
      <c r="A248">
        <v>12</v>
      </c>
      <c r="B248">
        <v>0</v>
      </c>
      <c r="C248">
        <v>363</v>
      </c>
    </row>
    <row r="249" spans="1:3" x14ac:dyDescent="0.25">
      <c r="A249">
        <v>13</v>
      </c>
      <c r="B249">
        <v>0</v>
      </c>
      <c r="C249">
        <v>314</v>
      </c>
    </row>
    <row r="250" spans="1:3" x14ac:dyDescent="0.25">
      <c r="A250">
        <v>39</v>
      </c>
      <c r="B250">
        <v>0</v>
      </c>
      <c r="C250">
        <v>314</v>
      </c>
    </row>
    <row r="251" spans="1:3" x14ac:dyDescent="0.25">
      <c r="A251">
        <v>17</v>
      </c>
      <c r="B251">
        <v>0</v>
      </c>
      <c r="C251">
        <v>314</v>
      </c>
    </row>
    <row r="252" spans="1:3" x14ac:dyDescent="0.25">
      <c r="A252">
        <v>13</v>
      </c>
      <c r="B252">
        <v>0</v>
      </c>
      <c r="C252">
        <v>314</v>
      </c>
    </row>
    <row r="253" spans="1:3" x14ac:dyDescent="0.25">
      <c r="A253">
        <v>21</v>
      </c>
      <c r="B253">
        <v>0</v>
      </c>
      <c r="C253">
        <v>314</v>
      </c>
    </row>
    <row r="254" spans="1:3" x14ac:dyDescent="0.25">
      <c r="A254">
        <v>12</v>
      </c>
      <c r="B254">
        <v>0</v>
      </c>
      <c r="C254">
        <v>363</v>
      </c>
    </row>
    <row r="255" spans="1:3" x14ac:dyDescent="0.25">
      <c r="A255">
        <v>29</v>
      </c>
      <c r="B255">
        <v>0</v>
      </c>
      <c r="C255">
        <v>363</v>
      </c>
    </row>
    <row r="256" spans="1:3" x14ac:dyDescent="0.25">
      <c r="A256">
        <v>17</v>
      </c>
      <c r="B256">
        <v>0</v>
      </c>
      <c r="C256">
        <v>363</v>
      </c>
    </row>
    <row r="257" spans="1:3" x14ac:dyDescent="0.25">
      <c r="A257">
        <v>12</v>
      </c>
      <c r="B257">
        <v>0</v>
      </c>
      <c r="C257">
        <v>363</v>
      </c>
    </row>
    <row r="258" spans="1:3" x14ac:dyDescent="0.25">
      <c r="A258">
        <v>12</v>
      </c>
      <c r="B258">
        <v>0</v>
      </c>
      <c r="C258">
        <v>363</v>
      </c>
    </row>
    <row r="259" spans="1:3" x14ac:dyDescent="0.25">
      <c r="A259">
        <v>12</v>
      </c>
      <c r="B259">
        <v>0</v>
      </c>
      <c r="C259">
        <v>299</v>
      </c>
    </row>
    <row r="260" spans="1:3" x14ac:dyDescent="0.25">
      <c r="A260">
        <v>12</v>
      </c>
      <c r="B260">
        <v>0</v>
      </c>
      <c r="C260">
        <v>299</v>
      </c>
    </row>
    <row r="261" spans="1:3" x14ac:dyDescent="0.25">
      <c r="A261">
        <v>15</v>
      </c>
      <c r="B261">
        <v>0</v>
      </c>
      <c r="C261">
        <v>299</v>
      </c>
    </row>
    <row r="262" spans="1:3" x14ac:dyDescent="0.25">
      <c r="A262">
        <v>12</v>
      </c>
      <c r="B262">
        <v>0</v>
      </c>
      <c r="C262">
        <v>299</v>
      </c>
    </row>
    <row r="263" spans="1:3" x14ac:dyDescent="0.25">
      <c r="A263">
        <v>13</v>
      </c>
      <c r="B263">
        <v>0</v>
      </c>
      <c r="C263">
        <v>299</v>
      </c>
    </row>
    <row r="264" spans="1:3" x14ac:dyDescent="0.25">
      <c r="A264">
        <v>33</v>
      </c>
      <c r="B264">
        <v>0</v>
      </c>
      <c r="C264">
        <v>284</v>
      </c>
    </row>
    <row r="265" spans="1:3" x14ac:dyDescent="0.25">
      <c r="A265">
        <v>14</v>
      </c>
      <c r="B265">
        <v>0</v>
      </c>
      <c r="C265">
        <v>284</v>
      </c>
    </row>
    <row r="266" spans="1:3" x14ac:dyDescent="0.25">
      <c r="A266">
        <v>16</v>
      </c>
      <c r="B266">
        <v>0</v>
      </c>
      <c r="C266">
        <v>284</v>
      </c>
    </row>
    <row r="267" spans="1:3" x14ac:dyDescent="0.25">
      <c r="A267">
        <v>12</v>
      </c>
      <c r="B267">
        <v>0</v>
      </c>
      <c r="C267">
        <v>284</v>
      </c>
    </row>
    <row r="268" spans="1:3" x14ac:dyDescent="0.25">
      <c r="A268">
        <v>14</v>
      </c>
      <c r="B268">
        <v>0</v>
      </c>
      <c r="C268">
        <v>284</v>
      </c>
    </row>
    <row r="269" spans="1:3" x14ac:dyDescent="0.25">
      <c r="A269">
        <v>12</v>
      </c>
      <c r="B269">
        <v>0</v>
      </c>
      <c r="C269">
        <v>284</v>
      </c>
    </row>
    <row r="270" spans="1:3" x14ac:dyDescent="0.25">
      <c r="A270">
        <v>12</v>
      </c>
      <c r="B270">
        <v>0</v>
      </c>
      <c r="C270">
        <v>285</v>
      </c>
    </row>
    <row r="271" spans="1:3" x14ac:dyDescent="0.25">
      <c r="A271">
        <v>15</v>
      </c>
      <c r="B271">
        <v>0</v>
      </c>
      <c r="C271">
        <v>285</v>
      </c>
    </row>
    <row r="272" spans="1:3" x14ac:dyDescent="0.25">
      <c r="A272">
        <v>30</v>
      </c>
      <c r="B272">
        <v>0</v>
      </c>
      <c r="C272">
        <v>285</v>
      </c>
    </row>
    <row r="273" spans="1:3" x14ac:dyDescent="0.25">
      <c r="A273">
        <v>13</v>
      </c>
      <c r="B273">
        <v>0</v>
      </c>
      <c r="C273">
        <v>285</v>
      </c>
    </row>
    <row r="274" spans="1:3" x14ac:dyDescent="0.25">
      <c r="A274">
        <v>12</v>
      </c>
      <c r="B274">
        <v>0</v>
      </c>
      <c r="C274">
        <v>285</v>
      </c>
    </row>
    <row r="275" spans="1:3" x14ac:dyDescent="0.25">
      <c r="A275">
        <v>30</v>
      </c>
      <c r="B275">
        <v>0</v>
      </c>
      <c r="C275">
        <v>316</v>
      </c>
    </row>
    <row r="276" spans="1:3" x14ac:dyDescent="0.25">
      <c r="A276">
        <v>15</v>
      </c>
      <c r="B276">
        <v>0</v>
      </c>
      <c r="C276">
        <v>316</v>
      </c>
    </row>
    <row r="277" spans="1:3" x14ac:dyDescent="0.25">
      <c r="A277">
        <v>15</v>
      </c>
      <c r="B277">
        <v>0</v>
      </c>
      <c r="C277">
        <v>316</v>
      </c>
    </row>
    <row r="278" spans="1:3" x14ac:dyDescent="0.25">
      <c r="A278">
        <v>14</v>
      </c>
      <c r="B278">
        <v>0</v>
      </c>
      <c r="C278">
        <v>316</v>
      </c>
    </row>
    <row r="279" spans="1:3" x14ac:dyDescent="0.25">
      <c r="A279">
        <v>40</v>
      </c>
      <c r="B279">
        <v>0</v>
      </c>
      <c r="C279">
        <v>316</v>
      </c>
    </row>
    <row r="280" spans="1:3" x14ac:dyDescent="0.25">
      <c r="A280">
        <v>12</v>
      </c>
      <c r="B280">
        <v>0</v>
      </c>
      <c r="C280">
        <v>316</v>
      </c>
    </row>
    <row r="281" spans="1:3" x14ac:dyDescent="0.25">
      <c r="A281">
        <v>19</v>
      </c>
      <c r="B281">
        <v>0</v>
      </c>
      <c r="C281">
        <v>389</v>
      </c>
    </row>
    <row r="282" spans="1:3" x14ac:dyDescent="0.25">
      <c r="A282">
        <v>12</v>
      </c>
      <c r="B282">
        <v>0</v>
      </c>
      <c r="C282">
        <v>389</v>
      </c>
    </row>
    <row r="283" spans="1:3" x14ac:dyDescent="0.25">
      <c r="A283">
        <v>12</v>
      </c>
      <c r="B283">
        <v>0</v>
      </c>
      <c r="C283">
        <v>389</v>
      </c>
    </row>
    <row r="284" spans="1:3" x14ac:dyDescent="0.25">
      <c r="A284">
        <v>32</v>
      </c>
      <c r="B284">
        <v>0</v>
      </c>
      <c r="C284">
        <v>389</v>
      </c>
    </row>
    <row r="285" spans="1:3" x14ac:dyDescent="0.25">
      <c r="A285">
        <v>12</v>
      </c>
      <c r="B285">
        <v>0</v>
      </c>
      <c r="C285">
        <v>389</v>
      </c>
    </row>
    <row r="286" spans="1:3" x14ac:dyDescent="0.25">
      <c r="A286">
        <v>13</v>
      </c>
      <c r="B286">
        <v>0</v>
      </c>
      <c r="C286">
        <v>277</v>
      </c>
    </row>
    <row r="287" spans="1:3" x14ac:dyDescent="0.25">
      <c r="A287">
        <v>14</v>
      </c>
      <c r="B287">
        <v>0</v>
      </c>
      <c r="C287">
        <v>277</v>
      </c>
    </row>
    <row r="288" spans="1:3" x14ac:dyDescent="0.25">
      <c r="A288">
        <v>15</v>
      </c>
      <c r="B288">
        <v>0</v>
      </c>
      <c r="C288">
        <v>277</v>
      </c>
    </row>
    <row r="289" spans="1:3" x14ac:dyDescent="0.25">
      <c r="A289">
        <v>33</v>
      </c>
      <c r="B289">
        <v>0</v>
      </c>
      <c r="C289">
        <v>277</v>
      </c>
    </row>
    <row r="290" spans="1:3" x14ac:dyDescent="0.25">
      <c r="A290">
        <v>15</v>
      </c>
      <c r="B290">
        <v>0</v>
      </c>
      <c r="C290">
        <v>277</v>
      </c>
    </row>
    <row r="291" spans="1:3" x14ac:dyDescent="0.25">
      <c r="A291">
        <v>15</v>
      </c>
      <c r="B291">
        <v>0</v>
      </c>
      <c r="C291">
        <v>305</v>
      </c>
    </row>
    <row r="292" spans="1:3" x14ac:dyDescent="0.25">
      <c r="A292">
        <v>12</v>
      </c>
      <c r="B292">
        <v>0</v>
      </c>
      <c r="C292">
        <v>305</v>
      </c>
    </row>
    <row r="293" spans="1:3" x14ac:dyDescent="0.25">
      <c r="A293">
        <v>29</v>
      </c>
      <c r="B293">
        <v>0</v>
      </c>
      <c r="C293">
        <v>305</v>
      </c>
    </row>
    <row r="294" spans="1:3" x14ac:dyDescent="0.25">
      <c r="A294">
        <v>16</v>
      </c>
      <c r="B294">
        <v>0</v>
      </c>
      <c r="C294">
        <v>305</v>
      </c>
    </row>
    <row r="295" spans="1:3" x14ac:dyDescent="0.25">
      <c r="A295">
        <v>30</v>
      </c>
      <c r="B295">
        <v>0</v>
      </c>
      <c r="C295">
        <v>305</v>
      </c>
    </row>
    <row r="296" spans="1:3" x14ac:dyDescent="0.25">
      <c r="A296">
        <v>16</v>
      </c>
      <c r="B296">
        <v>0</v>
      </c>
      <c r="C296">
        <v>291</v>
      </c>
    </row>
    <row r="297" spans="1:3" x14ac:dyDescent="0.25">
      <c r="A297">
        <v>12</v>
      </c>
      <c r="B297">
        <v>0</v>
      </c>
      <c r="C297">
        <v>291</v>
      </c>
    </row>
    <row r="298" spans="1:3" x14ac:dyDescent="0.25">
      <c r="A298">
        <v>13</v>
      </c>
      <c r="B298">
        <v>0</v>
      </c>
      <c r="C298">
        <v>291</v>
      </c>
    </row>
    <row r="299" spans="1:3" x14ac:dyDescent="0.25">
      <c r="A299">
        <v>12</v>
      </c>
      <c r="B299">
        <v>0</v>
      </c>
      <c r="C299">
        <v>291</v>
      </c>
    </row>
    <row r="300" spans="1:3" x14ac:dyDescent="0.25">
      <c r="A300">
        <v>24</v>
      </c>
      <c r="B300">
        <v>0</v>
      </c>
      <c r="C300">
        <v>291</v>
      </c>
    </row>
    <row r="301" spans="1:3" x14ac:dyDescent="0.25">
      <c r="A301">
        <v>17</v>
      </c>
      <c r="B301">
        <v>0</v>
      </c>
      <c r="C301">
        <v>291</v>
      </c>
    </row>
    <row r="302" spans="1:3" x14ac:dyDescent="0.25">
      <c r="A302">
        <v>14</v>
      </c>
      <c r="B302">
        <v>0</v>
      </c>
      <c r="C302">
        <v>338</v>
      </c>
    </row>
    <row r="303" spans="1:3" x14ac:dyDescent="0.25">
      <c r="A303">
        <v>12</v>
      </c>
      <c r="B303">
        <v>0</v>
      </c>
      <c r="C303">
        <v>338</v>
      </c>
    </row>
    <row r="304" spans="1:3" x14ac:dyDescent="0.25">
      <c r="A304">
        <v>12</v>
      </c>
      <c r="B304">
        <v>0</v>
      </c>
      <c r="C304">
        <v>338</v>
      </c>
    </row>
    <row r="305" spans="1:3" x14ac:dyDescent="0.25">
      <c r="A305">
        <v>37</v>
      </c>
      <c r="B305">
        <v>0</v>
      </c>
      <c r="C305">
        <v>338</v>
      </c>
    </row>
    <row r="306" spans="1:3" x14ac:dyDescent="0.25">
      <c r="A306">
        <v>19</v>
      </c>
      <c r="B306">
        <v>0</v>
      </c>
      <c r="C306">
        <v>338</v>
      </c>
    </row>
    <row r="307" spans="1:3" x14ac:dyDescent="0.25">
      <c r="A307">
        <v>13</v>
      </c>
      <c r="B307">
        <v>0</v>
      </c>
      <c r="C307">
        <v>338</v>
      </c>
    </row>
    <row r="308" spans="1:3" x14ac:dyDescent="0.25">
      <c r="A308">
        <v>16</v>
      </c>
      <c r="B308">
        <v>0</v>
      </c>
      <c r="C308">
        <v>308</v>
      </c>
    </row>
    <row r="309" spans="1:3" x14ac:dyDescent="0.25">
      <c r="A309">
        <v>13</v>
      </c>
      <c r="B309">
        <v>0</v>
      </c>
      <c r="C309">
        <v>308</v>
      </c>
    </row>
    <row r="310" spans="1:3" x14ac:dyDescent="0.25">
      <c r="A310">
        <v>35</v>
      </c>
      <c r="B310">
        <v>0</v>
      </c>
      <c r="C310">
        <v>308</v>
      </c>
    </row>
    <row r="311" spans="1:3" x14ac:dyDescent="0.25">
      <c r="A311">
        <v>17</v>
      </c>
      <c r="B311">
        <v>0</v>
      </c>
      <c r="C311">
        <v>308</v>
      </c>
    </row>
    <row r="312" spans="1:3" x14ac:dyDescent="0.25">
      <c r="A312">
        <v>12</v>
      </c>
      <c r="B312">
        <v>0</v>
      </c>
      <c r="C312">
        <v>308</v>
      </c>
    </row>
    <row r="313" spans="1:3" x14ac:dyDescent="0.25">
      <c r="A313">
        <v>16</v>
      </c>
      <c r="B313">
        <v>0</v>
      </c>
      <c r="C313">
        <v>349</v>
      </c>
    </row>
    <row r="314" spans="1:3" x14ac:dyDescent="0.25">
      <c r="A314">
        <v>12</v>
      </c>
      <c r="B314">
        <v>0</v>
      </c>
      <c r="C314">
        <v>349</v>
      </c>
    </row>
    <row r="315" spans="1:3" x14ac:dyDescent="0.25">
      <c r="A315">
        <v>33</v>
      </c>
      <c r="B315">
        <v>0</v>
      </c>
      <c r="C315">
        <v>349</v>
      </c>
    </row>
    <row r="316" spans="1:3" x14ac:dyDescent="0.25">
      <c r="A316">
        <v>21</v>
      </c>
      <c r="B316">
        <v>0</v>
      </c>
      <c r="C316">
        <v>349</v>
      </c>
    </row>
    <row r="317" spans="1:3" x14ac:dyDescent="0.25">
      <c r="A317">
        <v>12</v>
      </c>
      <c r="B317">
        <v>0</v>
      </c>
      <c r="C317">
        <v>349</v>
      </c>
    </row>
    <row r="318" spans="1:3" x14ac:dyDescent="0.25">
      <c r="A318">
        <v>13</v>
      </c>
      <c r="B318">
        <v>0</v>
      </c>
      <c r="C318">
        <v>349</v>
      </c>
    </row>
    <row r="319" spans="1:3" x14ac:dyDescent="0.25">
      <c r="A319">
        <v>12</v>
      </c>
      <c r="B319">
        <v>0</v>
      </c>
      <c r="C319">
        <v>300</v>
      </c>
    </row>
    <row r="320" spans="1:3" x14ac:dyDescent="0.25">
      <c r="A320">
        <v>14</v>
      </c>
      <c r="B320">
        <v>0</v>
      </c>
      <c r="C320">
        <v>300</v>
      </c>
    </row>
    <row r="321" spans="1:3" x14ac:dyDescent="0.25">
      <c r="A321">
        <v>20</v>
      </c>
      <c r="B321">
        <v>0</v>
      </c>
      <c r="C321">
        <v>300</v>
      </c>
    </row>
    <row r="322" spans="1:3" x14ac:dyDescent="0.25">
      <c r="A322">
        <v>12</v>
      </c>
      <c r="B322">
        <v>0</v>
      </c>
      <c r="C322">
        <v>300</v>
      </c>
    </row>
    <row r="323" spans="1:3" x14ac:dyDescent="0.25">
      <c r="A323">
        <v>12</v>
      </c>
      <c r="B323">
        <v>0</v>
      </c>
      <c r="C323">
        <v>300</v>
      </c>
    </row>
    <row r="324" spans="1:3" x14ac:dyDescent="0.25">
      <c r="A324">
        <v>13</v>
      </c>
      <c r="B324">
        <v>0</v>
      </c>
      <c r="C324">
        <v>275</v>
      </c>
    </row>
    <row r="325" spans="1:3" x14ac:dyDescent="0.25">
      <c r="A325">
        <v>12</v>
      </c>
      <c r="B325">
        <v>0</v>
      </c>
      <c r="C325">
        <v>275</v>
      </c>
    </row>
    <row r="326" spans="1:3" x14ac:dyDescent="0.25">
      <c r="A326">
        <v>18</v>
      </c>
      <c r="B326">
        <v>0</v>
      </c>
      <c r="C326">
        <v>275</v>
      </c>
    </row>
    <row r="327" spans="1:3" x14ac:dyDescent="0.25">
      <c r="A327">
        <v>12</v>
      </c>
      <c r="B327">
        <v>0</v>
      </c>
      <c r="C327">
        <v>275</v>
      </c>
    </row>
    <row r="328" spans="1:3" x14ac:dyDescent="0.25">
      <c r="A328">
        <v>13</v>
      </c>
      <c r="B328">
        <v>0</v>
      </c>
      <c r="C328">
        <v>275</v>
      </c>
    </row>
    <row r="329" spans="1:3" x14ac:dyDescent="0.25">
      <c r="A329">
        <v>12</v>
      </c>
      <c r="B329">
        <v>0</v>
      </c>
      <c r="C329">
        <v>282</v>
      </c>
    </row>
    <row r="330" spans="1:3" x14ac:dyDescent="0.25">
      <c r="A330">
        <v>30</v>
      </c>
      <c r="B330">
        <v>0</v>
      </c>
      <c r="C330">
        <v>282</v>
      </c>
    </row>
    <row r="331" spans="1:3" x14ac:dyDescent="0.25">
      <c r="A331">
        <v>15</v>
      </c>
      <c r="B331">
        <v>0</v>
      </c>
      <c r="C331">
        <v>282</v>
      </c>
    </row>
    <row r="332" spans="1:3" x14ac:dyDescent="0.25">
      <c r="A332">
        <v>12</v>
      </c>
      <c r="B332">
        <v>0</v>
      </c>
      <c r="C332">
        <v>282</v>
      </c>
    </row>
    <row r="333" spans="1:3" x14ac:dyDescent="0.25">
      <c r="A333">
        <v>35</v>
      </c>
      <c r="B333">
        <v>0</v>
      </c>
      <c r="C333">
        <v>282</v>
      </c>
    </row>
    <row r="334" spans="1:3" x14ac:dyDescent="0.25">
      <c r="A334">
        <v>20</v>
      </c>
      <c r="B334">
        <v>0</v>
      </c>
      <c r="C334">
        <v>393</v>
      </c>
    </row>
    <row r="335" spans="1:3" x14ac:dyDescent="0.25">
      <c r="A335">
        <v>32</v>
      </c>
      <c r="B335">
        <v>0</v>
      </c>
      <c r="C335">
        <v>393</v>
      </c>
    </row>
    <row r="336" spans="1:3" x14ac:dyDescent="0.25">
      <c r="A336">
        <v>22</v>
      </c>
      <c r="B336">
        <v>0</v>
      </c>
      <c r="C336">
        <v>393</v>
      </c>
    </row>
    <row r="337" spans="1:3" x14ac:dyDescent="0.25">
      <c r="A337">
        <v>16</v>
      </c>
      <c r="B337">
        <v>0</v>
      </c>
      <c r="C337">
        <v>393</v>
      </c>
    </row>
    <row r="338" spans="1:3" x14ac:dyDescent="0.25">
      <c r="A338">
        <v>15</v>
      </c>
      <c r="B338">
        <v>0</v>
      </c>
      <c r="C338">
        <v>393</v>
      </c>
    </row>
    <row r="339" spans="1:3" x14ac:dyDescent="0.25">
      <c r="A339">
        <v>40</v>
      </c>
      <c r="B339">
        <v>0</v>
      </c>
      <c r="C339">
        <v>378</v>
      </c>
    </row>
    <row r="340" spans="1:3" x14ac:dyDescent="0.25">
      <c r="A340">
        <v>16</v>
      </c>
      <c r="B340">
        <v>0</v>
      </c>
      <c r="C340">
        <v>378</v>
      </c>
    </row>
    <row r="341" spans="1:3" x14ac:dyDescent="0.25">
      <c r="A341">
        <v>15</v>
      </c>
      <c r="B341">
        <v>0</v>
      </c>
      <c r="C341">
        <v>378</v>
      </c>
    </row>
    <row r="342" spans="1:3" x14ac:dyDescent="0.25">
      <c r="A342">
        <v>11</v>
      </c>
      <c r="B342">
        <v>0</v>
      </c>
      <c r="C342">
        <v>378</v>
      </c>
    </row>
    <row r="343" spans="1:3" x14ac:dyDescent="0.25">
      <c r="A343">
        <v>13</v>
      </c>
      <c r="B343">
        <v>0</v>
      </c>
      <c r="C343">
        <v>378</v>
      </c>
    </row>
    <row r="344" spans="1:3" x14ac:dyDescent="0.25">
      <c r="A344">
        <v>29</v>
      </c>
      <c r="B344">
        <v>0</v>
      </c>
      <c r="C344">
        <v>378</v>
      </c>
    </row>
    <row r="345" spans="1:3" x14ac:dyDescent="0.25">
      <c r="A345">
        <v>16</v>
      </c>
      <c r="B345">
        <v>0</v>
      </c>
      <c r="C345">
        <v>356</v>
      </c>
    </row>
    <row r="346" spans="1:3" x14ac:dyDescent="0.25">
      <c r="A346">
        <v>21</v>
      </c>
      <c r="B346">
        <v>0</v>
      </c>
      <c r="C346">
        <v>356</v>
      </c>
    </row>
    <row r="347" spans="1:3" x14ac:dyDescent="0.25">
      <c r="A347">
        <v>14</v>
      </c>
      <c r="B347">
        <v>0</v>
      </c>
      <c r="C347">
        <v>356</v>
      </c>
    </row>
    <row r="348" spans="1:3" x14ac:dyDescent="0.25">
      <c r="A348">
        <v>13</v>
      </c>
      <c r="B348">
        <v>0</v>
      </c>
      <c r="C348">
        <v>356</v>
      </c>
    </row>
    <row r="349" spans="1:3" x14ac:dyDescent="0.25">
      <c r="A349">
        <v>33</v>
      </c>
      <c r="B349">
        <v>0</v>
      </c>
      <c r="C349">
        <v>356</v>
      </c>
    </row>
    <row r="350" spans="1:3" x14ac:dyDescent="0.25">
      <c r="A350">
        <v>15</v>
      </c>
      <c r="B350">
        <v>0</v>
      </c>
      <c r="C350">
        <v>314</v>
      </c>
    </row>
    <row r="351" spans="1:3" x14ac:dyDescent="0.25">
      <c r="A351">
        <v>15</v>
      </c>
      <c r="B351">
        <v>0</v>
      </c>
      <c r="C351">
        <v>314</v>
      </c>
    </row>
    <row r="352" spans="1:3" x14ac:dyDescent="0.25">
      <c r="A352">
        <v>15</v>
      </c>
      <c r="B352">
        <v>0</v>
      </c>
      <c r="C352">
        <v>314</v>
      </c>
    </row>
    <row r="353" spans="1:3" x14ac:dyDescent="0.25">
      <c r="A353">
        <v>14</v>
      </c>
      <c r="B353">
        <v>0</v>
      </c>
      <c r="C353">
        <v>314</v>
      </c>
    </row>
    <row r="354" spans="1:3" x14ac:dyDescent="0.25">
      <c r="A354">
        <v>12</v>
      </c>
      <c r="B354">
        <v>0</v>
      </c>
      <c r="C354">
        <v>314</v>
      </c>
    </row>
    <row r="355" spans="1:3" x14ac:dyDescent="0.25">
      <c r="A355">
        <v>34</v>
      </c>
      <c r="B355">
        <v>0</v>
      </c>
      <c r="C355">
        <v>287</v>
      </c>
    </row>
    <row r="356" spans="1:3" x14ac:dyDescent="0.25">
      <c r="A356">
        <v>20</v>
      </c>
      <c r="B356">
        <v>0</v>
      </c>
      <c r="C356">
        <v>287</v>
      </c>
    </row>
    <row r="357" spans="1:3" x14ac:dyDescent="0.25">
      <c r="A357">
        <v>12</v>
      </c>
      <c r="B357">
        <v>0</v>
      </c>
      <c r="C357">
        <v>287</v>
      </c>
    </row>
    <row r="358" spans="1:3" x14ac:dyDescent="0.25">
      <c r="A358">
        <v>12</v>
      </c>
      <c r="B358">
        <v>0</v>
      </c>
      <c r="C358">
        <v>287</v>
      </c>
    </row>
    <row r="359" spans="1:3" x14ac:dyDescent="0.25">
      <c r="A359">
        <v>11</v>
      </c>
      <c r="B359">
        <v>0</v>
      </c>
      <c r="C359">
        <v>287</v>
      </c>
    </row>
    <row r="360" spans="1:3" x14ac:dyDescent="0.25">
      <c r="A360">
        <v>25</v>
      </c>
      <c r="B360">
        <v>0</v>
      </c>
      <c r="C360">
        <v>394</v>
      </c>
    </row>
    <row r="361" spans="1:3" x14ac:dyDescent="0.25">
      <c r="A361">
        <v>20</v>
      </c>
      <c r="B361">
        <v>0</v>
      </c>
      <c r="C361">
        <v>394</v>
      </c>
    </row>
    <row r="362" spans="1:3" x14ac:dyDescent="0.25">
      <c r="A362">
        <v>13</v>
      </c>
      <c r="B362">
        <v>0</v>
      </c>
      <c r="C362">
        <v>394</v>
      </c>
    </row>
    <row r="363" spans="1:3" x14ac:dyDescent="0.25">
      <c r="A363">
        <v>12</v>
      </c>
      <c r="B363">
        <v>0</v>
      </c>
      <c r="C363">
        <v>394</v>
      </c>
    </row>
    <row r="364" spans="1:3" x14ac:dyDescent="0.25">
      <c r="A364">
        <v>28</v>
      </c>
      <c r="B364">
        <v>0</v>
      </c>
      <c r="C364">
        <v>394</v>
      </c>
    </row>
    <row r="365" spans="1:3" x14ac:dyDescent="0.25">
      <c r="A365">
        <v>12</v>
      </c>
      <c r="B365">
        <v>0</v>
      </c>
      <c r="C365">
        <v>394</v>
      </c>
    </row>
    <row r="366" spans="1:3" x14ac:dyDescent="0.25">
      <c r="A366">
        <v>16</v>
      </c>
      <c r="B366">
        <v>0</v>
      </c>
      <c r="C366">
        <v>322</v>
      </c>
    </row>
    <row r="367" spans="1:3" x14ac:dyDescent="0.25">
      <c r="A367">
        <v>13</v>
      </c>
      <c r="B367">
        <v>0</v>
      </c>
      <c r="C367">
        <v>322</v>
      </c>
    </row>
    <row r="368" spans="1:3" x14ac:dyDescent="0.25">
      <c r="A368">
        <v>12</v>
      </c>
      <c r="B368">
        <v>0</v>
      </c>
      <c r="C368">
        <v>322</v>
      </c>
    </row>
    <row r="369" spans="1:3" x14ac:dyDescent="0.25">
      <c r="A369">
        <v>14</v>
      </c>
      <c r="B369">
        <v>0</v>
      </c>
      <c r="C369">
        <v>322</v>
      </c>
    </row>
    <row r="370" spans="1:3" x14ac:dyDescent="0.25">
      <c r="A370">
        <v>12</v>
      </c>
      <c r="B370">
        <v>0</v>
      </c>
      <c r="C370">
        <v>322</v>
      </c>
    </row>
    <row r="371" spans="1:3" x14ac:dyDescent="0.25">
      <c r="A371">
        <v>16</v>
      </c>
      <c r="B371">
        <v>0</v>
      </c>
      <c r="C371">
        <v>322</v>
      </c>
    </row>
    <row r="372" spans="1:3" x14ac:dyDescent="0.25">
      <c r="A372">
        <v>13</v>
      </c>
      <c r="B372">
        <v>0</v>
      </c>
      <c r="C372">
        <v>270</v>
      </c>
    </row>
    <row r="373" spans="1:3" x14ac:dyDescent="0.25">
      <c r="A373">
        <v>12</v>
      </c>
      <c r="B373">
        <v>0</v>
      </c>
      <c r="C373">
        <v>270</v>
      </c>
    </row>
    <row r="374" spans="1:3" x14ac:dyDescent="0.25">
      <c r="A374">
        <v>16</v>
      </c>
      <c r="B374">
        <v>0</v>
      </c>
      <c r="C374">
        <v>270</v>
      </c>
    </row>
    <row r="375" spans="1:3" x14ac:dyDescent="0.25">
      <c r="A375">
        <v>27</v>
      </c>
      <c r="B375">
        <v>0</v>
      </c>
      <c r="C375">
        <v>270</v>
      </c>
    </row>
    <row r="376" spans="1:3" x14ac:dyDescent="0.25">
      <c r="A376">
        <v>19</v>
      </c>
      <c r="B376">
        <v>0</v>
      </c>
      <c r="C376">
        <v>270</v>
      </c>
    </row>
    <row r="377" spans="1:3" x14ac:dyDescent="0.25">
      <c r="A377">
        <v>11</v>
      </c>
      <c r="B377">
        <v>0</v>
      </c>
      <c r="C377">
        <v>366</v>
      </c>
    </row>
    <row r="378" spans="1:3" x14ac:dyDescent="0.25">
      <c r="A378">
        <v>11</v>
      </c>
      <c r="B378">
        <v>0</v>
      </c>
      <c r="C378">
        <v>366</v>
      </c>
    </row>
    <row r="379" spans="1:3" x14ac:dyDescent="0.25">
      <c r="A379">
        <v>38</v>
      </c>
      <c r="B379">
        <v>0</v>
      </c>
      <c r="C379">
        <v>366</v>
      </c>
    </row>
    <row r="380" spans="1:3" x14ac:dyDescent="0.25">
      <c r="A380">
        <v>14</v>
      </c>
      <c r="B380">
        <v>0</v>
      </c>
      <c r="C380">
        <v>366</v>
      </c>
    </row>
    <row r="381" spans="1:3" x14ac:dyDescent="0.25">
      <c r="A381">
        <v>14</v>
      </c>
      <c r="B381">
        <v>0</v>
      </c>
      <c r="C381">
        <v>366</v>
      </c>
    </row>
    <row r="382" spans="1:3" x14ac:dyDescent="0.25">
      <c r="A382">
        <v>14</v>
      </c>
      <c r="B382">
        <v>0</v>
      </c>
      <c r="C382">
        <v>348</v>
      </c>
    </row>
    <row r="383" spans="1:3" x14ac:dyDescent="0.25">
      <c r="A383">
        <v>13</v>
      </c>
      <c r="B383">
        <v>0</v>
      </c>
      <c r="C383">
        <v>348</v>
      </c>
    </row>
    <row r="384" spans="1:3" x14ac:dyDescent="0.25">
      <c r="A384">
        <v>12</v>
      </c>
      <c r="B384">
        <v>0</v>
      </c>
      <c r="C384">
        <v>348</v>
      </c>
    </row>
    <row r="385" spans="1:3" x14ac:dyDescent="0.25">
      <c r="A385">
        <v>41</v>
      </c>
      <c r="B385">
        <v>0</v>
      </c>
      <c r="C385">
        <v>348</v>
      </c>
    </row>
    <row r="386" spans="1:3" x14ac:dyDescent="0.25">
      <c r="A386">
        <v>19</v>
      </c>
      <c r="B386">
        <v>0</v>
      </c>
      <c r="C386">
        <v>348</v>
      </c>
    </row>
    <row r="387" spans="1:3" x14ac:dyDescent="0.25">
      <c r="A387">
        <v>12</v>
      </c>
      <c r="B387">
        <v>0</v>
      </c>
      <c r="C387">
        <v>348</v>
      </c>
    </row>
    <row r="388" spans="1:3" x14ac:dyDescent="0.25">
      <c r="A388">
        <v>12</v>
      </c>
      <c r="B388">
        <v>0</v>
      </c>
      <c r="C388">
        <v>353</v>
      </c>
    </row>
    <row r="389" spans="1:3" x14ac:dyDescent="0.25">
      <c r="A389">
        <v>24</v>
      </c>
      <c r="B389">
        <v>0</v>
      </c>
      <c r="C389">
        <v>353</v>
      </c>
    </row>
    <row r="390" spans="1:3" x14ac:dyDescent="0.25">
      <c r="A390">
        <v>12</v>
      </c>
      <c r="B390">
        <v>0</v>
      </c>
      <c r="C390">
        <v>353</v>
      </c>
    </row>
    <row r="391" spans="1:3" x14ac:dyDescent="0.25">
      <c r="A391">
        <v>18</v>
      </c>
      <c r="B391">
        <v>0</v>
      </c>
      <c r="C391">
        <v>353</v>
      </c>
    </row>
    <row r="392" spans="1:3" x14ac:dyDescent="0.25">
      <c r="A392">
        <v>12</v>
      </c>
      <c r="B392">
        <v>0</v>
      </c>
      <c r="C392">
        <v>353</v>
      </c>
    </row>
    <row r="393" spans="1:3" x14ac:dyDescent="0.25">
      <c r="A393">
        <v>12</v>
      </c>
      <c r="B393">
        <v>0</v>
      </c>
      <c r="C393">
        <v>249</v>
      </c>
    </row>
    <row r="394" spans="1:3" x14ac:dyDescent="0.25">
      <c r="A394">
        <v>14</v>
      </c>
      <c r="B394">
        <v>0</v>
      </c>
      <c r="C394">
        <v>249</v>
      </c>
    </row>
    <row r="395" spans="1:3" x14ac:dyDescent="0.25">
      <c r="A395">
        <v>12</v>
      </c>
      <c r="B395">
        <v>0</v>
      </c>
      <c r="C395">
        <v>249</v>
      </c>
    </row>
    <row r="396" spans="1:3" x14ac:dyDescent="0.25">
      <c r="A396">
        <v>16</v>
      </c>
      <c r="B396">
        <v>0</v>
      </c>
      <c r="C396">
        <v>249</v>
      </c>
    </row>
    <row r="397" spans="1:3" x14ac:dyDescent="0.25">
      <c r="A397">
        <v>14</v>
      </c>
      <c r="B397">
        <v>0</v>
      </c>
      <c r="C397">
        <v>249</v>
      </c>
    </row>
    <row r="398" spans="1:3" x14ac:dyDescent="0.25">
      <c r="A398">
        <v>28</v>
      </c>
      <c r="B398">
        <v>0</v>
      </c>
      <c r="C398">
        <v>371</v>
      </c>
    </row>
    <row r="399" spans="1:3" x14ac:dyDescent="0.25">
      <c r="A399">
        <v>12</v>
      </c>
      <c r="B399">
        <v>0</v>
      </c>
      <c r="C399">
        <v>371</v>
      </c>
    </row>
    <row r="400" spans="1:3" x14ac:dyDescent="0.25">
      <c r="A400">
        <v>12</v>
      </c>
      <c r="B400">
        <v>0</v>
      </c>
      <c r="C400">
        <v>371</v>
      </c>
    </row>
    <row r="401" spans="1:3" x14ac:dyDescent="0.25">
      <c r="A401">
        <v>16</v>
      </c>
      <c r="B401">
        <v>0</v>
      </c>
      <c r="C401">
        <v>371</v>
      </c>
    </row>
    <row r="402" spans="1:3" x14ac:dyDescent="0.25">
      <c r="A402">
        <v>13</v>
      </c>
      <c r="B402">
        <v>0</v>
      </c>
      <c r="C402">
        <v>371</v>
      </c>
    </row>
    <row r="403" spans="1:3" x14ac:dyDescent="0.25">
      <c r="A403">
        <v>12</v>
      </c>
      <c r="B403">
        <v>0</v>
      </c>
      <c r="C403">
        <v>371</v>
      </c>
    </row>
    <row r="404" spans="1:3" x14ac:dyDescent="0.25">
      <c r="A404">
        <v>30</v>
      </c>
      <c r="B404">
        <v>0</v>
      </c>
      <c r="C404">
        <v>307</v>
      </c>
    </row>
    <row r="405" spans="1:3" x14ac:dyDescent="0.25">
      <c r="A405">
        <v>12</v>
      </c>
      <c r="B405">
        <v>0</v>
      </c>
      <c r="C405">
        <v>307</v>
      </c>
    </row>
    <row r="406" spans="1:3" x14ac:dyDescent="0.25">
      <c r="A406">
        <v>15</v>
      </c>
      <c r="B406">
        <v>0</v>
      </c>
      <c r="C406">
        <v>307</v>
      </c>
    </row>
    <row r="407" spans="1:3" x14ac:dyDescent="0.25">
      <c r="A407">
        <v>11</v>
      </c>
      <c r="B407">
        <v>0</v>
      </c>
      <c r="C407">
        <v>307</v>
      </c>
    </row>
    <row r="408" spans="1:3" x14ac:dyDescent="0.25">
      <c r="A408">
        <v>12</v>
      </c>
      <c r="B408">
        <v>0</v>
      </c>
      <c r="C408">
        <v>307</v>
      </c>
    </row>
    <row r="409" spans="1:3" x14ac:dyDescent="0.25">
      <c r="A409">
        <v>11</v>
      </c>
      <c r="B409">
        <v>0</v>
      </c>
      <c r="C409">
        <v>307</v>
      </c>
    </row>
    <row r="410" spans="1:3" x14ac:dyDescent="0.25">
      <c r="A410">
        <v>33</v>
      </c>
      <c r="B410">
        <v>0</v>
      </c>
      <c r="C410">
        <v>346</v>
      </c>
    </row>
    <row r="411" spans="1:3" x14ac:dyDescent="0.25">
      <c r="A411">
        <v>21</v>
      </c>
      <c r="B411">
        <v>0</v>
      </c>
      <c r="C411">
        <v>346</v>
      </c>
    </row>
    <row r="412" spans="1:3" x14ac:dyDescent="0.25">
      <c r="A412">
        <v>14</v>
      </c>
      <c r="B412">
        <v>0</v>
      </c>
      <c r="C412">
        <v>346</v>
      </c>
    </row>
    <row r="413" spans="1:3" x14ac:dyDescent="0.25">
      <c r="A413">
        <v>12</v>
      </c>
      <c r="B413">
        <v>0</v>
      </c>
      <c r="C413">
        <v>346</v>
      </c>
    </row>
    <row r="414" spans="1:3" x14ac:dyDescent="0.25">
      <c r="A414">
        <v>12</v>
      </c>
      <c r="B414">
        <v>0</v>
      </c>
      <c r="C414">
        <v>346</v>
      </c>
    </row>
    <row r="415" spans="1:3" x14ac:dyDescent="0.25">
      <c r="A415">
        <v>12</v>
      </c>
      <c r="B415">
        <v>0</v>
      </c>
      <c r="C415">
        <v>346</v>
      </c>
    </row>
    <row r="416" spans="1:3" x14ac:dyDescent="0.25">
      <c r="A416">
        <v>14</v>
      </c>
      <c r="B416">
        <v>0</v>
      </c>
      <c r="C416">
        <v>385</v>
      </c>
    </row>
    <row r="417" spans="1:3" x14ac:dyDescent="0.25">
      <c r="A417">
        <v>11</v>
      </c>
      <c r="B417">
        <v>0</v>
      </c>
      <c r="C417">
        <v>385</v>
      </c>
    </row>
    <row r="418" spans="1:3" x14ac:dyDescent="0.25">
      <c r="A418">
        <v>12</v>
      </c>
      <c r="B418">
        <v>0</v>
      </c>
      <c r="C418">
        <v>385</v>
      </c>
    </row>
    <row r="419" spans="1:3" x14ac:dyDescent="0.25">
      <c r="A419">
        <v>39</v>
      </c>
      <c r="B419">
        <v>0</v>
      </c>
      <c r="C419">
        <v>385</v>
      </c>
    </row>
    <row r="420" spans="1:3" x14ac:dyDescent="0.25">
      <c r="A420">
        <v>16</v>
      </c>
      <c r="B420">
        <v>0</v>
      </c>
      <c r="C420">
        <v>385</v>
      </c>
    </row>
    <row r="421" spans="1:3" x14ac:dyDescent="0.25">
      <c r="A421">
        <v>13</v>
      </c>
      <c r="B421">
        <v>0</v>
      </c>
      <c r="C421">
        <v>385</v>
      </c>
    </row>
    <row r="422" spans="1:3" x14ac:dyDescent="0.25">
      <c r="A422">
        <v>12</v>
      </c>
      <c r="B422">
        <v>0</v>
      </c>
      <c r="C422">
        <v>333</v>
      </c>
    </row>
    <row r="423" spans="1:3" x14ac:dyDescent="0.25">
      <c r="A423">
        <v>15</v>
      </c>
      <c r="B423">
        <v>0</v>
      </c>
      <c r="C423">
        <v>333</v>
      </c>
    </row>
    <row r="424" spans="1:3" x14ac:dyDescent="0.25">
      <c r="A424">
        <v>34</v>
      </c>
      <c r="B424">
        <v>0</v>
      </c>
      <c r="C424">
        <v>333</v>
      </c>
    </row>
    <row r="425" spans="1:3" x14ac:dyDescent="0.25">
      <c r="A425">
        <v>14</v>
      </c>
      <c r="B425">
        <v>0</v>
      </c>
      <c r="C425">
        <v>333</v>
      </c>
    </row>
    <row r="426" spans="1:3" x14ac:dyDescent="0.25">
      <c r="A426">
        <v>17</v>
      </c>
      <c r="B426">
        <v>0</v>
      </c>
      <c r="C426">
        <v>333</v>
      </c>
    </row>
    <row r="427" spans="1:3" x14ac:dyDescent="0.25">
      <c r="A427">
        <v>12</v>
      </c>
      <c r="B427">
        <v>0</v>
      </c>
      <c r="C427">
        <v>338</v>
      </c>
    </row>
    <row r="428" spans="1:3" x14ac:dyDescent="0.25">
      <c r="A428">
        <v>12</v>
      </c>
      <c r="B428">
        <v>0</v>
      </c>
      <c r="C428">
        <v>338</v>
      </c>
    </row>
    <row r="429" spans="1:3" x14ac:dyDescent="0.25">
      <c r="A429">
        <v>12</v>
      </c>
      <c r="B429">
        <v>0</v>
      </c>
      <c r="C429">
        <v>338</v>
      </c>
    </row>
    <row r="430" spans="1:3" x14ac:dyDescent="0.25">
      <c r="A430">
        <v>30</v>
      </c>
      <c r="B430">
        <v>0</v>
      </c>
      <c r="C430">
        <v>338</v>
      </c>
    </row>
    <row r="431" spans="1:3" x14ac:dyDescent="0.25">
      <c r="A431">
        <v>20</v>
      </c>
      <c r="B431">
        <v>0</v>
      </c>
      <c r="C431">
        <v>338</v>
      </c>
    </row>
    <row r="432" spans="1:3" x14ac:dyDescent="0.25">
      <c r="A432">
        <v>15</v>
      </c>
      <c r="B432">
        <v>0</v>
      </c>
      <c r="C432">
        <v>335</v>
      </c>
    </row>
    <row r="433" spans="1:3" x14ac:dyDescent="0.25">
      <c r="A433">
        <v>11</v>
      </c>
      <c r="B433">
        <v>0</v>
      </c>
      <c r="C433">
        <v>335</v>
      </c>
    </row>
    <row r="434" spans="1:3" x14ac:dyDescent="0.25">
      <c r="A434">
        <v>12</v>
      </c>
      <c r="B434">
        <v>0</v>
      </c>
      <c r="C434">
        <v>335</v>
      </c>
    </row>
    <row r="435" spans="1:3" x14ac:dyDescent="0.25">
      <c r="A435">
        <v>13</v>
      </c>
      <c r="B435">
        <v>0</v>
      </c>
      <c r="C435">
        <v>335</v>
      </c>
    </row>
    <row r="436" spans="1:3" x14ac:dyDescent="0.25">
      <c r="A436">
        <v>15</v>
      </c>
      <c r="B436">
        <v>0</v>
      </c>
      <c r="C436">
        <v>335</v>
      </c>
    </row>
    <row r="437" spans="1:3" x14ac:dyDescent="0.25">
      <c r="A437">
        <v>12</v>
      </c>
      <c r="B437">
        <v>0</v>
      </c>
      <c r="C437">
        <v>335</v>
      </c>
    </row>
    <row r="438" spans="1:3" x14ac:dyDescent="0.25">
      <c r="A438">
        <v>13</v>
      </c>
      <c r="B438">
        <v>0</v>
      </c>
      <c r="C438">
        <v>283</v>
      </c>
    </row>
    <row r="439" spans="1:3" x14ac:dyDescent="0.25">
      <c r="A439">
        <v>13</v>
      </c>
      <c r="B439">
        <v>0</v>
      </c>
      <c r="C439">
        <v>283</v>
      </c>
    </row>
    <row r="440" spans="1:3" x14ac:dyDescent="0.25">
      <c r="A440">
        <v>13</v>
      </c>
      <c r="B440">
        <v>0</v>
      </c>
      <c r="C440">
        <v>283</v>
      </c>
    </row>
    <row r="441" spans="1:3" x14ac:dyDescent="0.25">
      <c r="A441">
        <v>15</v>
      </c>
      <c r="B441">
        <v>0</v>
      </c>
      <c r="C441">
        <v>283</v>
      </c>
    </row>
    <row r="442" spans="1:3" x14ac:dyDescent="0.25">
      <c r="A442">
        <v>13</v>
      </c>
      <c r="B442">
        <v>0</v>
      </c>
      <c r="C442">
        <v>283</v>
      </c>
    </row>
    <row r="443" spans="1:3" x14ac:dyDescent="0.25">
      <c r="A443">
        <v>12</v>
      </c>
      <c r="B443">
        <v>0</v>
      </c>
      <c r="C443">
        <v>255</v>
      </c>
    </row>
    <row r="444" spans="1:3" x14ac:dyDescent="0.25">
      <c r="A444">
        <v>31</v>
      </c>
      <c r="B444">
        <v>0</v>
      </c>
      <c r="C444">
        <v>255</v>
      </c>
    </row>
    <row r="445" spans="1:3" x14ac:dyDescent="0.25">
      <c r="A445">
        <v>13</v>
      </c>
      <c r="B445">
        <v>0</v>
      </c>
      <c r="C445">
        <v>255</v>
      </c>
    </row>
    <row r="446" spans="1:3" x14ac:dyDescent="0.25">
      <c r="A446">
        <v>15</v>
      </c>
      <c r="B446">
        <v>0</v>
      </c>
      <c r="C446">
        <v>255</v>
      </c>
    </row>
    <row r="447" spans="1:3" x14ac:dyDescent="0.25">
      <c r="A447">
        <v>13</v>
      </c>
      <c r="B447">
        <v>0</v>
      </c>
      <c r="C447">
        <v>255</v>
      </c>
    </row>
    <row r="448" spans="1:3" x14ac:dyDescent="0.25">
      <c r="A448">
        <v>11</v>
      </c>
      <c r="B448">
        <v>0</v>
      </c>
      <c r="C448">
        <v>255</v>
      </c>
    </row>
    <row r="449" spans="1:3" x14ac:dyDescent="0.25">
      <c r="A449">
        <v>32</v>
      </c>
      <c r="B449">
        <v>0</v>
      </c>
      <c r="C449">
        <v>300</v>
      </c>
    </row>
    <row r="450" spans="1:3" x14ac:dyDescent="0.25">
      <c r="A450">
        <v>16</v>
      </c>
      <c r="B450">
        <v>0</v>
      </c>
      <c r="C450">
        <v>300</v>
      </c>
    </row>
    <row r="451" spans="1:3" x14ac:dyDescent="0.25">
      <c r="A451">
        <v>15</v>
      </c>
      <c r="B451">
        <v>0</v>
      </c>
      <c r="C451">
        <v>300</v>
      </c>
    </row>
    <row r="452" spans="1:3" x14ac:dyDescent="0.25">
      <c r="A452">
        <v>13</v>
      </c>
      <c r="B452">
        <v>0</v>
      </c>
      <c r="C452">
        <v>300</v>
      </c>
    </row>
    <row r="453" spans="1:3" x14ac:dyDescent="0.25">
      <c r="A453">
        <v>11</v>
      </c>
      <c r="B453">
        <v>0</v>
      </c>
      <c r="C453">
        <v>300</v>
      </c>
    </row>
    <row r="454" spans="1:3" x14ac:dyDescent="0.25">
      <c r="A454">
        <v>18</v>
      </c>
      <c r="B454">
        <v>0</v>
      </c>
      <c r="C454">
        <v>300</v>
      </c>
    </row>
    <row r="455" spans="1:3" x14ac:dyDescent="0.25">
      <c r="A455">
        <v>12</v>
      </c>
      <c r="B455">
        <v>0</v>
      </c>
      <c r="C455">
        <v>365</v>
      </c>
    </row>
    <row r="456" spans="1:3" x14ac:dyDescent="0.25">
      <c r="A456">
        <v>13</v>
      </c>
      <c r="B456">
        <v>0</v>
      </c>
      <c r="C456">
        <v>365</v>
      </c>
    </row>
    <row r="457" spans="1:3" x14ac:dyDescent="0.25">
      <c r="A457">
        <v>14</v>
      </c>
      <c r="B457">
        <v>0</v>
      </c>
      <c r="C457">
        <v>365</v>
      </c>
    </row>
    <row r="458" spans="1:3" x14ac:dyDescent="0.25">
      <c r="A458">
        <v>12</v>
      </c>
      <c r="B458">
        <v>0</v>
      </c>
      <c r="C458">
        <v>365</v>
      </c>
    </row>
    <row r="459" spans="1:3" x14ac:dyDescent="0.25">
      <c r="A459">
        <v>23</v>
      </c>
      <c r="B459">
        <v>0</v>
      </c>
      <c r="C459">
        <v>365</v>
      </c>
    </row>
    <row r="460" spans="1:3" x14ac:dyDescent="0.25">
      <c r="A460">
        <v>10</v>
      </c>
      <c r="B460">
        <v>0</v>
      </c>
      <c r="C460">
        <v>365</v>
      </c>
    </row>
    <row r="461" spans="1:3" x14ac:dyDescent="0.25">
      <c r="A461">
        <v>15</v>
      </c>
      <c r="B461">
        <v>0</v>
      </c>
      <c r="C461">
        <v>290</v>
      </c>
    </row>
    <row r="462" spans="1:3" x14ac:dyDescent="0.25">
      <c r="A462">
        <v>12</v>
      </c>
      <c r="B462">
        <v>0</v>
      </c>
      <c r="C462">
        <v>290</v>
      </c>
    </row>
    <row r="463" spans="1:3" x14ac:dyDescent="0.25">
      <c r="A463">
        <v>14</v>
      </c>
      <c r="B463">
        <v>0</v>
      </c>
      <c r="C463">
        <v>290</v>
      </c>
    </row>
    <row r="464" spans="1:3" x14ac:dyDescent="0.25">
      <c r="A464">
        <v>33</v>
      </c>
      <c r="B464">
        <v>0</v>
      </c>
      <c r="C464">
        <v>290</v>
      </c>
    </row>
    <row r="465" spans="1:3" x14ac:dyDescent="0.25">
      <c r="A465">
        <v>13</v>
      </c>
      <c r="B465">
        <v>0</v>
      </c>
      <c r="C465">
        <v>290</v>
      </c>
    </row>
    <row r="466" spans="1:3" x14ac:dyDescent="0.25">
      <c r="A466">
        <v>15</v>
      </c>
      <c r="B466">
        <v>0</v>
      </c>
      <c r="C466">
        <v>331</v>
      </c>
    </row>
    <row r="467" spans="1:3" x14ac:dyDescent="0.25">
      <c r="A467">
        <v>11</v>
      </c>
      <c r="B467">
        <v>0</v>
      </c>
      <c r="C467">
        <v>331</v>
      </c>
    </row>
    <row r="468" spans="1:3" x14ac:dyDescent="0.25">
      <c r="A468">
        <v>11</v>
      </c>
      <c r="B468">
        <v>0</v>
      </c>
      <c r="C468">
        <v>331</v>
      </c>
    </row>
    <row r="469" spans="1:3" x14ac:dyDescent="0.25">
      <c r="A469">
        <v>14</v>
      </c>
      <c r="B469">
        <v>0</v>
      </c>
      <c r="C469">
        <v>331</v>
      </c>
    </row>
    <row r="470" spans="1:3" x14ac:dyDescent="0.25">
      <c r="A470">
        <v>30</v>
      </c>
      <c r="B470">
        <v>0</v>
      </c>
      <c r="C470">
        <v>331</v>
      </c>
    </row>
    <row r="471" spans="1:3" x14ac:dyDescent="0.25">
      <c r="A471">
        <v>17</v>
      </c>
      <c r="B471">
        <v>0</v>
      </c>
      <c r="C471">
        <v>325</v>
      </c>
    </row>
    <row r="472" spans="1:3" x14ac:dyDescent="0.25">
      <c r="A472">
        <v>12</v>
      </c>
      <c r="B472">
        <v>0</v>
      </c>
      <c r="C472">
        <v>325</v>
      </c>
    </row>
    <row r="473" spans="1:3" x14ac:dyDescent="0.25">
      <c r="A473">
        <v>15</v>
      </c>
      <c r="B473">
        <v>0</v>
      </c>
      <c r="C473">
        <v>325</v>
      </c>
    </row>
    <row r="474" spans="1:3" x14ac:dyDescent="0.25">
      <c r="A474">
        <v>11</v>
      </c>
      <c r="B474">
        <v>0</v>
      </c>
      <c r="C474">
        <v>325</v>
      </c>
    </row>
    <row r="475" spans="1:3" x14ac:dyDescent="0.25">
      <c r="A475">
        <v>11</v>
      </c>
      <c r="B475">
        <v>0</v>
      </c>
      <c r="C475">
        <v>325</v>
      </c>
    </row>
    <row r="476" spans="1:3" x14ac:dyDescent="0.25">
      <c r="A476">
        <v>13</v>
      </c>
      <c r="B476">
        <v>0</v>
      </c>
      <c r="C476">
        <v>325</v>
      </c>
    </row>
    <row r="477" spans="1:3" x14ac:dyDescent="0.25">
      <c r="A477">
        <v>12</v>
      </c>
      <c r="B477">
        <v>0</v>
      </c>
      <c r="C477">
        <v>348</v>
      </c>
    </row>
    <row r="478" spans="1:3" x14ac:dyDescent="0.25">
      <c r="A478">
        <v>14</v>
      </c>
      <c r="B478">
        <v>0</v>
      </c>
      <c r="C478">
        <v>348</v>
      </c>
    </row>
    <row r="479" spans="1:3" x14ac:dyDescent="0.25">
      <c r="A479">
        <v>13</v>
      </c>
      <c r="B479">
        <v>0</v>
      </c>
      <c r="C479">
        <v>348</v>
      </c>
    </row>
    <row r="480" spans="1:3" x14ac:dyDescent="0.25">
      <c r="A480">
        <v>14</v>
      </c>
      <c r="B480">
        <v>0</v>
      </c>
      <c r="C480">
        <v>348</v>
      </c>
    </row>
    <row r="481" spans="1:3" x14ac:dyDescent="0.25">
      <c r="A481">
        <v>14</v>
      </c>
      <c r="B481">
        <v>0</v>
      </c>
      <c r="C481">
        <v>348</v>
      </c>
    </row>
    <row r="482" spans="1:3" x14ac:dyDescent="0.25">
      <c r="A482">
        <v>13</v>
      </c>
      <c r="B482">
        <v>0</v>
      </c>
      <c r="C482">
        <v>348</v>
      </c>
    </row>
    <row r="483" spans="1:3" x14ac:dyDescent="0.25">
      <c r="A483">
        <v>11</v>
      </c>
      <c r="B483">
        <v>0</v>
      </c>
      <c r="C483">
        <v>272</v>
      </c>
    </row>
    <row r="484" spans="1:3" x14ac:dyDescent="0.25">
      <c r="A484">
        <v>29</v>
      </c>
      <c r="B484">
        <v>0</v>
      </c>
      <c r="C484">
        <v>272</v>
      </c>
    </row>
    <row r="485" spans="1:3" x14ac:dyDescent="0.25">
      <c r="A485">
        <v>12</v>
      </c>
      <c r="B485">
        <v>0</v>
      </c>
      <c r="C485">
        <v>272</v>
      </c>
    </row>
    <row r="486" spans="1:3" x14ac:dyDescent="0.25">
      <c r="A486">
        <v>14</v>
      </c>
      <c r="B486">
        <v>0</v>
      </c>
      <c r="C486">
        <v>272</v>
      </c>
    </row>
    <row r="487" spans="1:3" x14ac:dyDescent="0.25">
      <c r="A487">
        <v>14</v>
      </c>
      <c r="B487">
        <v>0</v>
      </c>
      <c r="C487">
        <v>272</v>
      </c>
    </row>
    <row r="488" spans="1:3" x14ac:dyDescent="0.25">
      <c r="A488">
        <v>12</v>
      </c>
      <c r="B488">
        <v>0</v>
      </c>
      <c r="C488">
        <v>339</v>
      </c>
    </row>
    <row r="489" spans="1:3" x14ac:dyDescent="0.25">
      <c r="A489">
        <v>14</v>
      </c>
      <c r="B489">
        <v>0</v>
      </c>
      <c r="C489">
        <v>339</v>
      </c>
    </row>
    <row r="490" spans="1:3" x14ac:dyDescent="0.25">
      <c r="A490">
        <v>13</v>
      </c>
      <c r="B490">
        <v>0</v>
      </c>
      <c r="C490">
        <v>339</v>
      </c>
    </row>
    <row r="491" spans="1:3" x14ac:dyDescent="0.25">
      <c r="A491">
        <v>13</v>
      </c>
      <c r="B491">
        <v>0</v>
      </c>
      <c r="C491">
        <v>339</v>
      </c>
    </row>
    <row r="492" spans="1:3" x14ac:dyDescent="0.25">
      <c r="A492">
        <v>12</v>
      </c>
      <c r="B492">
        <v>0</v>
      </c>
      <c r="C492">
        <v>339</v>
      </c>
    </row>
    <row r="493" spans="1:3" x14ac:dyDescent="0.25">
      <c r="A493">
        <v>11</v>
      </c>
      <c r="B493">
        <v>0</v>
      </c>
      <c r="C493">
        <v>339</v>
      </c>
    </row>
    <row r="494" spans="1:3" x14ac:dyDescent="0.25">
      <c r="A494">
        <v>11</v>
      </c>
      <c r="B494">
        <v>0</v>
      </c>
      <c r="C494">
        <v>276</v>
      </c>
    </row>
    <row r="495" spans="1:3" x14ac:dyDescent="0.25">
      <c r="A495">
        <v>37</v>
      </c>
      <c r="B495">
        <v>0</v>
      </c>
      <c r="C495">
        <v>276</v>
      </c>
    </row>
    <row r="496" spans="1:3" x14ac:dyDescent="0.25">
      <c r="A496">
        <v>16</v>
      </c>
      <c r="B496">
        <v>0</v>
      </c>
      <c r="C496">
        <v>276</v>
      </c>
    </row>
    <row r="497" spans="1:3" x14ac:dyDescent="0.25">
      <c r="A497">
        <v>13</v>
      </c>
      <c r="B497">
        <v>0</v>
      </c>
      <c r="C497">
        <v>276</v>
      </c>
    </row>
    <row r="498" spans="1:3" x14ac:dyDescent="0.25">
      <c r="A498">
        <v>12</v>
      </c>
      <c r="B498">
        <v>0</v>
      </c>
      <c r="C498">
        <v>276</v>
      </c>
    </row>
    <row r="499" spans="1:3" x14ac:dyDescent="0.25">
      <c r="A499">
        <v>12</v>
      </c>
      <c r="B499">
        <v>0</v>
      </c>
      <c r="C499">
        <v>326</v>
      </c>
    </row>
    <row r="500" spans="1:3" x14ac:dyDescent="0.25">
      <c r="A500">
        <v>15</v>
      </c>
      <c r="B500">
        <v>0</v>
      </c>
      <c r="C500">
        <v>326</v>
      </c>
    </row>
    <row r="501" spans="1:3" x14ac:dyDescent="0.25">
      <c r="A501">
        <v>11</v>
      </c>
      <c r="B501">
        <v>0</v>
      </c>
      <c r="C501">
        <v>326</v>
      </c>
    </row>
    <row r="502" spans="1:3" x14ac:dyDescent="0.25">
      <c r="A502">
        <v>11</v>
      </c>
      <c r="B502">
        <v>0</v>
      </c>
      <c r="C502">
        <v>326</v>
      </c>
    </row>
    <row r="503" spans="1:3" x14ac:dyDescent="0.25">
      <c r="A503">
        <v>13</v>
      </c>
      <c r="B503">
        <v>0</v>
      </c>
      <c r="C503">
        <v>326</v>
      </c>
    </row>
    <row r="504" spans="1:3" x14ac:dyDescent="0.25">
      <c r="A504">
        <v>13</v>
      </c>
      <c r="B504">
        <v>0</v>
      </c>
      <c r="C504">
        <v>271</v>
      </c>
    </row>
    <row r="505" spans="1:3" x14ac:dyDescent="0.25">
      <c r="A505">
        <v>20</v>
      </c>
      <c r="B505">
        <v>0</v>
      </c>
      <c r="C505">
        <v>271</v>
      </c>
    </row>
    <row r="506" spans="1:3" x14ac:dyDescent="0.25">
      <c r="A506">
        <v>15</v>
      </c>
      <c r="B506">
        <v>0</v>
      </c>
      <c r="C506">
        <v>271</v>
      </c>
    </row>
    <row r="507" spans="1:3" x14ac:dyDescent="0.25">
      <c r="A507">
        <v>14</v>
      </c>
      <c r="B507">
        <v>0</v>
      </c>
      <c r="C507">
        <v>271</v>
      </c>
    </row>
    <row r="508" spans="1:3" x14ac:dyDescent="0.25">
      <c r="A508">
        <v>14</v>
      </c>
      <c r="B508">
        <v>0</v>
      </c>
      <c r="C508">
        <v>271</v>
      </c>
    </row>
    <row r="509" spans="1:3" x14ac:dyDescent="0.25">
      <c r="A509">
        <v>11</v>
      </c>
      <c r="B509">
        <v>0</v>
      </c>
      <c r="C509">
        <v>271</v>
      </c>
    </row>
    <row r="510" spans="1:3" x14ac:dyDescent="0.25">
      <c r="A510">
        <v>18</v>
      </c>
      <c r="B510">
        <v>0</v>
      </c>
      <c r="C510">
        <v>312</v>
      </c>
    </row>
    <row r="511" spans="1:3" x14ac:dyDescent="0.25">
      <c r="A511">
        <v>13</v>
      </c>
      <c r="B511">
        <v>0</v>
      </c>
      <c r="C511">
        <v>312</v>
      </c>
    </row>
    <row r="512" spans="1:3" x14ac:dyDescent="0.25">
      <c r="A512">
        <v>12</v>
      </c>
      <c r="B512">
        <v>0</v>
      </c>
      <c r="C512">
        <v>312</v>
      </c>
    </row>
    <row r="513" spans="1:3" x14ac:dyDescent="0.25">
      <c r="A513">
        <v>32</v>
      </c>
      <c r="B513">
        <v>0</v>
      </c>
      <c r="C513">
        <v>312</v>
      </c>
    </row>
    <row r="514" spans="1:3" x14ac:dyDescent="0.25">
      <c r="A514">
        <v>12</v>
      </c>
      <c r="B514">
        <v>0</v>
      </c>
      <c r="C514">
        <v>312</v>
      </c>
    </row>
    <row r="515" spans="1:3" x14ac:dyDescent="0.25">
      <c r="A515">
        <v>13</v>
      </c>
      <c r="B515">
        <v>0</v>
      </c>
      <c r="C515">
        <v>312</v>
      </c>
    </row>
    <row r="516" spans="1:3" x14ac:dyDescent="0.25">
      <c r="A516">
        <v>14</v>
      </c>
      <c r="B516">
        <v>0</v>
      </c>
      <c r="C516">
        <v>312</v>
      </c>
    </row>
    <row r="517" spans="1:3" x14ac:dyDescent="0.25">
      <c r="A517">
        <v>12</v>
      </c>
      <c r="B517">
        <v>0</v>
      </c>
      <c r="C517">
        <v>312</v>
      </c>
    </row>
    <row r="518" spans="1:3" x14ac:dyDescent="0.25">
      <c r="A518">
        <v>14</v>
      </c>
      <c r="B518">
        <v>0</v>
      </c>
      <c r="C518">
        <v>312</v>
      </c>
    </row>
    <row r="519" spans="1:3" x14ac:dyDescent="0.25">
      <c r="A519">
        <v>32</v>
      </c>
      <c r="B519">
        <v>0</v>
      </c>
      <c r="C519">
        <v>312</v>
      </c>
    </row>
    <row r="520" spans="1:3" x14ac:dyDescent="0.25">
      <c r="A520">
        <v>18</v>
      </c>
      <c r="B520">
        <v>0</v>
      </c>
      <c r="C520">
        <v>312</v>
      </c>
    </row>
    <row r="521" spans="1:3" x14ac:dyDescent="0.25">
      <c r="A521">
        <v>13</v>
      </c>
      <c r="B521">
        <v>0</v>
      </c>
      <c r="C521">
        <v>327</v>
      </c>
    </row>
    <row r="522" spans="1:3" x14ac:dyDescent="0.25">
      <c r="A522">
        <v>13</v>
      </c>
      <c r="B522">
        <v>0</v>
      </c>
      <c r="C522">
        <v>327</v>
      </c>
    </row>
    <row r="523" spans="1:3" x14ac:dyDescent="0.25">
      <c r="A523">
        <v>41</v>
      </c>
      <c r="B523">
        <v>0</v>
      </c>
      <c r="C523">
        <v>327</v>
      </c>
    </row>
    <row r="524" spans="1:3" x14ac:dyDescent="0.25">
      <c r="A524">
        <v>13</v>
      </c>
      <c r="B524">
        <v>0</v>
      </c>
      <c r="C524">
        <v>327</v>
      </c>
    </row>
    <row r="525" spans="1:3" x14ac:dyDescent="0.25">
      <c r="A525">
        <v>22</v>
      </c>
      <c r="B525">
        <v>0</v>
      </c>
      <c r="C525">
        <v>327</v>
      </c>
    </row>
    <row r="526" spans="1:3" x14ac:dyDescent="0.25">
      <c r="A526">
        <v>14</v>
      </c>
      <c r="B526">
        <v>0</v>
      </c>
      <c r="C526">
        <v>327</v>
      </c>
    </row>
    <row r="527" spans="1:3" x14ac:dyDescent="0.25">
      <c r="A527">
        <v>12</v>
      </c>
      <c r="B527">
        <v>0</v>
      </c>
      <c r="C527">
        <v>301</v>
      </c>
    </row>
    <row r="528" spans="1:3" x14ac:dyDescent="0.25">
      <c r="A528">
        <v>11</v>
      </c>
      <c r="B528">
        <v>0</v>
      </c>
      <c r="C528">
        <v>301</v>
      </c>
    </row>
    <row r="529" spans="1:3" x14ac:dyDescent="0.25">
      <c r="A529">
        <v>11</v>
      </c>
      <c r="B529">
        <v>0</v>
      </c>
      <c r="C529">
        <v>301</v>
      </c>
    </row>
    <row r="530" spans="1:3" x14ac:dyDescent="0.25">
      <c r="A530">
        <v>16</v>
      </c>
      <c r="B530">
        <v>0</v>
      </c>
      <c r="C530">
        <v>301</v>
      </c>
    </row>
    <row r="531" spans="1:3" x14ac:dyDescent="0.25">
      <c r="A531">
        <v>15</v>
      </c>
      <c r="B531">
        <v>0</v>
      </c>
      <c r="C531">
        <v>301</v>
      </c>
    </row>
    <row r="532" spans="1:3" x14ac:dyDescent="0.25">
      <c r="A532">
        <v>13</v>
      </c>
      <c r="B532">
        <v>0</v>
      </c>
      <c r="C532">
        <v>387</v>
      </c>
    </row>
    <row r="533" spans="1:3" x14ac:dyDescent="0.25">
      <c r="A533">
        <v>12</v>
      </c>
      <c r="B533">
        <v>0</v>
      </c>
      <c r="C533">
        <v>387</v>
      </c>
    </row>
    <row r="534" spans="1:3" x14ac:dyDescent="0.25">
      <c r="A534">
        <v>12</v>
      </c>
      <c r="B534">
        <v>0</v>
      </c>
      <c r="C534">
        <v>387</v>
      </c>
    </row>
    <row r="535" spans="1:3" x14ac:dyDescent="0.25">
      <c r="A535">
        <v>22</v>
      </c>
      <c r="B535">
        <v>0</v>
      </c>
      <c r="C535">
        <v>387</v>
      </c>
    </row>
    <row r="536" spans="1:3" x14ac:dyDescent="0.25">
      <c r="A536">
        <v>14</v>
      </c>
      <c r="B536">
        <v>0</v>
      </c>
      <c r="C536">
        <v>387</v>
      </c>
    </row>
    <row r="537" spans="1:3" x14ac:dyDescent="0.25">
      <c r="A537">
        <v>12</v>
      </c>
      <c r="B537">
        <v>0</v>
      </c>
      <c r="C537">
        <v>387</v>
      </c>
    </row>
    <row r="538" spans="1:3" x14ac:dyDescent="0.25">
      <c r="A538">
        <v>12</v>
      </c>
      <c r="B538">
        <v>0</v>
      </c>
      <c r="C538">
        <v>312</v>
      </c>
    </row>
    <row r="539" spans="1:3" x14ac:dyDescent="0.25">
      <c r="A539">
        <v>32</v>
      </c>
      <c r="B539">
        <v>0</v>
      </c>
      <c r="C539">
        <v>312</v>
      </c>
    </row>
    <row r="540" spans="1:3" x14ac:dyDescent="0.25">
      <c r="A540">
        <v>17</v>
      </c>
      <c r="B540">
        <v>0</v>
      </c>
      <c r="C540">
        <v>312</v>
      </c>
    </row>
    <row r="541" spans="1:3" x14ac:dyDescent="0.25">
      <c r="A541">
        <v>13</v>
      </c>
      <c r="B541">
        <v>0</v>
      </c>
      <c r="C541">
        <v>312</v>
      </c>
    </row>
    <row r="542" spans="1:3" x14ac:dyDescent="0.25">
      <c r="A542">
        <v>14</v>
      </c>
      <c r="B542">
        <v>0</v>
      </c>
      <c r="C542">
        <v>312</v>
      </c>
    </row>
    <row r="543" spans="1:3" x14ac:dyDescent="0.25">
      <c r="A543">
        <v>12</v>
      </c>
      <c r="B543">
        <v>0</v>
      </c>
      <c r="C543">
        <v>329</v>
      </c>
    </row>
    <row r="544" spans="1:3" x14ac:dyDescent="0.25">
      <c r="A544">
        <v>31</v>
      </c>
      <c r="B544">
        <v>0</v>
      </c>
      <c r="C544">
        <v>329</v>
      </c>
    </row>
    <row r="545" spans="1:3" x14ac:dyDescent="0.25">
      <c r="A545">
        <v>21</v>
      </c>
      <c r="B545">
        <v>0</v>
      </c>
      <c r="C545">
        <v>329</v>
      </c>
    </row>
    <row r="546" spans="1:3" x14ac:dyDescent="0.25">
      <c r="A546">
        <v>14</v>
      </c>
      <c r="B546">
        <v>0</v>
      </c>
      <c r="C546">
        <v>329</v>
      </c>
    </row>
    <row r="547" spans="1:3" x14ac:dyDescent="0.25">
      <c r="A547">
        <v>12</v>
      </c>
      <c r="B547">
        <v>0</v>
      </c>
      <c r="C547">
        <v>329</v>
      </c>
    </row>
    <row r="548" spans="1:3" x14ac:dyDescent="0.25">
      <c r="A548">
        <v>14</v>
      </c>
      <c r="B548">
        <v>0</v>
      </c>
      <c r="C548">
        <v>358</v>
      </c>
    </row>
    <row r="549" spans="1:3" x14ac:dyDescent="0.25">
      <c r="A549">
        <v>13</v>
      </c>
      <c r="B549">
        <v>0</v>
      </c>
      <c r="C549">
        <v>358</v>
      </c>
    </row>
    <row r="550" spans="1:3" x14ac:dyDescent="0.25">
      <c r="A550">
        <v>16</v>
      </c>
      <c r="B550">
        <v>0</v>
      </c>
      <c r="C550">
        <v>358</v>
      </c>
    </row>
    <row r="551" spans="1:3" x14ac:dyDescent="0.25">
      <c r="A551">
        <v>14</v>
      </c>
      <c r="B551">
        <v>0</v>
      </c>
      <c r="C551">
        <v>358</v>
      </c>
    </row>
    <row r="552" spans="1:3" x14ac:dyDescent="0.25">
      <c r="A552">
        <v>14</v>
      </c>
      <c r="B552">
        <v>0</v>
      </c>
      <c r="C552">
        <v>358</v>
      </c>
    </row>
    <row r="553" spans="1:3" x14ac:dyDescent="0.25">
      <c r="A553">
        <v>14</v>
      </c>
      <c r="B553">
        <v>0</v>
      </c>
      <c r="C553">
        <v>260</v>
      </c>
    </row>
    <row r="554" spans="1:3" x14ac:dyDescent="0.25">
      <c r="A554">
        <v>12</v>
      </c>
      <c r="B554">
        <v>0</v>
      </c>
      <c r="C554">
        <v>260</v>
      </c>
    </row>
    <row r="555" spans="1:3" x14ac:dyDescent="0.25">
      <c r="A555">
        <v>21</v>
      </c>
      <c r="B555">
        <v>0</v>
      </c>
      <c r="C555">
        <v>260</v>
      </c>
    </row>
    <row r="556" spans="1:3" x14ac:dyDescent="0.25">
      <c r="A556">
        <v>42</v>
      </c>
      <c r="B556">
        <v>0</v>
      </c>
      <c r="C556">
        <v>260</v>
      </c>
    </row>
    <row r="557" spans="1:3" x14ac:dyDescent="0.25">
      <c r="A557">
        <v>14</v>
      </c>
      <c r="B557">
        <v>0</v>
      </c>
      <c r="C557">
        <v>260</v>
      </c>
    </row>
    <row r="558" spans="1:3" x14ac:dyDescent="0.25">
      <c r="A558">
        <v>11</v>
      </c>
      <c r="B558">
        <v>0</v>
      </c>
      <c r="C558">
        <v>418</v>
      </c>
    </row>
    <row r="559" spans="1:3" x14ac:dyDescent="0.25">
      <c r="A559">
        <v>31</v>
      </c>
      <c r="B559">
        <v>0</v>
      </c>
      <c r="C559">
        <v>418</v>
      </c>
    </row>
    <row r="560" spans="1:3" x14ac:dyDescent="0.25">
      <c r="A560">
        <v>19</v>
      </c>
      <c r="B560">
        <v>0</v>
      </c>
      <c r="C560">
        <v>418</v>
      </c>
    </row>
    <row r="561" spans="1:3" x14ac:dyDescent="0.25">
      <c r="A561">
        <v>13</v>
      </c>
      <c r="B561">
        <v>0</v>
      </c>
      <c r="C561">
        <v>418</v>
      </c>
    </row>
    <row r="562" spans="1:3" x14ac:dyDescent="0.25">
      <c r="A562">
        <v>14</v>
      </c>
      <c r="B562">
        <v>0</v>
      </c>
      <c r="C562">
        <v>418</v>
      </c>
    </row>
    <row r="563" spans="1:3" x14ac:dyDescent="0.25">
      <c r="A563">
        <v>12</v>
      </c>
      <c r="B563">
        <v>0</v>
      </c>
      <c r="C563">
        <v>418</v>
      </c>
    </row>
    <row r="564" spans="1:3" x14ac:dyDescent="0.25">
      <c r="A564">
        <v>13</v>
      </c>
      <c r="B564">
        <v>0</v>
      </c>
      <c r="C564">
        <v>350</v>
      </c>
    </row>
    <row r="565" spans="1:3" x14ac:dyDescent="0.25">
      <c r="A565">
        <v>21</v>
      </c>
      <c r="B565">
        <v>0</v>
      </c>
      <c r="C565">
        <v>350</v>
      </c>
    </row>
    <row r="566" spans="1:3" x14ac:dyDescent="0.25">
      <c r="A566">
        <v>13</v>
      </c>
      <c r="B566">
        <v>0</v>
      </c>
      <c r="C566">
        <v>350</v>
      </c>
    </row>
    <row r="567" spans="1:3" x14ac:dyDescent="0.25">
      <c r="A567">
        <v>14</v>
      </c>
      <c r="B567">
        <v>0</v>
      </c>
      <c r="C567">
        <v>350</v>
      </c>
    </row>
    <row r="568" spans="1:3" x14ac:dyDescent="0.25">
      <c r="A568">
        <v>12</v>
      </c>
      <c r="B568">
        <v>0</v>
      </c>
      <c r="C568">
        <v>350</v>
      </c>
    </row>
    <row r="569" spans="1:3" x14ac:dyDescent="0.25">
      <c r="A569">
        <v>12</v>
      </c>
      <c r="B569">
        <v>0</v>
      </c>
      <c r="C569">
        <v>350</v>
      </c>
    </row>
    <row r="570" spans="1:3" x14ac:dyDescent="0.25">
      <c r="A570">
        <v>17</v>
      </c>
      <c r="B570">
        <v>0</v>
      </c>
      <c r="C570">
        <v>359</v>
      </c>
    </row>
    <row r="571" spans="1:3" x14ac:dyDescent="0.25">
      <c r="A571">
        <v>12</v>
      </c>
      <c r="B571">
        <v>0</v>
      </c>
      <c r="C571">
        <v>359</v>
      </c>
    </row>
    <row r="572" spans="1:3" x14ac:dyDescent="0.25">
      <c r="A572">
        <v>15</v>
      </c>
      <c r="B572">
        <v>0</v>
      </c>
      <c r="C572">
        <v>359</v>
      </c>
    </row>
    <row r="573" spans="1:3" x14ac:dyDescent="0.25">
      <c r="A573">
        <v>13</v>
      </c>
      <c r="B573">
        <v>0</v>
      </c>
      <c r="C573">
        <v>359</v>
      </c>
    </row>
    <row r="574" spans="1:3" x14ac:dyDescent="0.25">
      <c r="A574">
        <v>11</v>
      </c>
      <c r="B574">
        <v>0</v>
      </c>
      <c r="C574">
        <v>359</v>
      </c>
    </row>
    <row r="575" spans="1:3" x14ac:dyDescent="0.25">
      <c r="A575">
        <v>19</v>
      </c>
      <c r="B575">
        <v>0</v>
      </c>
      <c r="C575">
        <v>306</v>
      </c>
    </row>
    <row r="576" spans="1:3" x14ac:dyDescent="0.25">
      <c r="A576">
        <v>12</v>
      </c>
      <c r="B576">
        <v>0</v>
      </c>
      <c r="C576">
        <v>306</v>
      </c>
    </row>
    <row r="577" spans="1:3" x14ac:dyDescent="0.25">
      <c r="A577">
        <v>12</v>
      </c>
      <c r="B577">
        <v>0</v>
      </c>
      <c r="C577">
        <v>306</v>
      </c>
    </row>
    <row r="578" spans="1:3" x14ac:dyDescent="0.25">
      <c r="A578">
        <v>16</v>
      </c>
      <c r="B578">
        <v>0</v>
      </c>
      <c r="C578">
        <v>306</v>
      </c>
    </row>
    <row r="579" spans="1:3" x14ac:dyDescent="0.25">
      <c r="A579">
        <v>32</v>
      </c>
      <c r="B579">
        <v>0</v>
      </c>
      <c r="C579">
        <v>306</v>
      </c>
    </row>
    <row r="580" spans="1:3" x14ac:dyDescent="0.25">
      <c r="A580">
        <v>15</v>
      </c>
      <c r="B580">
        <v>0</v>
      </c>
      <c r="C580">
        <v>306</v>
      </c>
    </row>
    <row r="581" spans="1:3" x14ac:dyDescent="0.25">
      <c r="A581">
        <v>13</v>
      </c>
      <c r="B581">
        <v>0</v>
      </c>
      <c r="C581">
        <v>256</v>
      </c>
    </row>
    <row r="582" spans="1:3" x14ac:dyDescent="0.25">
      <c r="A582">
        <v>32</v>
      </c>
      <c r="B582">
        <v>0</v>
      </c>
      <c r="C582">
        <v>256</v>
      </c>
    </row>
    <row r="583" spans="1:3" x14ac:dyDescent="0.25">
      <c r="A583">
        <v>12</v>
      </c>
      <c r="B583">
        <v>0</v>
      </c>
      <c r="C583">
        <v>256</v>
      </c>
    </row>
    <row r="584" spans="1:3" x14ac:dyDescent="0.25">
      <c r="A584">
        <v>11</v>
      </c>
      <c r="B584">
        <v>0</v>
      </c>
      <c r="C584">
        <v>256</v>
      </c>
    </row>
    <row r="585" spans="1:3" x14ac:dyDescent="0.25">
      <c r="A585">
        <v>16</v>
      </c>
      <c r="B585">
        <v>0</v>
      </c>
      <c r="C585">
        <v>256</v>
      </c>
    </row>
    <row r="586" spans="1:3" x14ac:dyDescent="0.25">
      <c r="A586">
        <v>12</v>
      </c>
      <c r="B586">
        <v>0</v>
      </c>
      <c r="C586">
        <v>256</v>
      </c>
    </row>
    <row r="587" spans="1:3" x14ac:dyDescent="0.25">
      <c r="A587">
        <v>11</v>
      </c>
      <c r="B587">
        <v>0</v>
      </c>
      <c r="C587">
        <v>326</v>
      </c>
    </row>
    <row r="588" spans="1:3" x14ac:dyDescent="0.25">
      <c r="A588">
        <v>27</v>
      </c>
      <c r="B588">
        <v>0</v>
      </c>
      <c r="C588">
        <v>326</v>
      </c>
    </row>
    <row r="589" spans="1:3" x14ac:dyDescent="0.25">
      <c r="A589">
        <v>12</v>
      </c>
      <c r="B589">
        <v>0</v>
      </c>
      <c r="C589">
        <v>326</v>
      </c>
    </row>
    <row r="590" spans="1:3" x14ac:dyDescent="0.25">
      <c r="A590">
        <v>17</v>
      </c>
      <c r="B590">
        <v>0</v>
      </c>
      <c r="C590">
        <v>326</v>
      </c>
    </row>
    <row r="591" spans="1:3" x14ac:dyDescent="0.25">
      <c r="A591">
        <v>11</v>
      </c>
      <c r="B591">
        <v>0</v>
      </c>
      <c r="C591">
        <v>326</v>
      </c>
    </row>
    <row r="592" spans="1:3" x14ac:dyDescent="0.25">
      <c r="A592">
        <v>12</v>
      </c>
      <c r="B592">
        <v>0</v>
      </c>
      <c r="C592">
        <v>326</v>
      </c>
    </row>
    <row r="593" spans="1:3" x14ac:dyDescent="0.25">
      <c r="A593">
        <v>33</v>
      </c>
      <c r="B593">
        <v>0</v>
      </c>
      <c r="C593">
        <v>262</v>
      </c>
    </row>
    <row r="594" spans="1:3" x14ac:dyDescent="0.25">
      <c r="A594">
        <v>11</v>
      </c>
      <c r="B594">
        <v>0</v>
      </c>
      <c r="C594">
        <v>262</v>
      </c>
    </row>
    <row r="595" spans="1:3" x14ac:dyDescent="0.25">
      <c r="A595">
        <v>20</v>
      </c>
      <c r="B595">
        <v>0</v>
      </c>
      <c r="C595">
        <v>262</v>
      </c>
    </row>
    <row r="596" spans="1:3" x14ac:dyDescent="0.25">
      <c r="A596">
        <v>14</v>
      </c>
      <c r="B596">
        <v>0</v>
      </c>
      <c r="C596">
        <v>262</v>
      </c>
    </row>
    <row r="597" spans="1:3" x14ac:dyDescent="0.25">
      <c r="A597">
        <v>12</v>
      </c>
      <c r="B597">
        <v>0</v>
      </c>
      <c r="C597">
        <v>262</v>
      </c>
    </row>
    <row r="598" spans="1:3" x14ac:dyDescent="0.25">
      <c r="A598">
        <v>11</v>
      </c>
      <c r="B598">
        <v>0</v>
      </c>
      <c r="C598">
        <v>262</v>
      </c>
    </row>
    <row r="599" spans="1:3" x14ac:dyDescent="0.25">
      <c r="A599">
        <v>31</v>
      </c>
      <c r="B599">
        <v>0</v>
      </c>
      <c r="C599">
        <v>317</v>
      </c>
    </row>
    <row r="600" spans="1:3" x14ac:dyDescent="0.25">
      <c r="A600">
        <v>18</v>
      </c>
      <c r="B600">
        <v>0</v>
      </c>
      <c r="C600">
        <v>317</v>
      </c>
    </row>
    <row r="601" spans="1:3" x14ac:dyDescent="0.25">
      <c r="A601">
        <v>12</v>
      </c>
      <c r="B601">
        <v>0</v>
      </c>
      <c r="C601">
        <v>317</v>
      </c>
    </row>
    <row r="602" spans="1:3" x14ac:dyDescent="0.25">
      <c r="A602">
        <v>31</v>
      </c>
      <c r="B602">
        <v>0</v>
      </c>
      <c r="C602">
        <v>317</v>
      </c>
    </row>
    <row r="603" spans="1:3" x14ac:dyDescent="0.25">
      <c r="A603">
        <v>11</v>
      </c>
      <c r="B603">
        <v>0</v>
      </c>
      <c r="C603">
        <v>317</v>
      </c>
    </row>
    <row r="604" spans="1:3" x14ac:dyDescent="0.25">
      <c r="A604">
        <v>15</v>
      </c>
      <c r="B604">
        <v>0</v>
      </c>
      <c r="C604">
        <v>317</v>
      </c>
    </row>
    <row r="605" spans="1:3" x14ac:dyDescent="0.25">
      <c r="A605">
        <v>17</v>
      </c>
      <c r="B605">
        <v>0</v>
      </c>
      <c r="C605">
        <v>330</v>
      </c>
    </row>
    <row r="606" spans="1:3" x14ac:dyDescent="0.25">
      <c r="A606">
        <v>13</v>
      </c>
      <c r="B606">
        <v>0</v>
      </c>
      <c r="C606">
        <v>330</v>
      </c>
    </row>
    <row r="607" spans="1:3" x14ac:dyDescent="0.25">
      <c r="A607">
        <v>14</v>
      </c>
      <c r="B607">
        <v>0</v>
      </c>
      <c r="C607">
        <v>330</v>
      </c>
    </row>
    <row r="608" spans="1:3" x14ac:dyDescent="0.25">
      <c r="A608">
        <v>28</v>
      </c>
      <c r="B608">
        <v>0</v>
      </c>
      <c r="C608">
        <v>330</v>
      </c>
    </row>
    <row r="609" spans="1:3" x14ac:dyDescent="0.25">
      <c r="A609">
        <v>11</v>
      </c>
      <c r="B609">
        <v>0</v>
      </c>
      <c r="C609">
        <v>330</v>
      </c>
    </row>
    <row r="610" spans="1:3" x14ac:dyDescent="0.25">
      <c r="A610">
        <v>16</v>
      </c>
      <c r="B610">
        <v>0</v>
      </c>
      <c r="C610">
        <v>330</v>
      </c>
    </row>
    <row r="611" spans="1:3" x14ac:dyDescent="0.25">
      <c r="A611">
        <v>13</v>
      </c>
      <c r="B611">
        <v>0</v>
      </c>
      <c r="C611">
        <v>248</v>
      </c>
    </row>
    <row r="612" spans="1:3" x14ac:dyDescent="0.25">
      <c r="A612">
        <v>12</v>
      </c>
      <c r="B612">
        <v>0</v>
      </c>
      <c r="C612">
        <v>248</v>
      </c>
    </row>
    <row r="613" spans="1:3" x14ac:dyDescent="0.25">
      <c r="A613">
        <v>21</v>
      </c>
      <c r="B613">
        <v>0</v>
      </c>
      <c r="C613">
        <v>248</v>
      </c>
    </row>
    <row r="614" spans="1:3" x14ac:dyDescent="0.25">
      <c r="A614">
        <v>32</v>
      </c>
      <c r="B614">
        <v>0</v>
      </c>
      <c r="C614">
        <v>248</v>
      </c>
    </row>
    <row r="615" spans="1:3" x14ac:dyDescent="0.25">
      <c r="A615">
        <v>17</v>
      </c>
      <c r="B615">
        <v>0</v>
      </c>
      <c r="C615">
        <v>248</v>
      </c>
    </row>
    <row r="616" spans="1:3" x14ac:dyDescent="0.25">
      <c r="A616">
        <v>11</v>
      </c>
      <c r="B616">
        <v>0</v>
      </c>
      <c r="C616">
        <v>295</v>
      </c>
    </row>
    <row r="617" spans="1:3" x14ac:dyDescent="0.25">
      <c r="A617">
        <v>12</v>
      </c>
      <c r="B617">
        <v>0</v>
      </c>
      <c r="C617">
        <v>295</v>
      </c>
    </row>
    <row r="618" spans="1:3" x14ac:dyDescent="0.25">
      <c r="A618">
        <v>11</v>
      </c>
      <c r="B618">
        <v>0</v>
      </c>
      <c r="C618">
        <v>295</v>
      </c>
    </row>
    <row r="619" spans="1:3" x14ac:dyDescent="0.25">
      <c r="A619">
        <v>13</v>
      </c>
      <c r="B619">
        <v>0</v>
      </c>
      <c r="C619">
        <v>295</v>
      </c>
    </row>
    <row r="620" spans="1:3" x14ac:dyDescent="0.25">
      <c r="A620">
        <v>15</v>
      </c>
      <c r="B620">
        <v>0</v>
      </c>
      <c r="C620">
        <v>295</v>
      </c>
    </row>
    <row r="621" spans="1:3" x14ac:dyDescent="0.25">
      <c r="A621">
        <v>12</v>
      </c>
      <c r="B621">
        <v>0</v>
      </c>
      <c r="C621">
        <v>295</v>
      </c>
    </row>
    <row r="622" spans="1:3" x14ac:dyDescent="0.25">
      <c r="A622">
        <v>11</v>
      </c>
      <c r="B622">
        <v>0</v>
      </c>
      <c r="C622">
        <v>287</v>
      </c>
    </row>
    <row r="623" spans="1:3" x14ac:dyDescent="0.25">
      <c r="A623">
        <v>12</v>
      </c>
      <c r="B623">
        <v>0</v>
      </c>
      <c r="C623">
        <v>287</v>
      </c>
    </row>
    <row r="624" spans="1:3" x14ac:dyDescent="0.25">
      <c r="A624">
        <v>15</v>
      </c>
      <c r="B624">
        <v>0</v>
      </c>
      <c r="C624">
        <v>287</v>
      </c>
    </row>
    <row r="625" spans="1:3" x14ac:dyDescent="0.25">
      <c r="A625">
        <v>16</v>
      </c>
      <c r="B625">
        <v>0</v>
      </c>
      <c r="C625">
        <v>287</v>
      </c>
    </row>
    <row r="626" spans="1:3" x14ac:dyDescent="0.25">
      <c r="A626">
        <v>13</v>
      </c>
      <c r="B626">
        <v>0</v>
      </c>
      <c r="C626">
        <v>287</v>
      </c>
    </row>
    <row r="627" spans="1:3" x14ac:dyDescent="0.25">
      <c r="A627">
        <v>11</v>
      </c>
      <c r="B627">
        <v>0</v>
      </c>
      <c r="C627">
        <v>372</v>
      </c>
    </row>
    <row r="628" spans="1:3" x14ac:dyDescent="0.25">
      <c r="A628">
        <v>31</v>
      </c>
      <c r="B628">
        <v>0</v>
      </c>
      <c r="C628">
        <v>372</v>
      </c>
    </row>
    <row r="629" spans="1:3" x14ac:dyDescent="0.25">
      <c r="A629">
        <v>12</v>
      </c>
      <c r="B629">
        <v>0</v>
      </c>
      <c r="C629">
        <v>372</v>
      </c>
    </row>
    <row r="630" spans="1:3" x14ac:dyDescent="0.25">
      <c r="A630">
        <v>17</v>
      </c>
      <c r="B630">
        <v>0</v>
      </c>
      <c r="C630">
        <v>372</v>
      </c>
    </row>
    <row r="631" spans="1:3" x14ac:dyDescent="0.25">
      <c r="A631">
        <v>14</v>
      </c>
      <c r="B631">
        <v>0</v>
      </c>
      <c r="C631">
        <v>372</v>
      </c>
    </row>
    <row r="632" spans="1:3" x14ac:dyDescent="0.25">
      <c r="A632">
        <v>11</v>
      </c>
      <c r="B632">
        <v>0</v>
      </c>
      <c r="C632">
        <v>372</v>
      </c>
    </row>
    <row r="633" spans="1:3" x14ac:dyDescent="0.25">
      <c r="A633">
        <v>22</v>
      </c>
      <c r="B633">
        <v>0</v>
      </c>
      <c r="C633">
        <v>297</v>
      </c>
    </row>
    <row r="634" spans="1:3" x14ac:dyDescent="0.25">
      <c r="A634">
        <v>20</v>
      </c>
      <c r="B634">
        <v>0</v>
      </c>
      <c r="C634">
        <v>297</v>
      </c>
    </row>
    <row r="635" spans="1:3" x14ac:dyDescent="0.25">
      <c r="A635">
        <v>16</v>
      </c>
      <c r="B635">
        <v>0</v>
      </c>
      <c r="C635">
        <v>297</v>
      </c>
    </row>
    <row r="636" spans="1:3" x14ac:dyDescent="0.25">
      <c r="A636">
        <v>12</v>
      </c>
      <c r="B636">
        <v>0</v>
      </c>
      <c r="C636">
        <v>297</v>
      </c>
    </row>
    <row r="637" spans="1:3" x14ac:dyDescent="0.25">
      <c r="A637">
        <v>28</v>
      </c>
      <c r="B637">
        <v>0</v>
      </c>
      <c r="C637">
        <v>297</v>
      </c>
    </row>
    <row r="638" spans="1:3" x14ac:dyDescent="0.25">
      <c r="A638">
        <v>14</v>
      </c>
      <c r="B638">
        <v>0</v>
      </c>
      <c r="C638">
        <v>297</v>
      </c>
    </row>
    <row r="639" spans="1:3" x14ac:dyDescent="0.25">
      <c r="A639">
        <v>16</v>
      </c>
      <c r="B639">
        <v>0</v>
      </c>
      <c r="C639">
        <v>350</v>
      </c>
    </row>
    <row r="640" spans="1:3" x14ac:dyDescent="0.25">
      <c r="A640">
        <v>17</v>
      </c>
      <c r="B640">
        <v>0</v>
      </c>
      <c r="C640">
        <v>350</v>
      </c>
    </row>
    <row r="641" spans="1:3" x14ac:dyDescent="0.25">
      <c r="A641">
        <v>12</v>
      </c>
      <c r="B641">
        <v>0</v>
      </c>
      <c r="C641">
        <v>350</v>
      </c>
    </row>
    <row r="642" spans="1:3" x14ac:dyDescent="0.25">
      <c r="A642">
        <v>16</v>
      </c>
      <c r="B642">
        <v>0</v>
      </c>
      <c r="C642">
        <v>350</v>
      </c>
    </row>
    <row r="643" spans="1:3" x14ac:dyDescent="0.25">
      <c r="A643">
        <v>11</v>
      </c>
      <c r="B643">
        <v>0</v>
      </c>
      <c r="C643">
        <v>350</v>
      </c>
    </row>
    <row r="644" spans="1:3" x14ac:dyDescent="0.25">
      <c r="A644">
        <v>12</v>
      </c>
      <c r="B644">
        <v>0</v>
      </c>
      <c r="C644">
        <v>350</v>
      </c>
    </row>
    <row r="645" spans="1:3" x14ac:dyDescent="0.25">
      <c r="A645">
        <v>14</v>
      </c>
      <c r="B645">
        <v>0</v>
      </c>
      <c r="C645">
        <v>362</v>
      </c>
    </row>
    <row r="646" spans="1:3" x14ac:dyDescent="0.25">
      <c r="A646">
        <v>11</v>
      </c>
      <c r="B646">
        <v>0</v>
      </c>
      <c r="C646">
        <v>362</v>
      </c>
    </row>
    <row r="647" spans="1:3" x14ac:dyDescent="0.25">
      <c r="A647">
        <v>11</v>
      </c>
      <c r="B647">
        <v>0</v>
      </c>
      <c r="C647">
        <v>362</v>
      </c>
    </row>
    <row r="648" spans="1:3" x14ac:dyDescent="0.25">
      <c r="A648">
        <v>12</v>
      </c>
      <c r="B648">
        <v>0</v>
      </c>
      <c r="C648">
        <v>362</v>
      </c>
    </row>
    <row r="649" spans="1:3" x14ac:dyDescent="0.25">
      <c r="A649">
        <v>12</v>
      </c>
      <c r="B649">
        <v>0</v>
      </c>
      <c r="C649">
        <v>362</v>
      </c>
    </row>
    <row r="650" spans="1:3" x14ac:dyDescent="0.25">
      <c r="A650">
        <v>16</v>
      </c>
      <c r="B650">
        <v>0</v>
      </c>
      <c r="C650">
        <v>262</v>
      </c>
    </row>
    <row r="651" spans="1:3" x14ac:dyDescent="0.25">
      <c r="A651">
        <v>15</v>
      </c>
      <c r="B651">
        <v>0</v>
      </c>
      <c r="C651">
        <v>262</v>
      </c>
    </row>
    <row r="652" spans="1:3" x14ac:dyDescent="0.25">
      <c r="A652">
        <v>12</v>
      </c>
      <c r="B652">
        <v>0</v>
      </c>
      <c r="C652">
        <v>262</v>
      </c>
    </row>
    <row r="653" spans="1:3" x14ac:dyDescent="0.25">
      <c r="A653">
        <v>13</v>
      </c>
      <c r="B653">
        <v>0</v>
      </c>
      <c r="C653">
        <v>262</v>
      </c>
    </row>
    <row r="654" spans="1:3" x14ac:dyDescent="0.25">
      <c r="A654">
        <v>14</v>
      </c>
      <c r="B654">
        <v>0</v>
      </c>
      <c r="C654">
        <v>262</v>
      </c>
    </row>
    <row r="655" spans="1:3" x14ac:dyDescent="0.25">
      <c r="A655">
        <v>18</v>
      </c>
      <c r="B655">
        <v>0</v>
      </c>
      <c r="C655">
        <v>260</v>
      </c>
    </row>
    <row r="656" spans="1:3" x14ac:dyDescent="0.25">
      <c r="A656">
        <v>12</v>
      </c>
      <c r="B656">
        <v>0</v>
      </c>
      <c r="C656">
        <v>260</v>
      </c>
    </row>
    <row r="657" spans="1:3" x14ac:dyDescent="0.25">
      <c r="A657">
        <v>29</v>
      </c>
      <c r="B657">
        <v>0</v>
      </c>
      <c r="C657">
        <v>260</v>
      </c>
    </row>
    <row r="658" spans="1:3" x14ac:dyDescent="0.25">
      <c r="A658">
        <v>14</v>
      </c>
      <c r="B658">
        <v>0</v>
      </c>
      <c r="C658">
        <v>260</v>
      </c>
    </row>
    <row r="659" spans="1:3" x14ac:dyDescent="0.25">
      <c r="A659">
        <v>23</v>
      </c>
      <c r="B659">
        <v>0</v>
      </c>
      <c r="C659">
        <v>260</v>
      </c>
    </row>
    <row r="660" spans="1:3" x14ac:dyDescent="0.25">
      <c r="A660">
        <v>18</v>
      </c>
      <c r="B660">
        <v>0</v>
      </c>
      <c r="C660">
        <v>310</v>
      </c>
    </row>
    <row r="661" spans="1:3" x14ac:dyDescent="0.25">
      <c r="A661">
        <v>14</v>
      </c>
      <c r="B661">
        <v>0</v>
      </c>
      <c r="C661">
        <v>310</v>
      </c>
    </row>
    <row r="662" spans="1:3" x14ac:dyDescent="0.25">
      <c r="A662">
        <v>12</v>
      </c>
      <c r="B662">
        <v>0</v>
      </c>
      <c r="C662">
        <v>310</v>
      </c>
    </row>
    <row r="663" spans="1:3" x14ac:dyDescent="0.25">
      <c r="A663">
        <v>27</v>
      </c>
      <c r="B663">
        <v>0</v>
      </c>
      <c r="C663">
        <v>310</v>
      </c>
    </row>
    <row r="664" spans="1:3" x14ac:dyDescent="0.25">
      <c r="A664">
        <v>12</v>
      </c>
      <c r="B664">
        <v>0</v>
      </c>
      <c r="C664">
        <v>310</v>
      </c>
    </row>
    <row r="665" spans="1:3" x14ac:dyDescent="0.25">
      <c r="A665">
        <v>21</v>
      </c>
      <c r="B665">
        <v>0</v>
      </c>
      <c r="C665">
        <v>310</v>
      </c>
    </row>
    <row r="666" spans="1:3" x14ac:dyDescent="0.25">
      <c r="A666">
        <v>12</v>
      </c>
      <c r="B666">
        <v>0</v>
      </c>
      <c r="C666">
        <v>317</v>
      </c>
    </row>
    <row r="667" spans="1:3" x14ac:dyDescent="0.25">
      <c r="A667">
        <v>12</v>
      </c>
      <c r="B667">
        <v>0</v>
      </c>
      <c r="C667">
        <v>317</v>
      </c>
    </row>
    <row r="668" spans="1:3" x14ac:dyDescent="0.25">
      <c r="A668">
        <v>12</v>
      </c>
      <c r="B668">
        <v>0</v>
      </c>
      <c r="C668">
        <v>317</v>
      </c>
    </row>
    <row r="669" spans="1:3" x14ac:dyDescent="0.25">
      <c r="A669">
        <v>14</v>
      </c>
      <c r="B669">
        <v>0</v>
      </c>
      <c r="C669">
        <v>317</v>
      </c>
    </row>
    <row r="670" spans="1:3" x14ac:dyDescent="0.25">
      <c r="A670">
        <v>15</v>
      </c>
      <c r="B670">
        <v>0</v>
      </c>
      <c r="C670">
        <v>317</v>
      </c>
    </row>
    <row r="671" spans="1:3" x14ac:dyDescent="0.25">
      <c r="A671">
        <v>12</v>
      </c>
      <c r="B671">
        <v>0</v>
      </c>
      <c r="C671">
        <v>285</v>
      </c>
    </row>
    <row r="672" spans="1:3" x14ac:dyDescent="0.25">
      <c r="A672">
        <v>12</v>
      </c>
      <c r="B672">
        <v>0</v>
      </c>
      <c r="C672">
        <v>285</v>
      </c>
    </row>
    <row r="673" spans="1:3" x14ac:dyDescent="0.25">
      <c r="A673">
        <v>13</v>
      </c>
      <c r="B673">
        <v>0</v>
      </c>
      <c r="C673">
        <v>285</v>
      </c>
    </row>
    <row r="674" spans="1:3" x14ac:dyDescent="0.25">
      <c r="A674">
        <v>33</v>
      </c>
      <c r="B674">
        <v>0</v>
      </c>
      <c r="C674">
        <v>285</v>
      </c>
    </row>
    <row r="675" spans="1:3" x14ac:dyDescent="0.25">
      <c r="A675">
        <v>15</v>
      </c>
      <c r="B675">
        <v>0</v>
      </c>
      <c r="C675">
        <v>285</v>
      </c>
    </row>
    <row r="676" spans="1:3" x14ac:dyDescent="0.25">
      <c r="A676">
        <v>12</v>
      </c>
      <c r="B676">
        <v>0</v>
      </c>
      <c r="C676">
        <v>369</v>
      </c>
    </row>
    <row r="677" spans="1:3" x14ac:dyDescent="0.25">
      <c r="A677">
        <v>13</v>
      </c>
      <c r="B677">
        <v>0</v>
      </c>
      <c r="C677">
        <v>369</v>
      </c>
    </row>
    <row r="678" spans="1:3" x14ac:dyDescent="0.25">
      <c r="A678">
        <v>25</v>
      </c>
      <c r="B678">
        <v>0</v>
      </c>
      <c r="C678">
        <v>369</v>
      </c>
    </row>
    <row r="679" spans="1:3" x14ac:dyDescent="0.25">
      <c r="A679">
        <v>13</v>
      </c>
      <c r="B679">
        <v>0</v>
      </c>
      <c r="C679">
        <v>369</v>
      </c>
    </row>
    <row r="680" spans="1:3" x14ac:dyDescent="0.25">
      <c r="A680">
        <v>16</v>
      </c>
      <c r="B680">
        <v>0</v>
      </c>
      <c r="C680">
        <v>369</v>
      </c>
    </row>
    <row r="681" spans="1:3" x14ac:dyDescent="0.25">
      <c r="A681">
        <v>11</v>
      </c>
      <c r="B681">
        <v>0</v>
      </c>
      <c r="C681">
        <v>369</v>
      </c>
    </row>
    <row r="682" spans="1:3" x14ac:dyDescent="0.25">
      <c r="A682">
        <v>15</v>
      </c>
      <c r="B682">
        <v>0</v>
      </c>
      <c r="C682">
        <v>244</v>
      </c>
    </row>
    <row r="683" spans="1:3" x14ac:dyDescent="0.25">
      <c r="A683">
        <v>14</v>
      </c>
      <c r="B683">
        <v>0</v>
      </c>
      <c r="C683">
        <v>244</v>
      </c>
    </row>
    <row r="684" spans="1:3" x14ac:dyDescent="0.25">
      <c r="A684">
        <v>14</v>
      </c>
      <c r="B684">
        <v>0</v>
      </c>
      <c r="C684">
        <v>244</v>
      </c>
    </row>
    <row r="685" spans="1:3" x14ac:dyDescent="0.25">
      <c r="A685">
        <v>19</v>
      </c>
      <c r="B685">
        <v>0</v>
      </c>
      <c r="C685">
        <v>244</v>
      </c>
    </row>
    <row r="686" spans="1:3" x14ac:dyDescent="0.25">
      <c r="A686">
        <v>12</v>
      </c>
      <c r="B686">
        <v>0</v>
      </c>
      <c r="C686">
        <v>244</v>
      </c>
    </row>
    <row r="687" spans="1:3" x14ac:dyDescent="0.25">
      <c r="A687">
        <v>13</v>
      </c>
      <c r="B687">
        <v>0</v>
      </c>
      <c r="C687">
        <v>322</v>
      </c>
    </row>
    <row r="688" spans="1:3" x14ac:dyDescent="0.25">
      <c r="A688">
        <v>12</v>
      </c>
      <c r="B688">
        <v>0</v>
      </c>
      <c r="C688">
        <v>322</v>
      </c>
    </row>
    <row r="689" spans="1:3" x14ac:dyDescent="0.25">
      <c r="A689">
        <v>14</v>
      </c>
      <c r="B689">
        <v>0</v>
      </c>
      <c r="C689">
        <v>322</v>
      </c>
    </row>
    <row r="690" spans="1:3" x14ac:dyDescent="0.25">
      <c r="A690">
        <v>15</v>
      </c>
      <c r="B690">
        <v>0</v>
      </c>
      <c r="C690">
        <v>322</v>
      </c>
    </row>
    <row r="691" spans="1:3" x14ac:dyDescent="0.25">
      <c r="A691">
        <v>14</v>
      </c>
      <c r="B691">
        <v>0</v>
      </c>
      <c r="C691">
        <v>322</v>
      </c>
    </row>
    <row r="692" spans="1:3" x14ac:dyDescent="0.25">
      <c r="A692">
        <v>32</v>
      </c>
      <c r="B692">
        <v>0</v>
      </c>
      <c r="C692">
        <v>312</v>
      </c>
    </row>
    <row r="693" spans="1:3" x14ac:dyDescent="0.25">
      <c r="A693">
        <v>11</v>
      </c>
      <c r="B693">
        <v>0</v>
      </c>
      <c r="C693">
        <v>312</v>
      </c>
    </row>
    <row r="694" spans="1:3" x14ac:dyDescent="0.25">
      <c r="A694">
        <v>16</v>
      </c>
      <c r="B694">
        <v>0</v>
      </c>
      <c r="C694">
        <v>312</v>
      </c>
    </row>
    <row r="695" spans="1:3" x14ac:dyDescent="0.25">
      <c r="A695">
        <v>19</v>
      </c>
      <c r="B695">
        <v>0</v>
      </c>
      <c r="C695">
        <v>312</v>
      </c>
    </row>
    <row r="696" spans="1:3" x14ac:dyDescent="0.25">
      <c r="A696">
        <v>15</v>
      </c>
      <c r="B696">
        <v>0</v>
      </c>
      <c r="C696">
        <v>312</v>
      </c>
    </row>
    <row r="697" spans="1:3" x14ac:dyDescent="0.25">
      <c r="A697">
        <v>14</v>
      </c>
      <c r="B697">
        <v>0</v>
      </c>
      <c r="C697">
        <v>312</v>
      </c>
    </row>
    <row r="698" spans="1:3" x14ac:dyDescent="0.25">
      <c r="A698">
        <v>12</v>
      </c>
      <c r="B698">
        <v>0</v>
      </c>
      <c r="C698">
        <v>324</v>
      </c>
    </row>
    <row r="699" spans="1:3" x14ac:dyDescent="0.25">
      <c r="A699">
        <v>41</v>
      </c>
      <c r="B699">
        <v>0</v>
      </c>
      <c r="C699">
        <v>324</v>
      </c>
    </row>
    <row r="700" spans="1:3" x14ac:dyDescent="0.25">
      <c r="A700">
        <v>17</v>
      </c>
      <c r="B700">
        <v>0</v>
      </c>
      <c r="C700">
        <v>324</v>
      </c>
    </row>
    <row r="701" spans="1:3" x14ac:dyDescent="0.25">
      <c r="A701">
        <v>12</v>
      </c>
      <c r="B701">
        <v>0</v>
      </c>
      <c r="C701">
        <v>324</v>
      </c>
    </row>
    <row r="702" spans="1:3" x14ac:dyDescent="0.25">
      <c r="A702">
        <v>12</v>
      </c>
      <c r="B702">
        <v>0</v>
      </c>
      <c r="C702">
        <v>324</v>
      </c>
    </row>
    <row r="703" spans="1:3" x14ac:dyDescent="0.25">
      <c r="A703">
        <v>33</v>
      </c>
      <c r="B703">
        <v>0</v>
      </c>
      <c r="C703">
        <v>317</v>
      </c>
    </row>
    <row r="704" spans="1:3" x14ac:dyDescent="0.25">
      <c r="A704">
        <v>12</v>
      </c>
      <c r="B704">
        <v>0</v>
      </c>
      <c r="C704">
        <v>317</v>
      </c>
    </row>
    <row r="705" spans="1:3" x14ac:dyDescent="0.25">
      <c r="A705">
        <v>13</v>
      </c>
      <c r="B705">
        <v>0</v>
      </c>
      <c r="C705">
        <v>317</v>
      </c>
    </row>
    <row r="706" spans="1:3" x14ac:dyDescent="0.25">
      <c r="A706">
        <v>12</v>
      </c>
      <c r="B706">
        <v>0</v>
      </c>
      <c r="C706">
        <v>317</v>
      </c>
    </row>
    <row r="707" spans="1:3" x14ac:dyDescent="0.25">
      <c r="A707">
        <v>11</v>
      </c>
      <c r="B707">
        <v>0</v>
      </c>
      <c r="C707">
        <v>317</v>
      </c>
    </row>
    <row r="708" spans="1:3" x14ac:dyDescent="0.25">
      <c r="A708">
        <v>11</v>
      </c>
      <c r="B708">
        <v>0</v>
      </c>
      <c r="C708">
        <v>317</v>
      </c>
    </row>
    <row r="709" spans="1:3" x14ac:dyDescent="0.25">
      <c r="A709">
        <v>13</v>
      </c>
      <c r="B709">
        <v>0</v>
      </c>
      <c r="C709">
        <v>334</v>
      </c>
    </row>
    <row r="710" spans="1:3" x14ac:dyDescent="0.25">
      <c r="A710">
        <v>16</v>
      </c>
      <c r="B710">
        <v>0</v>
      </c>
      <c r="C710">
        <v>334</v>
      </c>
    </row>
    <row r="711" spans="1:3" x14ac:dyDescent="0.25">
      <c r="A711">
        <v>11</v>
      </c>
      <c r="B711">
        <v>0</v>
      </c>
      <c r="C711">
        <v>334</v>
      </c>
    </row>
    <row r="712" spans="1:3" x14ac:dyDescent="0.25">
      <c r="A712">
        <v>11</v>
      </c>
      <c r="B712">
        <v>0</v>
      </c>
      <c r="C712">
        <v>334</v>
      </c>
    </row>
    <row r="713" spans="1:3" x14ac:dyDescent="0.25">
      <c r="A713">
        <v>13</v>
      </c>
      <c r="B713">
        <v>0</v>
      </c>
      <c r="C713">
        <v>334</v>
      </c>
    </row>
    <row r="714" spans="1:3" x14ac:dyDescent="0.25">
      <c r="A714">
        <v>12</v>
      </c>
      <c r="B714">
        <v>0</v>
      </c>
      <c r="C714">
        <v>305</v>
      </c>
    </row>
    <row r="715" spans="1:3" x14ac:dyDescent="0.25">
      <c r="A715">
        <v>19</v>
      </c>
      <c r="B715">
        <v>0</v>
      </c>
      <c r="C715">
        <v>305</v>
      </c>
    </row>
    <row r="716" spans="1:3" x14ac:dyDescent="0.25">
      <c r="A716">
        <v>12</v>
      </c>
      <c r="B716">
        <v>0</v>
      </c>
      <c r="C716">
        <v>305</v>
      </c>
    </row>
    <row r="717" spans="1:3" x14ac:dyDescent="0.25">
      <c r="A717">
        <v>11</v>
      </c>
      <c r="B717">
        <v>0</v>
      </c>
      <c r="C717">
        <v>305</v>
      </c>
    </row>
    <row r="718" spans="1:3" x14ac:dyDescent="0.25">
      <c r="A718">
        <v>19</v>
      </c>
      <c r="B718">
        <v>0</v>
      </c>
      <c r="C718">
        <v>305</v>
      </c>
    </row>
    <row r="719" spans="1:3" x14ac:dyDescent="0.25">
      <c r="A719">
        <v>14</v>
      </c>
      <c r="B719">
        <v>0</v>
      </c>
      <c r="C719">
        <v>305</v>
      </c>
    </row>
    <row r="720" spans="1:3" x14ac:dyDescent="0.25">
      <c r="A720">
        <v>17</v>
      </c>
      <c r="B720">
        <v>0</v>
      </c>
      <c r="C720">
        <v>385</v>
      </c>
    </row>
    <row r="721" spans="1:3" x14ac:dyDescent="0.25">
      <c r="A721">
        <v>12</v>
      </c>
      <c r="B721">
        <v>0</v>
      </c>
      <c r="C721">
        <v>385</v>
      </c>
    </row>
    <row r="722" spans="1:3" x14ac:dyDescent="0.25">
      <c r="A722">
        <v>11</v>
      </c>
      <c r="B722">
        <v>0</v>
      </c>
      <c r="C722">
        <v>385</v>
      </c>
    </row>
    <row r="723" spans="1:3" x14ac:dyDescent="0.25">
      <c r="A723">
        <v>11</v>
      </c>
      <c r="B723">
        <v>0</v>
      </c>
      <c r="C723">
        <v>385</v>
      </c>
    </row>
    <row r="724" spans="1:3" x14ac:dyDescent="0.25">
      <c r="A724">
        <v>33</v>
      </c>
      <c r="B724">
        <v>0</v>
      </c>
      <c r="C724">
        <v>385</v>
      </c>
    </row>
    <row r="725" spans="1:3" x14ac:dyDescent="0.25">
      <c r="A725">
        <v>17</v>
      </c>
      <c r="B725">
        <v>0</v>
      </c>
      <c r="C725">
        <v>393</v>
      </c>
    </row>
    <row r="726" spans="1:3" x14ac:dyDescent="0.25">
      <c r="A726">
        <v>12</v>
      </c>
      <c r="B726">
        <v>0</v>
      </c>
      <c r="C726">
        <v>393</v>
      </c>
    </row>
    <row r="727" spans="1:3" x14ac:dyDescent="0.25">
      <c r="A727">
        <v>12</v>
      </c>
      <c r="B727">
        <v>0</v>
      </c>
      <c r="C727">
        <v>393</v>
      </c>
    </row>
    <row r="728" spans="1:3" x14ac:dyDescent="0.25">
      <c r="A728">
        <v>12</v>
      </c>
      <c r="B728">
        <v>0</v>
      </c>
      <c r="C728">
        <v>393</v>
      </c>
    </row>
    <row r="729" spans="1:3" x14ac:dyDescent="0.25">
      <c r="A729">
        <v>12</v>
      </c>
      <c r="B729">
        <v>0</v>
      </c>
      <c r="C729">
        <v>393</v>
      </c>
    </row>
    <row r="730" spans="1:3" x14ac:dyDescent="0.25">
      <c r="A730">
        <v>14</v>
      </c>
      <c r="B730">
        <v>0</v>
      </c>
      <c r="C730">
        <v>393</v>
      </c>
    </row>
    <row r="731" spans="1:3" x14ac:dyDescent="0.25">
      <c r="A731">
        <v>12</v>
      </c>
      <c r="B731">
        <v>0</v>
      </c>
      <c r="C731">
        <v>308</v>
      </c>
    </row>
    <row r="732" spans="1:3" x14ac:dyDescent="0.25">
      <c r="A732">
        <v>11</v>
      </c>
      <c r="B732">
        <v>0</v>
      </c>
      <c r="C732">
        <v>308</v>
      </c>
    </row>
    <row r="733" spans="1:3" x14ac:dyDescent="0.25">
      <c r="A733">
        <v>13</v>
      </c>
      <c r="B733">
        <v>0</v>
      </c>
      <c r="C733">
        <v>308</v>
      </c>
    </row>
    <row r="734" spans="1:3" x14ac:dyDescent="0.25">
      <c r="A734">
        <v>13</v>
      </c>
      <c r="B734">
        <v>0</v>
      </c>
      <c r="C734">
        <v>308</v>
      </c>
    </row>
    <row r="735" spans="1:3" x14ac:dyDescent="0.25">
      <c r="A735">
        <v>14</v>
      </c>
      <c r="B735">
        <v>0</v>
      </c>
      <c r="C735">
        <v>308</v>
      </c>
    </row>
    <row r="736" spans="1:3" x14ac:dyDescent="0.25">
      <c r="A736">
        <v>12</v>
      </c>
      <c r="B736">
        <v>0</v>
      </c>
      <c r="C736">
        <v>300</v>
      </c>
    </row>
    <row r="737" spans="1:3" x14ac:dyDescent="0.25">
      <c r="A737">
        <v>12</v>
      </c>
      <c r="B737">
        <v>0</v>
      </c>
      <c r="C737">
        <v>300</v>
      </c>
    </row>
    <row r="738" spans="1:3" x14ac:dyDescent="0.25">
      <c r="A738">
        <v>12</v>
      </c>
      <c r="B738">
        <v>0</v>
      </c>
      <c r="C738">
        <v>300</v>
      </c>
    </row>
    <row r="739" spans="1:3" x14ac:dyDescent="0.25">
      <c r="A739">
        <v>43</v>
      </c>
      <c r="B739">
        <v>0</v>
      </c>
      <c r="C739">
        <v>300</v>
      </c>
    </row>
    <row r="740" spans="1:3" x14ac:dyDescent="0.25">
      <c r="A740">
        <v>21</v>
      </c>
      <c r="B740">
        <v>0</v>
      </c>
      <c r="C740">
        <v>300</v>
      </c>
    </row>
    <row r="741" spans="1:3" x14ac:dyDescent="0.25">
      <c r="A741">
        <v>13</v>
      </c>
      <c r="B741">
        <v>0</v>
      </c>
      <c r="C741">
        <v>300</v>
      </c>
    </row>
    <row r="742" spans="1:3" x14ac:dyDescent="0.25">
      <c r="A742">
        <v>16</v>
      </c>
      <c r="B742">
        <v>0</v>
      </c>
      <c r="C742">
        <v>338</v>
      </c>
    </row>
    <row r="743" spans="1:3" x14ac:dyDescent="0.25">
      <c r="A743">
        <v>12</v>
      </c>
      <c r="B743">
        <v>0</v>
      </c>
      <c r="C743">
        <v>338</v>
      </c>
    </row>
    <row r="744" spans="1:3" x14ac:dyDescent="0.25">
      <c r="A744">
        <v>34</v>
      </c>
      <c r="B744">
        <v>0</v>
      </c>
      <c r="C744">
        <v>338</v>
      </c>
    </row>
    <row r="745" spans="1:3" x14ac:dyDescent="0.25">
      <c r="A745">
        <v>16</v>
      </c>
      <c r="B745">
        <v>0</v>
      </c>
      <c r="C745">
        <v>338</v>
      </c>
    </row>
    <row r="746" spans="1:3" x14ac:dyDescent="0.25">
      <c r="A746">
        <v>15</v>
      </c>
      <c r="B746">
        <v>0</v>
      </c>
      <c r="C746">
        <v>338</v>
      </c>
    </row>
    <row r="747" spans="1:3" x14ac:dyDescent="0.25">
      <c r="A747">
        <v>16</v>
      </c>
      <c r="B747">
        <v>0</v>
      </c>
      <c r="C747">
        <v>376</v>
      </c>
    </row>
    <row r="748" spans="1:3" x14ac:dyDescent="0.25">
      <c r="A748">
        <v>11</v>
      </c>
      <c r="B748">
        <v>0</v>
      </c>
      <c r="C748">
        <v>376</v>
      </c>
    </row>
    <row r="749" spans="1:3" x14ac:dyDescent="0.25">
      <c r="A749">
        <v>12</v>
      </c>
      <c r="B749">
        <v>0</v>
      </c>
      <c r="C749">
        <v>376</v>
      </c>
    </row>
    <row r="750" spans="1:3" x14ac:dyDescent="0.25">
      <c r="A750">
        <v>13</v>
      </c>
      <c r="B750">
        <v>0</v>
      </c>
      <c r="C750">
        <v>376</v>
      </c>
    </row>
    <row r="751" spans="1:3" x14ac:dyDescent="0.25">
      <c r="A751">
        <v>12</v>
      </c>
      <c r="B751">
        <v>0</v>
      </c>
      <c r="C751">
        <v>376</v>
      </c>
    </row>
    <row r="752" spans="1:3" x14ac:dyDescent="0.25">
      <c r="A752">
        <v>12</v>
      </c>
      <c r="B752">
        <v>0</v>
      </c>
      <c r="C752">
        <v>376</v>
      </c>
    </row>
    <row r="753" spans="1:3" x14ac:dyDescent="0.25">
      <c r="A753">
        <v>11</v>
      </c>
      <c r="B753">
        <v>0</v>
      </c>
      <c r="C753">
        <v>266</v>
      </c>
    </row>
    <row r="754" spans="1:3" x14ac:dyDescent="0.25">
      <c r="A754">
        <v>14</v>
      </c>
      <c r="B754">
        <v>0</v>
      </c>
      <c r="C754">
        <v>266</v>
      </c>
    </row>
    <row r="755" spans="1:3" x14ac:dyDescent="0.25">
      <c r="A755">
        <v>15</v>
      </c>
      <c r="B755">
        <v>0</v>
      </c>
      <c r="C755">
        <v>266</v>
      </c>
    </row>
    <row r="756" spans="1:3" x14ac:dyDescent="0.25">
      <c r="A756">
        <v>15</v>
      </c>
      <c r="B756">
        <v>0</v>
      </c>
      <c r="C756">
        <v>266</v>
      </c>
    </row>
    <row r="757" spans="1:3" x14ac:dyDescent="0.25">
      <c r="A757">
        <v>12</v>
      </c>
      <c r="B757">
        <v>0</v>
      </c>
      <c r="C757">
        <v>266</v>
      </c>
    </row>
    <row r="758" spans="1:3" x14ac:dyDescent="0.25">
      <c r="A758">
        <v>11</v>
      </c>
      <c r="B758">
        <v>0</v>
      </c>
      <c r="C758">
        <v>293</v>
      </c>
    </row>
    <row r="759" spans="1:3" x14ac:dyDescent="0.25">
      <c r="A759">
        <v>13</v>
      </c>
      <c r="B759">
        <v>0</v>
      </c>
      <c r="C759">
        <v>293</v>
      </c>
    </row>
    <row r="760" spans="1:3" x14ac:dyDescent="0.25">
      <c r="A760">
        <v>15</v>
      </c>
      <c r="B760">
        <v>0</v>
      </c>
      <c r="C760">
        <v>293</v>
      </c>
    </row>
    <row r="761" spans="1:3" x14ac:dyDescent="0.25">
      <c r="A761">
        <v>12</v>
      </c>
      <c r="B761">
        <v>0</v>
      </c>
      <c r="C761">
        <v>293</v>
      </c>
    </row>
    <row r="762" spans="1:3" x14ac:dyDescent="0.25">
      <c r="A762">
        <v>34</v>
      </c>
      <c r="B762">
        <v>0</v>
      </c>
      <c r="C762">
        <v>293</v>
      </c>
    </row>
    <row r="763" spans="1:3" x14ac:dyDescent="0.25">
      <c r="A763">
        <v>12</v>
      </c>
      <c r="B763">
        <v>0</v>
      </c>
      <c r="C763">
        <v>307</v>
      </c>
    </row>
    <row r="764" spans="1:3" x14ac:dyDescent="0.25">
      <c r="A764">
        <v>33</v>
      </c>
      <c r="B764">
        <v>0</v>
      </c>
      <c r="C764">
        <v>307</v>
      </c>
    </row>
    <row r="765" spans="1:3" x14ac:dyDescent="0.25">
      <c r="A765">
        <v>18</v>
      </c>
      <c r="B765">
        <v>0</v>
      </c>
      <c r="C765">
        <v>307</v>
      </c>
    </row>
    <row r="766" spans="1:3" x14ac:dyDescent="0.25">
      <c r="A766">
        <v>18</v>
      </c>
      <c r="B766">
        <v>0</v>
      </c>
      <c r="C766">
        <v>307</v>
      </c>
    </row>
    <row r="767" spans="1:3" x14ac:dyDescent="0.25">
      <c r="A767">
        <v>13</v>
      </c>
      <c r="B767">
        <v>0</v>
      </c>
      <c r="C767">
        <v>307</v>
      </c>
    </row>
    <row r="768" spans="1:3" x14ac:dyDescent="0.25">
      <c r="A768">
        <v>11</v>
      </c>
      <c r="B768">
        <v>0</v>
      </c>
      <c r="C768">
        <v>392</v>
      </c>
    </row>
    <row r="769" spans="1:3" x14ac:dyDescent="0.25">
      <c r="A769">
        <v>14</v>
      </c>
      <c r="B769">
        <v>0</v>
      </c>
      <c r="C769">
        <v>392</v>
      </c>
    </row>
    <row r="770" spans="1:3" x14ac:dyDescent="0.25">
      <c r="A770">
        <v>17</v>
      </c>
      <c r="B770">
        <v>0</v>
      </c>
      <c r="C770">
        <v>392</v>
      </c>
    </row>
    <row r="771" spans="1:3" x14ac:dyDescent="0.25">
      <c r="A771">
        <v>13</v>
      </c>
      <c r="B771">
        <v>0</v>
      </c>
      <c r="C771">
        <v>392</v>
      </c>
    </row>
    <row r="772" spans="1:3" x14ac:dyDescent="0.25">
      <c r="A772">
        <v>11</v>
      </c>
      <c r="B772">
        <v>0</v>
      </c>
      <c r="C772">
        <v>392</v>
      </c>
    </row>
    <row r="773" spans="1:3" x14ac:dyDescent="0.25">
      <c r="A773">
        <v>15</v>
      </c>
      <c r="B773">
        <v>0</v>
      </c>
      <c r="C773">
        <v>288</v>
      </c>
    </row>
    <row r="774" spans="1:3" x14ac:dyDescent="0.25">
      <c r="A774">
        <v>15</v>
      </c>
      <c r="B774">
        <v>0</v>
      </c>
      <c r="C774">
        <v>288</v>
      </c>
    </row>
    <row r="775" spans="1:3" x14ac:dyDescent="0.25">
      <c r="A775">
        <v>14</v>
      </c>
      <c r="B775">
        <v>0</v>
      </c>
      <c r="C775">
        <v>288</v>
      </c>
    </row>
    <row r="776" spans="1:3" x14ac:dyDescent="0.25">
      <c r="A776">
        <v>15</v>
      </c>
      <c r="B776">
        <v>0</v>
      </c>
      <c r="C776">
        <v>288</v>
      </c>
    </row>
    <row r="777" spans="1:3" x14ac:dyDescent="0.25">
      <c r="A777">
        <v>12</v>
      </c>
      <c r="B777">
        <v>0</v>
      </c>
      <c r="C777">
        <v>288</v>
      </c>
    </row>
    <row r="778" spans="1:3" x14ac:dyDescent="0.25">
      <c r="A778">
        <v>11</v>
      </c>
      <c r="B778">
        <v>0</v>
      </c>
      <c r="C778">
        <v>288</v>
      </c>
    </row>
    <row r="779" spans="1:3" x14ac:dyDescent="0.25">
      <c r="A779">
        <v>15</v>
      </c>
      <c r="B779">
        <v>0</v>
      </c>
      <c r="C779">
        <v>321</v>
      </c>
    </row>
    <row r="780" spans="1:3" x14ac:dyDescent="0.25">
      <c r="A780">
        <v>18</v>
      </c>
      <c r="B780">
        <v>0</v>
      </c>
      <c r="C780">
        <v>321</v>
      </c>
    </row>
    <row r="781" spans="1:3" x14ac:dyDescent="0.25">
      <c r="A781">
        <v>12</v>
      </c>
      <c r="B781">
        <v>0</v>
      </c>
      <c r="C781">
        <v>321</v>
      </c>
    </row>
    <row r="782" spans="1:3" x14ac:dyDescent="0.25">
      <c r="A782">
        <v>11</v>
      </c>
      <c r="B782">
        <v>0</v>
      </c>
      <c r="C782">
        <v>321</v>
      </c>
    </row>
    <row r="783" spans="1:3" x14ac:dyDescent="0.25">
      <c r="A783">
        <v>12</v>
      </c>
      <c r="B783">
        <v>0</v>
      </c>
      <c r="C783">
        <v>321</v>
      </c>
    </row>
    <row r="784" spans="1:3" x14ac:dyDescent="0.25">
      <c r="A784">
        <v>38</v>
      </c>
      <c r="B784">
        <v>0</v>
      </c>
      <c r="C784">
        <v>338</v>
      </c>
    </row>
    <row r="785" spans="1:3" x14ac:dyDescent="0.25">
      <c r="A785">
        <v>21</v>
      </c>
      <c r="B785">
        <v>0</v>
      </c>
      <c r="C785">
        <v>338</v>
      </c>
    </row>
    <row r="786" spans="1:3" x14ac:dyDescent="0.25">
      <c r="A786">
        <v>14</v>
      </c>
      <c r="B786">
        <v>0</v>
      </c>
      <c r="C786">
        <v>338</v>
      </c>
    </row>
    <row r="787" spans="1:3" x14ac:dyDescent="0.25">
      <c r="A787">
        <v>11</v>
      </c>
      <c r="B787">
        <v>0</v>
      </c>
      <c r="C787">
        <v>338</v>
      </c>
    </row>
    <row r="788" spans="1:3" x14ac:dyDescent="0.25">
      <c r="A788">
        <v>15</v>
      </c>
      <c r="B788">
        <v>0</v>
      </c>
      <c r="C788">
        <v>338</v>
      </c>
    </row>
    <row r="789" spans="1:3" x14ac:dyDescent="0.25">
      <c r="A789">
        <v>12</v>
      </c>
      <c r="B789">
        <v>0</v>
      </c>
      <c r="C789">
        <v>338</v>
      </c>
    </row>
    <row r="790" spans="1:3" x14ac:dyDescent="0.25">
      <c r="A790">
        <v>13</v>
      </c>
      <c r="B790">
        <v>0</v>
      </c>
      <c r="C790">
        <v>321</v>
      </c>
    </row>
    <row r="791" spans="1:3" x14ac:dyDescent="0.25">
      <c r="A791">
        <v>10</v>
      </c>
      <c r="B791">
        <v>0</v>
      </c>
      <c r="C791">
        <v>321</v>
      </c>
    </row>
    <row r="792" spans="1:3" x14ac:dyDescent="0.25">
      <c r="A792">
        <v>11</v>
      </c>
      <c r="B792">
        <v>0</v>
      </c>
      <c r="C792">
        <v>321</v>
      </c>
    </row>
    <row r="793" spans="1:3" x14ac:dyDescent="0.25">
      <c r="A793">
        <v>11</v>
      </c>
      <c r="B793">
        <v>0</v>
      </c>
      <c r="C793">
        <v>321</v>
      </c>
    </row>
    <row r="794" spans="1:3" x14ac:dyDescent="0.25">
      <c r="A794">
        <v>14</v>
      </c>
      <c r="B794">
        <v>0</v>
      </c>
      <c r="C794">
        <v>321</v>
      </c>
    </row>
    <row r="795" spans="1:3" x14ac:dyDescent="0.25">
      <c r="A795">
        <v>15</v>
      </c>
      <c r="B795">
        <v>0</v>
      </c>
      <c r="C795">
        <v>309</v>
      </c>
    </row>
    <row r="796" spans="1:3" x14ac:dyDescent="0.25">
      <c r="A796">
        <v>12</v>
      </c>
      <c r="B796">
        <v>0</v>
      </c>
      <c r="C796">
        <v>309</v>
      </c>
    </row>
    <row r="797" spans="1:3" x14ac:dyDescent="0.25">
      <c r="A797">
        <v>12</v>
      </c>
      <c r="B797">
        <v>0</v>
      </c>
      <c r="C797">
        <v>309</v>
      </c>
    </row>
    <row r="798" spans="1:3" x14ac:dyDescent="0.25">
      <c r="A798">
        <v>14</v>
      </c>
      <c r="B798">
        <v>0</v>
      </c>
      <c r="C798">
        <v>309</v>
      </c>
    </row>
    <row r="799" spans="1:3" x14ac:dyDescent="0.25">
      <c r="A799">
        <v>12</v>
      </c>
      <c r="B799">
        <v>0</v>
      </c>
      <c r="C799">
        <v>309</v>
      </c>
    </row>
    <row r="800" spans="1:3" x14ac:dyDescent="0.25">
      <c r="A800">
        <v>12</v>
      </c>
      <c r="B800">
        <v>0</v>
      </c>
      <c r="C800">
        <v>309</v>
      </c>
    </row>
    <row r="801" spans="1:3" x14ac:dyDescent="0.25">
      <c r="A801">
        <v>12</v>
      </c>
      <c r="B801">
        <v>0</v>
      </c>
      <c r="C801">
        <v>319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M26"/>
  <sheetViews>
    <sheetView zoomScale="85" zoomScaleNormal="85" workbookViewId="0">
      <selection activeCell="H25" sqref="H25"/>
    </sheetView>
  </sheetViews>
  <sheetFormatPr baseColWidth="10" defaultRowHeight="15" x14ac:dyDescent="0.25"/>
  <cols>
    <col min="2" max="2" width="33.42578125" bestFit="1" customWidth="1"/>
  </cols>
  <sheetData>
    <row r="2" spans="2:13" ht="15.75" thickBot="1" x14ac:dyDescent="0.3">
      <c r="B2" t="s">
        <v>13</v>
      </c>
      <c r="J2" t="s">
        <v>18</v>
      </c>
      <c r="K2" t="s">
        <v>19</v>
      </c>
    </row>
    <row r="3" spans="2:13" x14ac:dyDescent="0.25">
      <c r="B3" t="s">
        <v>12</v>
      </c>
      <c r="F3" s="17"/>
      <c r="G3" s="17" t="s">
        <v>22</v>
      </c>
      <c r="H3" s="16" t="s">
        <v>23</v>
      </c>
      <c r="J3" s="15" t="s">
        <v>8</v>
      </c>
      <c r="K3" s="13" t="s">
        <v>7</v>
      </c>
      <c r="L3" s="13" t="s">
        <v>9</v>
      </c>
      <c r="M3" s="14" t="s">
        <v>10</v>
      </c>
    </row>
    <row r="4" spans="2:13" x14ac:dyDescent="0.25">
      <c r="F4" s="17"/>
      <c r="G4" s="7">
        <v>14.6775</v>
      </c>
      <c r="H4" s="7">
        <f>21.826714801444/5</f>
        <v>4.3653429602887996</v>
      </c>
      <c r="J4" s="11">
        <v>1</v>
      </c>
      <c r="K4" s="7">
        <v>14.6775</v>
      </c>
      <c r="L4" s="7">
        <v>0</v>
      </c>
      <c r="M4" s="8">
        <v>0.35527999999999998</v>
      </c>
    </row>
    <row r="5" spans="2:13" x14ac:dyDescent="0.25">
      <c r="F5" s="17"/>
      <c r="G5" s="7">
        <v>12.7875</v>
      </c>
      <c r="H5" s="7">
        <f>17.0397111913357/5</f>
        <v>3.4079422382671405</v>
      </c>
      <c r="J5" s="11">
        <v>2</v>
      </c>
      <c r="K5" s="7">
        <v>12.7875</v>
      </c>
      <c r="L5" s="7">
        <v>0</v>
      </c>
      <c r="M5" s="8">
        <v>0.34754000000000002</v>
      </c>
    </row>
    <row r="6" spans="2:13" x14ac:dyDescent="0.25">
      <c r="F6" s="17"/>
      <c r="G6" s="7">
        <v>13.035</v>
      </c>
      <c r="H6" s="7">
        <f>17.5415162454874/5</f>
        <v>3.5083032490974801</v>
      </c>
      <c r="J6" s="11">
        <v>3</v>
      </c>
      <c r="K6" s="7">
        <v>13.035</v>
      </c>
      <c r="L6" s="7">
        <v>0</v>
      </c>
      <c r="M6" s="8">
        <v>0.36967749999999999</v>
      </c>
    </row>
    <row r="7" spans="2:13" x14ac:dyDescent="0.25">
      <c r="F7" s="17"/>
      <c r="G7" s="7">
        <v>12.8225</v>
      </c>
      <c r="H7" s="7">
        <f>16.85559566787/5</f>
        <v>3.3711191335739996</v>
      </c>
      <c r="J7" s="11">
        <v>4</v>
      </c>
      <c r="K7" s="7">
        <v>12.8225</v>
      </c>
      <c r="L7" s="7">
        <v>0</v>
      </c>
      <c r="M7" s="8">
        <v>0.34566000000000002</v>
      </c>
    </row>
    <row r="8" spans="2:13" x14ac:dyDescent="0.25">
      <c r="F8" s="17"/>
      <c r="G8" s="7">
        <v>12.8575</v>
      </c>
      <c r="H8" s="7">
        <f>17.0685920577617/5</f>
        <v>3.4137184115523396</v>
      </c>
      <c r="J8" s="11">
        <v>5</v>
      </c>
      <c r="K8" s="7">
        <v>12.8575</v>
      </c>
      <c r="L8" s="7">
        <v>0</v>
      </c>
      <c r="M8" s="8">
        <v>0.35540750000000004</v>
      </c>
    </row>
    <row r="9" spans="2:13" x14ac:dyDescent="0.25">
      <c r="F9" s="17"/>
      <c r="G9" s="7">
        <v>12.8325</v>
      </c>
      <c r="H9" s="7">
        <f>16.8519855595668/5</f>
        <v>3.37039711191336</v>
      </c>
      <c r="J9" s="11">
        <v>6</v>
      </c>
      <c r="K9" s="7">
        <v>12.8325</v>
      </c>
      <c r="L9" s="7">
        <v>0</v>
      </c>
      <c r="M9" s="8">
        <v>0.36707249999999997</v>
      </c>
    </row>
    <row r="10" spans="2:13" x14ac:dyDescent="0.25">
      <c r="F10" s="17"/>
      <c r="G10" s="7">
        <v>15.717499999999999</v>
      </c>
      <c r="H10" s="7">
        <f>16.7148014440433/5</f>
        <v>3.3429602888086598</v>
      </c>
      <c r="J10" s="11">
        <v>7</v>
      </c>
      <c r="K10" s="7">
        <v>15.717499999999999</v>
      </c>
      <c r="L10" s="7">
        <v>0</v>
      </c>
      <c r="M10" s="8">
        <v>0.50304499999999996</v>
      </c>
    </row>
    <row r="11" spans="2:13" x14ac:dyDescent="0.25">
      <c r="F11" s="17"/>
      <c r="G11" s="7">
        <v>12.67</v>
      </c>
      <c r="H11" s="7">
        <f>17.0216606498195/5</f>
        <v>3.4043321299638998</v>
      </c>
      <c r="J11" s="11">
        <v>8</v>
      </c>
      <c r="K11" s="7">
        <v>12.67</v>
      </c>
      <c r="L11" s="7">
        <v>0</v>
      </c>
      <c r="M11" s="8">
        <v>0.33991250000000001</v>
      </c>
    </row>
    <row r="12" spans="2:13" x14ac:dyDescent="0.25">
      <c r="F12" s="17"/>
      <c r="G12" s="7">
        <v>12.5275</v>
      </c>
      <c r="H12" s="7">
        <f>16.6787003610108/5</f>
        <v>3.3357400722021602</v>
      </c>
      <c r="J12" s="11">
        <v>9</v>
      </c>
      <c r="K12" s="7">
        <v>12.5275</v>
      </c>
      <c r="L12" s="7">
        <v>0</v>
      </c>
      <c r="M12" s="8">
        <v>0.33897250000000001</v>
      </c>
    </row>
    <row r="13" spans="2:13" ht="15.75" thickBot="1" x14ac:dyDescent="0.3">
      <c r="F13" s="17"/>
      <c r="G13" s="7">
        <v>12.6625</v>
      </c>
      <c r="H13" s="7">
        <f>16.2057761732852/5</f>
        <v>3.2411552346570405</v>
      </c>
      <c r="J13" s="12">
        <v>10</v>
      </c>
      <c r="K13" s="9">
        <v>12.6625</v>
      </c>
      <c r="L13" s="9">
        <v>0</v>
      </c>
      <c r="M13" s="10">
        <v>0.34176249999999997</v>
      </c>
    </row>
    <row r="15" spans="2:13" ht="15.75" thickBot="1" x14ac:dyDescent="0.3">
      <c r="J15" t="s">
        <v>20</v>
      </c>
      <c r="K15" t="s">
        <v>21</v>
      </c>
    </row>
    <row r="16" spans="2:13" x14ac:dyDescent="0.25">
      <c r="G16" s="16" t="s">
        <v>19</v>
      </c>
      <c r="H16" s="16" t="s">
        <v>21</v>
      </c>
      <c r="J16" s="15" t="s">
        <v>8</v>
      </c>
      <c r="K16" s="13" t="s">
        <v>7</v>
      </c>
      <c r="L16" s="13" t="s">
        <v>9</v>
      </c>
      <c r="M16" s="14" t="s">
        <v>10</v>
      </c>
    </row>
    <row r="17" spans="7:13" x14ac:dyDescent="0.25">
      <c r="G17" s="16">
        <f>AVERAGE(Tabla8[1])</f>
        <v>13.259</v>
      </c>
      <c r="H17" s="16">
        <f>AVERAGE(Tabla8[2])</f>
        <v>3.4761010830324879</v>
      </c>
      <c r="J17" s="11">
        <v>1</v>
      </c>
      <c r="K17" s="7">
        <v>21.826714801444044</v>
      </c>
      <c r="L17" s="7">
        <v>0</v>
      </c>
      <c r="M17" s="8">
        <v>0.52603610108303245</v>
      </c>
    </row>
    <row r="18" spans="7:13" x14ac:dyDescent="0.25">
      <c r="J18" s="11">
        <v>2</v>
      </c>
      <c r="K18" s="7">
        <v>17.039711191335741</v>
      </c>
      <c r="L18" s="7">
        <v>0</v>
      </c>
      <c r="M18" s="8">
        <v>0.52604693140794223</v>
      </c>
    </row>
    <row r="19" spans="7:13" x14ac:dyDescent="0.25">
      <c r="J19" s="11">
        <v>3</v>
      </c>
      <c r="K19" s="7">
        <v>17.541516245487365</v>
      </c>
      <c r="L19" s="7">
        <v>0</v>
      </c>
      <c r="M19" s="8">
        <v>0.53657761732851983</v>
      </c>
    </row>
    <row r="20" spans="7:13" x14ac:dyDescent="0.25">
      <c r="J20" s="11">
        <v>4</v>
      </c>
      <c r="K20" s="7">
        <v>16.855595667870038</v>
      </c>
      <c r="L20" s="7">
        <v>0</v>
      </c>
      <c r="M20" s="8">
        <v>0.51390974729241878</v>
      </c>
    </row>
    <row r="21" spans="7:13" x14ac:dyDescent="0.25">
      <c r="J21" s="11">
        <v>5</v>
      </c>
      <c r="K21" s="7">
        <v>17.068592057761734</v>
      </c>
      <c r="L21" s="7">
        <v>0</v>
      </c>
      <c r="M21" s="8">
        <v>0.51255595667870035</v>
      </c>
    </row>
    <row r="22" spans="7:13" x14ac:dyDescent="0.25">
      <c r="J22" s="11">
        <v>6</v>
      </c>
      <c r="K22" s="7">
        <v>16.851985559566788</v>
      </c>
      <c r="L22" s="7">
        <v>0</v>
      </c>
      <c r="M22" s="8">
        <v>0.49715162454873646</v>
      </c>
    </row>
    <row r="23" spans="7:13" x14ac:dyDescent="0.25">
      <c r="J23" s="11">
        <v>7</v>
      </c>
      <c r="K23" s="7">
        <v>16.714801444043321</v>
      </c>
      <c r="L23" s="7">
        <v>0</v>
      </c>
      <c r="M23" s="8">
        <v>0.49325270758122741</v>
      </c>
    </row>
    <row r="24" spans="7:13" x14ac:dyDescent="0.25">
      <c r="J24" s="11">
        <v>8</v>
      </c>
      <c r="K24" s="7">
        <v>17.021660649819495</v>
      </c>
      <c r="L24" s="7">
        <v>0</v>
      </c>
      <c r="M24" s="8">
        <v>0.52754873646209388</v>
      </c>
    </row>
    <row r="25" spans="7:13" x14ac:dyDescent="0.25">
      <c r="J25" s="11">
        <v>9</v>
      </c>
      <c r="K25" s="7">
        <v>16.678700361010829</v>
      </c>
      <c r="L25" s="7">
        <v>0</v>
      </c>
      <c r="M25" s="8">
        <v>0.47537545126353792</v>
      </c>
    </row>
    <row r="26" spans="7:13" ht="15.75" thickBot="1" x14ac:dyDescent="0.3">
      <c r="J26" s="12">
        <v>10</v>
      </c>
      <c r="K26" s="9">
        <v>16.205776173285198</v>
      </c>
      <c r="L26" s="9">
        <v>0</v>
      </c>
      <c r="M26" s="10">
        <v>0.48776895306859208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M26"/>
  <sheetViews>
    <sheetView workbookViewId="0">
      <selection activeCell="M3" sqref="M3"/>
    </sheetView>
  </sheetViews>
  <sheetFormatPr baseColWidth="10" defaultRowHeight="15" x14ac:dyDescent="0.25"/>
  <cols>
    <col min="2" max="2" width="33.42578125" bestFit="1" customWidth="1"/>
  </cols>
  <sheetData>
    <row r="2" spans="2:13" ht="15.75" thickBot="1" x14ac:dyDescent="0.3">
      <c r="B2" t="s">
        <v>14</v>
      </c>
      <c r="J2" t="s">
        <v>18</v>
      </c>
      <c r="K2" t="s">
        <v>19</v>
      </c>
    </row>
    <row r="3" spans="2:13" x14ac:dyDescent="0.25">
      <c r="B3" t="s">
        <v>24</v>
      </c>
      <c r="G3" s="16" t="s">
        <v>22</v>
      </c>
      <c r="H3" s="16" t="s">
        <v>23</v>
      </c>
      <c r="J3" s="15" t="s">
        <v>8</v>
      </c>
      <c r="K3" s="13" t="s">
        <v>7</v>
      </c>
      <c r="L3" s="13" t="s">
        <v>9</v>
      </c>
      <c r="M3" s="14" t="s">
        <v>10</v>
      </c>
    </row>
    <row r="4" spans="2:13" x14ac:dyDescent="0.25">
      <c r="G4" s="7">
        <v>0</v>
      </c>
      <c r="H4" s="7">
        <v>0</v>
      </c>
      <c r="J4" s="11">
        <v>1</v>
      </c>
      <c r="K4" s="7">
        <v>14.6775</v>
      </c>
      <c r="L4" s="7">
        <v>0</v>
      </c>
      <c r="M4" s="8">
        <v>0.35527999999999998</v>
      </c>
    </row>
    <row r="5" spans="2:13" x14ac:dyDescent="0.25">
      <c r="G5" s="7">
        <v>0</v>
      </c>
      <c r="H5" s="7">
        <v>0</v>
      </c>
      <c r="J5" s="11">
        <v>2</v>
      </c>
      <c r="K5" s="7">
        <v>12.7875</v>
      </c>
      <c r="L5" s="7">
        <v>0</v>
      </c>
      <c r="M5" s="8">
        <v>0.34754000000000002</v>
      </c>
    </row>
    <row r="6" spans="2:13" x14ac:dyDescent="0.25">
      <c r="G6" s="7">
        <v>0</v>
      </c>
      <c r="H6" s="7">
        <v>0</v>
      </c>
      <c r="J6" s="11">
        <v>3</v>
      </c>
      <c r="K6" s="7">
        <v>13.035</v>
      </c>
      <c r="L6" s="7">
        <v>0</v>
      </c>
      <c r="M6" s="8">
        <v>0.36967749999999999</v>
      </c>
    </row>
    <row r="7" spans="2:13" x14ac:dyDescent="0.25">
      <c r="G7" s="7">
        <v>0</v>
      </c>
      <c r="H7" s="7">
        <v>0</v>
      </c>
      <c r="J7" s="11">
        <v>4</v>
      </c>
      <c r="K7" s="7">
        <v>12.8225</v>
      </c>
      <c r="L7" s="7">
        <v>0</v>
      </c>
      <c r="M7" s="8">
        <v>0.34566000000000002</v>
      </c>
    </row>
    <row r="8" spans="2:13" x14ac:dyDescent="0.25">
      <c r="G8" s="7">
        <v>0</v>
      </c>
      <c r="H8" s="7">
        <v>0</v>
      </c>
      <c r="J8" s="11">
        <v>5</v>
      </c>
      <c r="K8" s="7">
        <v>12.8575</v>
      </c>
      <c r="L8" s="7">
        <v>0</v>
      </c>
      <c r="M8" s="8">
        <v>0.35540750000000004</v>
      </c>
    </row>
    <row r="9" spans="2:13" x14ac:dyDescent="0.25">
      <c r="G9" s="7">
        <v>0</v>
      </c>
      <c r="H9" s="7">
        <v>0</v>
      </c>
      <c r="J9" s="11">
        <v>6</v>
      </c>
      <c r="K9" s="7">
        <v>12.8325</v>
      </c>
      <c r="L9" s="7">
        <v>0</v>
      </c>
      <c r="M9" s="8">
        <v>0.36707249999999997</v>
      </c>
    </row>
    <row r="10" spans="2:13" x14ac:dyDescent="0.25">
      <c r="G10" s="7">
        <v>0</v>
      </c>
      <c r="H10" s="7">
        <v>0</v>
      </c>
      <c r="J10" s="11">
        <v>7</v>
      </c>
      <c r="K10" s="7">
        <v>15.717499999999999</v>
      </c>
      <c r="L10" s="7">
        <v>0</v>
      </c>
      <c r="M10" s="8">
        <v>0.50304499999999996</v>
      </c>
    </row>
    <row r="11" spans="2:13" x14ac:dyDescent="0.25">
      <c r="G11" s="7">
        <v>0</v>
      </c>
      <c r="H11" s="7">
        <v>0</v>
      </c>
      <c r="J11" s="11">
        <v>8</v>
      </c>
      <c r="K11" s="7">
        <v>12.67</v>
      </c>
      <c r="L11" s="7">
        <v>0</v>
      </c>
      <c r="M11" s="8">
        <v>0.33991250000000001</v>
      </c>
    </row>
    <row r="12" spans="2:13" x14ac:dyDescent="0.25">
      <c r="G12" s="7">
        <v>0</v>
      </c>
      <c r="H12" s="7">
        <v>0</v>
      </c>
      <c r="J12" s="11">
        <v>9</v>
      </c>
      <c r="K12" s="7">
        <v>12.5275</v>
      </c>
      <c r="L12" s="7">
        <v>0</v>
      </c>
      <c r="M12" s="8">
        <v>0.33897250000000001</v>
      </c>
    </row>
    <row r="13" spans="2:13" ht="15.75" thickBot="1" x14ac:dyDescent="0.3">
      <c r="G13" s="7">
        <v>0</v>
      </c>
      <c r="H13" s="7">
        <v>0</v>
      </c>
      <c r="J13" s="12">
        <v>10</v>
      </c>
      <c r="K13" s="9">
        <v>12.6625</v>
      </c>
      <c r="L13" s="9">
        <v>0</v>
      </c>
      <c r="M13" s="10">
        <v>0.34176249999999997</v>
      </c>
    </row>
    <row r="15" spans="2:13" ht="15.75" thickBot="1" x14ac:dyDescent="0.3">
      <c r="J15" t="s">
        <v>20</v>
      </c>
      <c r="K15" t="s">
        <v>21</v>
      </c>
    </row>
    <row r="16" spans="2:13" x14ac:dyDescent="0.25">
      <c r="J16" s="15" t="s">
        <v>8</v>
      </c>
      <c r="K16" s="13" t="s">
        <v>7</v>
      </c>
      <c r="L16" s="13" t="s">
        <v>9</v>
      </c>
      <c r="M16" s="14" t="s">
        <v>10</v>
      </c>
    </row>
    <row r="17" spans="10:13" x14ac:dyDescent="0.25">
      <c r="J17" s="11">
        <v>1</v>
      </c>
      <c r="K17" s="7">
        <v>21.826714801444044</v>
      </c>
      <c r="L17" s="7">
        <v>0</v>
      </c>
      <c r="M17" s="8">
        <v>0.52603610108303245</v>
      </c>
    </row>
    <row r="18" spans="10:13" x14ac:dyDescent="0.25">
      <c r="J18" s="11">
        <v>2</v>
      </c>
      <c r="K18" s="7">
        <v>17.039711191335741</v>
      </c>
      <c r="L18" s="7">
        <v>0</v>
      </c>
      <c r="M18" s="8">
        <v>0.52604693140794223</v>
      </c>
    </row>
    <row r="19" spans="10:13" x14ac:dyDescent="0.25">
      <c r="J19" s="11">
        <v>3</v>
      </c>
      <c r="K19" s="7">
        <v>17.541516245487365</v>
      </c>
      <c r="L19" s="7">
        <v>0</v>
      </c>
      <c r="M19" s="8">
        <v>0.53657761732851983</v>
      </c>
    </row>
    <row r="20" spans="10:13" x14ac:dyDescent="0.25">
      <c r="J20" s="11">
        <v>4</v>
      </c>
      <c r="K20" s="7">
        <v>16.855595667870038</v>
      </c>
      <c r="L20" s="7">
        <v>0</v>
      </c>
      <c r="M20" s="8">
        <v>0.51390974729241878</v>
      </c>
    </row>
    <row r="21" spans="10:13" x14ac:dyDescent="0.25">
      <c r="J21" s="11">
        <v>5</v>
      </c>
      <c r="K21" s="7">
        <v>17.068592057761734</v>
      </c>
      <c r="L21" s="7">
        <v>0</v>
      </c>
      <c r="M21" s="8">
        <v>0.51255595667870035</v>
      </c>
    </row>
    <row r="22" spans="10:13" x14ac:dyDescent="0.25">
      <c r="J22" s="11">
        <v>6</v>
      </c>
      <c r="K22" s="7">
        <v>16.851985559566788</v>
      </c>
      <c r="L22" s="7">
        <v>0</v>
      </c>
      <c r="M22" s="8">
        <v>0.49715162454873646</v>
      </c>
    </row>
    <row r="23" spans="10:13" x14ac:dyDescent="0.25">
      <c r="J23" s="11">
        <v>7</v>
      </c>
      <c r="K23" s="7">
        <v>16.714801444043321</v>
      </c>
      <c r="L23" s="7">
        <v>0</v>
      </c>
      <c r="M23" s="8">
        <v>0.49325270758122741</v>
      </c>
    </row>
    <row r="24" spans="10:13" x14ac:dyDescent="0.25">
      <c r="J24" s="11">
        <v>8</v>
      </c>
      <c r="K24" s="7">
        <v>17.021660649819495</v>
      </c>
      <c r="L24" s="7">
        <v>0</v>
      </c>
      <c r="M24" s="8">
        <v>0.52754873646209388</v>
      </c>
    </row>
    <row r="25" spans="10:13" x14ac:dyDescent="0.25">
      <c r="J25" s="11">
        <v>9</v>
      </c>
      <c r="K25" s="7">
        <v>16.678700361010829</v>
      </c>
      <c r="L25" s="7">
        <v>0</v>
      </c>
      <c r="M25" s="8">
        <v>0.47537545126353792</v>
      </c>
    </row>
    <row r="26" spans="10:13" ht="15.75" thickBot="1" x14ac:dyDescent="0.3">
      <c r="J26" s="12">
        <v>10</v>
      </c>
      <c r="K26" s="9">
        <v>16.205776173285198</v>
      </c>
      <c r="L26" s="9">
        <v>0</v>
      </c>
      <c r="M26" s="10">
        <v>0.48776895306859208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26"/>
  <sheetViews>
    <sheetView zoomScale="85" zoomScaleNormal="85" workbookViewId="0">
      <selection activeCell="F12" sqref="F12"/>
    </sheetView>
  </sheetViews>
  <sheetFormatPr baseColWidth="10" defaultRowHeight="15" x14ac:dyDescent="0.25"/>
  <cols>
    <col min="2" max="2" width="33.42578125" bestFit="1" customWidth="1"/>
  </cols>
  <sheetData>
    <row r="2" spans="2:14" ht="15.75" thickBot="1" x14ac:dyDescent="0.3">
      <c r="B2" t="s">
        <v>25</v>
      </c>
      <c r="K2" t="s">
        <v>18</v>
      </c>
      <c r="L2" t="s">
        <v>19</v>
      </c>
    </row>
    <row r="3" spans="2:14" x14ac:dyDescent="0.25">
      <c r="B3" t="s">
        <v>12</v>
      </c>
      <c r="C3">
        <v>10000</v>
      </c>
      <c r="H3" s="16" t="s">
        <v>19</v>
      </c>
      <c r="I3" s="16" t="s">
        <v>21</v>
      </c>
      <c r="K3" s="15" t="s">
        <v>8</v>
      </c>
      <c r="L3" s="13" t="s">
        <v>7</v>
      </c>
      <c r="M3" s="13" t="s">
        <v>9</v>
      </c>
      <c r="N3" s="14" t="s">
        <v>10</v>
      </c>
    </row>
    <row r="4" spans="2:14" x14ac:dyDescent="0.25">
      <c r="H4" s="8">
        <f>0.35528/2</f>
        <v>0.17763999999999999</v>
      </c>
      <c r="I4" s="7">
        <v>0.52603610108303245</v>
      </c>
      <c r="K4" s="11">
        <v>1</v>
      </c>
      <c r="L4" s="7">
        <v>14.6775</v>
      </c>
      <c r="M4" s="7">
        <v>0</v>
      </c>
      <c r="N4" s="8">
        <v>0.35527999999999998</v>
      </c>
    </row>
    <row r="5" spans="2:14" x14ac:dyDescent="0.25">
      <c r="H5" s="8">
        <f>0.34754/2</f>
        <v>0.17377000000000001</v>
      </c>
      <c r="I5" s="7">
        <v>0.52604693140794223</v>
      </c>
      <c r="K5" s="11">
        <v>2</v>
      </c>
      <c r="L5" s="7">
        <v>12.7875</v>
      </c>
      <c r="M5" s="7">
        <v>0</v>
      </c>
      <c r="N5" s="8">
        <v>0.34754000000000002</v>
      </c>
    </row>
    <row r="6" spans="2:14" x14ac:dyDescent="0.25">
      <c r="H6" s="8">
        <f>0.3696775/2</f>
        <v>0.18483875</v>
      </c>
      <c r="I6" s="7">
        <v>0.53657761732851983</v>
      </c>
      <c r="K6" s="11">
        <v>3</v>
      </c>
      <c r="L6" s="7">
        <v>13.035</v>
      </c>
      <c r="M6" s="7">
        <v>0</v>
      </c>
      <c r="N6" s="8">
        <v>0.36967749999999999</v>
      </c>
    </row>
    <row r="7" spans="2:14" x14ac:dyDescent="0.25">
      <c r="H7" s="8">
        <f>0.34566/2</f>
        <v>0.17283000000000001</v>
      </c>
      <c r="I7" s="7">
        <v>0.51390974729241878</v>
      </c>
      <c r="K7" s="11">
        <v>4</v>
      </c>
      <c r="L7" s="7">
        <v>12.8225</v>
      </c>
      <c r="M7" s="7">
        <v>0</v>
      </c>
      <c r="N7" s="8">
        <v>0.34566000000000002</v>
      </c>
    </row>
    <row r="8" spans="2:14" x14ac:dyDescent="0.25">
      <c r="H8" s="8">
        <f>0.3554075/2</f>
        <v>0.17770374999999999</v>
      </c>
      <c r="I8" s="7">
        <v>0.51255595667870035</v>
      </c>
      <c r="K8" s="11">
        <v>5</v>
      </c>
      <c r="L8" s="7">
        <v>12.8575</v>
      </c>
      <c r="M8" s="7">
        <v>0</v>
      </c>
      <c r="N8" s="8">
        <v>0.35540750000000004</v>
      </c>
    </row>
    <row r="9" spans="2:14" x14ac:dyDescent="0.25">
      <c r="H9" s="8">
        <f>0.3670725/2</f>
        <v>0.18353625000000001</v>
      </c>
      <c r="I9" s="7">
        <v>0.49715162454873646</v>
      </c>
      <c r="K9" s="11">
        <v>6</v>
      </c>
      <c r="L9" s="7">
        <v>12.8325</v>
      </c>
      <c r="M9" s="7">
        <v>0</v>
      </c>
      <c r="N9" s="8">
        <v>0.36707249999999997</v>
      </c>
    </row>
    <row r="10" spans="2:14" x14ac:dyDescent="0.25">
      <c r="H10" s="8">
        <f>0.503045/2</f>
        <v>0.25152249999999998</v>
      </c>
      <c r="I10" s="7">
        <v>0.49325270758122741</v>
      </c>
      <c r="K10" s="11">
        <v>7</v>
      </c>
      <c r="L10" s="7">
        <v>15.717499999999999</v>
      </c>
      <c r="M10" s="7">
        <v>0</v>
      </c>
      <c r="N10" s="8">
        <v>0.50304499999999996</v>
      </c>
    </row>
    <row r="11" spans="2:14" x14ac:dyDescent="0.25">
      <c r="H11" s="8">
        <f>0.3399125/2</f>
        <v>0.16995625</v>
      </c>
      <c r="I11" s="7">
        <v>0.52754873646209388</v>
      </c>
      <c r="K11" s="11">
        <v>8</v>
      </c>
      <c r="L11" s="7">
        <v>12.67</v>
      </c>
      <c r="M11" s="7">
        <v>0</v>
      </c>
      <c r="N11" s="8">
        <v>0.33991250000000001</v>
      </c>
    </row>
    <row r="12" spans="2:14" x14ac:dyDescent="0.25">
      <c r="H12" s="8">
        <f>0.3389725/2</f>
        <v>0.16948625</v>
      </c>
      <c r="I12" s="7">
        <v>0.47537545126353792</v>
      </c>
      <c r="K12" s="11">
        <v>9</v>
      </c>
      <c r="L12" s="7">
        <v>12.5275</v>
      </c>
      <c r="M12" s="7">
        <v>0</v>
      </c>
      <c r="N12" s="8">
        <v>0.33897250000000001</v>
      </c>
    </row>
    <row r="13" spans="2:14" ht="15.75" thickBot="1" x14ac:dyDescent="0.3">
      <c r="H13" s="8">
        <f>0.3417625/2</f>
        <v>0.17088125000000001</v>
      </c>
      <c r="I13" s="7">
        <v>0.48776895306859208</v>
      </c>
      <c r="K13" s="12">
        <v>10</v>
      </c>
      <c r="L13" s="9">
        <v>12.6625</v>
      </c>
      <c r="M13" s="9">
        <v>0</v>
      </c>
      <c r="N13" s="10">
        <v>0.34176249999999997</v>
      </c>
    </row>
    <row r="15" spans="2:14" ht="15.75" thickBot="1" x14ac:dyDescent="0.3">
      <c r="K15" t="s">
        <v>20</v>
      </c>
      <c r="L15" t="s">
        <v>21</v>
      </c>
    </row>
    <row r="16" spans="2:14" x14ac:dyDescent="0.25">
      <c r="H16" t="s">
        <v>19</v>
      </c>
      <c r="I16" t="s">
        <v>21</v>
      </c>
      <c r="K16" s="15" t="s">
        <v>8</v>
      </c>
      <c r="L16" s="13" t="s">
        <v>7</v>
      </c>
      <c r="M16" s="13" t="s">
        <v>9</v>
      </c>
      <c r="N16" s="14" t="s">
        <v>10</v>
      </c>
    </row>
    <row r="17" spans="8:14" x14ac:dyDescent="0.25">
      <c r="H17">
        <f>AVERAGE(Tabla12[1 Thread])</f>
        <v>0.1832165</v>
      </c>
      <c r="I17">
        <f>AVERAGE(Tabla12[2 Threads])</f>
        <v>0.50962238267148019</v>
      </c>
      <c r="K17" s="11">
        <v>1</v>
      </c>
      <c r="L17" s="7">
        <v>21.826714801444044</v>
      </c>
      <c r="M17" s="7">
        <v>0</v>
      </c>
      <c r="N17" s="8">
        <v>0.52603610108303245</v>
      </c>
    </row>
    <row r="18" spans="8:14" x14ac:dyDescent="0.25">
      <c r="K18" s="11">
        <v>2</v>
      </c>
      <c r="L18" s="7">
        <v>17.039711191335741</v>
      </c>
      <c r="M18" s="7">
        <v>0</v>
      </c>
      <c r="N18" s="8">
        <v>0.52604693140794223</v>
      </c>
    </row>
    <row r="19" spans="8:14" x14ac:dyDescent="0.25">
      <c r="K19" s="11">
        <v>3</v>
      </c>
      <c r="L19" s="7">
        <v>17.541516245487365</v>
      </c>
      <c r="M19" s="7">
        <v>0</v>
      </c>
      <c r="N19" s="8">
        <v>0.53657761732851983</v>
      </c>
    </row>
    <row r="20" spans="8:14" x14ac:dyDescent="0.25">
      <c r="K20" s="11">
        <v>4</v>
      </c>
      <c r="L20" s="7">
        <v>16.855595667870038</v>
      </c>
      <c r="M20" s="7">
        <v>0</v>
      </c>
      <c r="N20" s="8">
        <v>0.51390974729241878</v>
      </c>
    </row>
    <row r="21" spans="8:14" x14ac:dyDescent="0.25">
      <c r="K21" s="11">
        <v>5</v>
      </c>
      <c r="L21" s="7">
        <v>17.068592057761734</v>
      </c>
      <c r="M21" s="7">
        <v>0</v>
      </c>
      <c r="N21" s="8">
        <v>0.51255595667870035</v>
      </c>
    </row>
    <row r="22" spans="8:14" x14ac:dyDescent="0.25">
      <c r="K22" s="11">
        <v>6</v>
      </c>
      <c r="L22" s="7">
        <v>16.851985559566788</v>
      </c>
      <c r="M22" s="7">
        <v>0</v>
      </c>
      <c r="N22" s="8">
        <v>0.49715162454873646</v>
      </c>
    </row>
    <row r="23" spans="8:14" x14ac:dyDescent="0.25">
      <c r="K23" s="11">
        <v>7</v>
      </c>
      <c r="L23" s="7">
        <v>16.714801444043321</v>
      </c>
      <c r="M23" s="7">
        <v>0</v>
      </c>
      <c r="N23" s="8">
        <v>0.49325270758122741</v>
      </c>
    </row>
    <row r="24" spans="8:14" x14ac:dyDescent="0.25">
      <c r="K24" s="11">
        <v>8</v>
      </c>
      <c r="L24" s="7">
        <v>17.021660649819495</v>
      </c>
      <c r="M24" s="7">
        <v>0</v>
      </c>
      <c r="N24" s="8">
        <v>0.52754873646209388</v>
      </c>
    </row>
    <row r="25" spans="8:14" x14ac:dyDescent="0.25">
      <c r="K25" s="11">
        <v>9</v>
      </c>
      <c r="L25" s="7">
        <v>16.678700361010829</v>
      </c>
      <c r="M25" s="7">
        <v>0</v>
      </c>
      <c r="N25" s="8">
        <v>0.47537545126353792</v>
      </c>
    </row>
    <row r="26" spans="8:14" ht="15.75" thickBot="1" x14ac:dyDescent="0.3">
      <c r="K26" s="12">
        <v>10</v>
      </c>
      <c r="L26" s="9">
        <v>16.205776173285198</v>
      </c>
      <c r="M26" s="9">
        <v>0</v>
      </c>
      <c r="N26" s="10">
        <v>0.48776895306859208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548"/>
  <sheetViews>
    <sheetView workbookViewId="0">
      <selection sqref="A1:C3547"/>
    </sheetView>
  </sheetViews>
  <sheetFormatPr baseColWidth="10" defaultRowHeight="15" x14ac:dyDescent="0.25"/>
  <cols>
    <col min="1" max="1" width="18" bestFit="1" customWidth="1"/>
    <col min="2" max="2" width="7.42578125" bestFit="1" customWidth="1"/>
    <col min="3" max="3" width="8" bestFit="1" customWidth="1"/>
  </cols>
  <sheetData>
    <row r="1" spans="1:9" ht="16.5" thickTop="1" thickBot="1" x14ac:dyDescent="0.3">
      <c r="A1" s="27" t="s">
        <v>26</v>
      </c>
      <c r="B1" s="27" t="s">
        <v>27</v>
      </c>
      <c r="C1" s="27" t="s">
        <v>28</v>
      </c>
    </row>
    <row r="2" spans="1:9" ht="16.5" thickTop="1" thickBot="1" x14ac:dyDescent="0.3">
      <c r="A2" s="28">
        <v>5.7988737461167554</v>
      </c>
      <c r="B2" s="27">
        <v>0</v>
      </c>
      <c r="C2" s="27">
        <v>0</v>
      </c>
      <c r="E2" s="18"/>
      <c r="I2" s="18"/>
    </row>
    <row r="3" spans="1:9" ht="16.5" thickTop="1" thickBot="1" x14ac:dyDescent="0.3">
      <c r="A3" s="28">
        <v>11.773237274125794</v>
      </c>
      <c r="B3" s="27">
        <v>0</v>
      </c>
      <c r="C3" s="27">
        <v>0</v>
      </c>
      <c r="E3" s="18"/>
    </row>
    <row r="4" spans="1:9" ht="16.5" thickTop="1" thickBot="1" x14ac:dyDescent="0.3">
      <c r="A4" s="28">
        <v>3.0664748431084687</v>
      </c>
      <c r="B4" s="27">
        <v>0</v>
      </c>
      <c r="C4" s="27">
        <v>0</v>
      </c>
      <c r="E4" s="18"/>
    </row>
    <row r="5" spans="1:9" ht="16.5" thickTop="1" thickBot="1" x14ac:dyDescent="0.3">
      <c r="A5" s="28">
        <v>8.4403023569280755</v>
      </c>
      <c r="B5" s="27">
        <v>0</v>
      </c>
      <c r="C5" s="27">
        <v>0</v>
      </c>
      <c r="E5" s="18"/>
    </row>
    <row r="6" spans="1:9" ht="16.5" thickTop="1" thickBot="1" x14ac:dyDescent="0.3">
      <c r="A6" s="28">
        <v>5.2647158570609562</v>
      </c>
      <c r="B6" s="27">
        <v>0</v>
      </c>
      <c r="C6" s="27">
        <v>0</v>
      </c>
      <c r="E6" s="18"/>
    </row>
    <row r="7" spans="1:9" ht="16.5" thickTop="1" thickBot="1" x14ac:dyDescent="0.3">
      <c r="A7" s="28">
        <v>10.607358151789057</v>
      </c>
      <c r="B7" s="27">
        <v>0</v>
      </c>
      <c r="C7" s="27">
        <v>0</v>
      </c>
      <c r="E7" s="18"/>
    </row>
    <row r="8" spans="1:9" ht="16.5" thickTop="1" thickBot="1" x14ac:dyDescent="0.3">
      <c r="A8" s="28">
        <v>2.6684935057963082</v>
      </c>
      <c r="B8" s="27">
        <v>0</v>
      </c>
      <c r="C8" s="27">
        <v>0</v>
      </c>
      <c r="E8" s="18"/>
    </row>
    <row r="9" spans="1:9" ht="16.5" thickTop="1" thickBot="1" x14ac:dyDescent="0.3">
      <c r="A9" s="28">
        <v>10.207008612338516</v>
      </c>
      <c r="B9" s="27">
        <v>0</v>
      </c>
      <c r="C9" s="27">
        <v>0</v>
      </c>
      <c r="E9" s="18"/>
    </row>
    <row r="10" spans="1:9" ht="16.5" thickTop="1" thickBot="1" x14ac:dyDescent="0.3">
      <c r="A10" s="28">
        <v>1.6426542575838305</v>
      </c>
      <c r="B10" s="27">
        <v>0</v>
      </c>
      <c r="C10" s="27">
        <v>0</v>
      </c>
      <c r="E10" s="18"/>
    </row>
    <row r="11" spans="1:9" ht="16.5" thickTop="1" thickBot="1" x14ac:dyDescent="0.3">
      <c r="A11" s="28">
        <v>2.4515087798445019</v>
      </c>
      <c r="B11" s="27">
        <v>0</v>
      </c>
      <c r="C11" s="27">
        <v>0</v>
      </c>
      <c r="E11" s="18"/>
    </row>
    <row r="12" spans="1:9" ht="16.5" thickTop="1" thickBot="1" x14ac:dyDescent="0.3">
      <c r="A12" s="28">
        <v>0.25684513910200057</v>
      </c>
      <c r="B12" s="27">
        <v>0</v>
      </c>
      <c r="C12" s="27">
        <v>0</v>
      </c>
      <c r="E12" s="18"/>
    </row>
    <row r="13" spans="1:9" ht="16.5" thickTop="1" thickBot="1" x14ac:dyDescent="0.3">
      <c r="A13" s="28">
        <v>9.9787155161936418</v>
      </c>
      <c r="B13" s="27">
        <v>0</v>
      </c>
      <c r="C13" s="27">
        <v>0</v>
      </c>
      <c r="E13" s="18"/>
    </row>
    <row r="14" spans="1:9" ht="16.5" thickTop="1" thickBot="1" x14ac:dyDescent="0.3">
      <c r="A14" s="28">
        <v>3.9853111582886074</v>
      </c>
      <c r="B14" s="27">
        <v>0</v>
      </c>
      <c r="C14" s="27">
        <v>0</v>
      </c>
      <c r="E14" s="18"/>
    </row>
    <row r="15" spans="1:9" ht="16.5" thickTop="1" thickBot="1" x14ac:dyDescent="0.3">
      <c r="A15" s="28">
        <v>1.7072402598422318</v>
      </c>
      <c r="B15" s="27">
        <v>0</v>
      </c>
      <c r="C15" s="27">
        <v>0</v>
      </c>
      <c r="E15" s="18"/>
    </row>
    <row r="16" spans="1:9" ht="16.5" thickTop="1" thickBot="1" x14ac:dyDescent="0.3">
      <c r="A16" s="28">
        <v>5.5923940011098248</v>
      </c>
      <c r="B16" s="27">
        <v>0</v>
      </c>
      <c r="C16" s="27">
        <v>0</v>
      </c>
      <c r="E16" s="18"/>
    </row>
    <row r="17" spans="1:5" ht="16.5" thickTop="1" thickBot="1" x14ac:dyDescent="0.3">
      <c r="A17" s="28">
        <v>3.102384739647198</v>
      </c>
      <c r="B17" s="27">
        <v>0</v>
      </c>
      <c r="C17" s="27">
        <v>0</v>
      </c>
      <c r="E17" s="18"/>
    </row>
    <row r="18" spans="1:5" ht="16.5" thickTop="1" thickBot="1" x14ac:dyDescent="0.3">
      <c r="A18" s="28">
        <v>3.969038914100036</v>
      </c>
      <c r="B18" s="27">
        <v>0</v>
      </c>
      <c r="C18" s="27">
        <v>20</v>
      </c>
      <c r="E18" s="18"/>
    </row>
    <row r="19" spans="1:5" ht="16.5" thickTop="1" thickBot="1" x14ac:dyDescent="0.3">
      <c r="A19" s="28">
        <v>2.420021423194485</v>
      </c>
      <c r="B19" s="27">
        <v>0</v>
      </c>
      <c r="C19" s="27">
        <v>20</v>
      </c>
      <c r="E19" s="18"/>
    </row>
    <row r="20" spans="1:5" ht="16.5" thickTop="1" thickBot="1" x14ac:dyDescent="0.3">
      <c r="A20" s="28">
        <v>4.5817195375371798</v>
      </c>
      <c r="B20" s="27">
        <v>0</v>
      </c>
      <c r="C20" s="27">
        <v>20</v>
      </c>
      <c r="E20" s="18"/>
    </row>
    <row r="21" spans="1:5" ht="16.5" thickTop="1" thickBot="1" x14ac:dyDescent="0.3">
      <c r="A21" s="28">
        <v>3.3236250435650514</v>
      </c>
      <c r="B21" s="27">
        <v>0</v>
      </c>
      <c r="C21" s="27">
        <v>20</v>
      </c>
      <c r="E21" s="18"/>
    </row>
    <row r="22" spans="1:5" ht="16.5" thickTop="1" thickBot="1" x14ac:dyDescent="0.3">
      <c r="A22" s="28">
        <v>1.901011549415367</v>
      </c>
      <c r="B22" s="27">
        <v>0</v>
      </c>
      <c r="C22" s="27">
        <v>20</v>
      </c>
      <c r="E22" s="18"/>
    </row>
    <row r="23" spans="1:5" ht="16.5" thickTop="1" thickBot="1" x14ac:dyDescent="0.3">
      <c r="A23" s="28">
        <v>8.621706195152365</v>
      </c>
      <c r="B23" s="27">
        <v>0</v>
      </c>
      <c r="C23" s="27">
        <v>20</v>
      </c>
      <c r="E23" s="18"/>
    </row>
    <row r="24" spans="1:5" ht="16.5" thickTop="1" thickBot="1" x14ac:dyDescent="0.3">
      <c r="A24" s="28">
        <v>3.4009209244179224</v>
      </c>
      <c r="B24" s="27">
        <v>0</v>
      </c>
      <c r="C24" s="27">
        <v>20</v>
      </c>
      <c r="E24" s="18"/>
    </row>
    <row r="25" spans="1:5" ht="16.5" thickTop="1" thickBot="1" x14ac:dyDescent="0.3">
      <c r="A25" s="28">
        <v>3.0210775449977834</v>
      </c>
      <c r="B25" s="27">
        <v>0</v>
      </c>
      <c r="C25" s="27">
        <v>20</v>
      </c>
      <c r="E25" s="18"/>
    </row>
    <row r="26" spans="1:5" ht="16.5" thickTop="1" thickBot="1" x14ac:dyDescent="0.3">
      <c r="A26" s="28">
        <v>6.2489201346059904</v>
      </c>
      <c r="B26" s="27">
        <v>0</v>
      </c>
      <c r="C26" s="27">
        <v>20</v>
      </c>
      <c r="E26" s="18"/>
    </row>
    <row r="27" spans="1:5" ht="16.5" thickTop="1" thickBot="1" x14ac:dyDescent="0.3">
      <c r="A27" s="28">
        <v>9.2273388840677999</v>
      </c>
      <c r="B27" s="27">
        <v>0</v>
      </c>
      <c r="C27" s="27">
        <v>20</v>
      </c>
      <c r="E27" s="18"/>
    </row>
    <row r="28" spans="1:5" ht="16.5" thickTop="1" thickBot="1" x14ac:dyDescent="0.3">
      <c r="A28" s="28">
        <v>1.690531126923339</v>
      </c>
      <c r="B28" s="27">
        <v>0</v>
      </c>
      <c r="C28" s="27">
        <v>20</v>
      </c>
      <c r="E28" s="18"/>
    </row>
    <row r="29" spans="1:5" ht="16.5" thickTop="1" thickBot="1" x14ac:dyDescent="0.3">
      <c r="A29" s="28">
        <v>0.39218092905464053</v>
      </c>
      <c r="B29" s="27">
        <v>0</v>
      </c>
      <c r="C29" s="27">
        <v>20</v>
      </c>
      <c r="E29" s="18"/>
    </row>
    <row r="30" spans="1:5" ht="16.5" thickTop="1" thickBot="1" x14ac:dyDescent="0.3">
      <c r="A30" s="28">
        <v>5.4236904464655726</v>
      </c>
      <c r="B30" s="27">
        <v>0</v>
      </c>
      <c r="C30" s="27">
        <v>20</v>
      </c>
      <c r="E30" s="18"/>
    </row>
    <row r="31" spans="1:5" ht="16.5" thickTop="1" thickBot="1" x14ac:dyDescent="0.3">
      <c r="A31" s="28">
        <v>3.8793354051254658</v>
      </c>
      <c r="B31" s="27">
        <v>0</v>
      </c>
      <c r="C31" s="27">
        <v>20</v>
      </c>
      <c r="E31" s="18"/>
    </row>
    <row r="32" spans="1:5" ht="16.5" thickTop="1" thickBot="1" x14ac:dyDescent="0.3">
      <c r="A32" s="28">
        <v>4.8545478719765409</v>
      </c>
      <c r="B32" s="27">
        <v>0</v>
      </c>
      <c r="C32" s="27">
        <v>20</v>
      </c>
      <c r="E32" s="18"/>
    </row>
    <row r="33" spans="1:5" ht="16.5" thickTop="1" thickBot="1" x14ac:dyDescent="0.3">
      <c r="A33" s="28">
        <v>10.100292434757218</v>
      </c>
      <c r="B33" s="27">
        <v>0</v>
      </c>
      <c r="C33" s="27">
        <v>20</v>
      </c>
      <c r="E33" s="18"/>
    </row>
    <row r="34" spans="1:5" ht="16.5" thickTop="1" thickBot="1" x14ac:dyDescent="0.3">
      <c r="A34" s="28">
        <v>6.0106793973369204</v>
      </c>
      <c r="B34" s="27">
        <v>0</v>
      </c>
      <c r="C34" s="27">
        <v>16.7</v>
      </c>
      <c r="E34" s="18"/>
    </row>
    <row r="35" spans="1:5" ht="16.5" thickTop="1" thickBot="1" x14ac:dyDescent="0.3">
      <c r="A35" s="28">
        <v>7.7083454160665026</v>
      </c>
      <c r="B35" s="27">
        <v>0</v>
      </c>
      <c r="C35" s="27">
        <v>16.7</v>
      </c>
      <c r="E35" s="18"/>
    </row>
    <row r="36" spans="1:5" ht="16.5" thickTop="1" thickBot="1" x14ac:dyDescent="0.3">
      <c r="A36" s="28">
        <v>2.6082278563342545</v>
      </c>
      <c r="B36" s="27">
        <v>0</v>
      </c>
      <c r="C36" s="27">
        <v>16.7</v>
      </c>
      <c r="E36" s="18"/>
    </row>
    <row r="37" spans="1:5" ht="16.5" thickTop="1" thickBot="1" x14ac:dyDescent="0.3">
      <c r="A37" s="28">
        <v>11.147092637588875</v>
      </c>
      <c r="B37" s="27">
        <v>0</v>
      </c>
      <c r="C37" s="27">
        <v>16.7</v>
      </c>
      <c r="E37" s="18"/>
    </row>
    <row r="38" spans="1:5" ht="16.5" thickTop="1" thickBot="1" x14ac:dyDescent="0.3">
      <c r="A38" s="28">
        <v>4.9387073437073159</v>
      </c>
      <c r="B38" s="27">
        <v>0</v>
      </c>
      <c r="C38" s="27">
        <v>16.7</v>
      </c>
      <c r="E38" s="18"/>
    </row>
    <row r="39" spans="1:5" ht="16.5" thickTop="1" thickBot="1" x14ac:dyDescent="0.3">
      <c r="A39" s="28">
        <v>1.3469292710845284</v>
      </c>
      <c r="B39" s="27">
        <v>0</v>
      </c>
      <c r="C39" s="27">
        <v>16.7</v>
      </c>
      <c r="E39" s="18"/>
    </row>
    <row r="40" spans="1:5" ht="16.5" thickTop="1" thickBot="1" x14ac:dyDescent="0.3">
      <c r="A40" s="28">
        <v>3.2624740091162665</v>
      </c>
      <c r="B40" s="27">
        <v>0</v>
      </c>
      <c r="C40" s="27">
        <v>16.7</v>
      </c>
      <c r="E40" s="18"/>
    </row>
    <row r="41" spans="1:5" ht="16.5" thickTop="1" thickBot="1" x14ac:dyDescent="0.3">
      <c r="A41" s="28">
        <v>10.822210030976271</v>
      </c>
      <c r="B41" s="27">
        <v>0</v>
      </c>
      <c r="C41" s="27">
        <v>16.7</v>
      </c>
      <c r="E41" s="18"/>
    </row>
    <row r="42" spans="1:5" ht="16.5" thickTop="1" thickBot="1" x14ac:dyDescent="0.3">
      <c r="A42" s="28">
        <v>3.3037412483172415</v>
      </c>
      <c r="B42" s="27">
        <v>0</v>
      </c>
      <c r="C42" s="27">
        <v>16.7</v>
      </c>
      <c r="E42" s="18"/>
    </row>
    <row r="43" spans="1:5" ht="16.5" thickTop="1" thickBot="1" x14ac:dyDescent="0.3">
      <c r="A43" s="28">
        <v>3.5339542301830207</v>
      </c>
      <c r="B43" s="27">
        <v>0</v>
      </c>
      <c r="C43" s="27">
        <v>16.7</v>
      </c>
      <c r="E43" s="18"/>
    </row>
    <row r="44" spans="1:5" ht="16.5" thickTop="1" thickBot="1" x14ac:dyDescent="0.3">
      <c r="A44" s="28">
        <v>5.3724132415214507</v>
      </c>
      <c r="B44" s="27">
        <v>0</v>
      </c>
      <c r="C44" s="27">
        <v>16.7</v>
      </c>
      <c r="E44" s="18"/>
    </row>
    <row r="45" spans="1:5" ht="16.5" thickTop="1" thickBot="1" x14ac:dyDescent="0.3">
      <c r="A45" s="28">
        <v>4.8012558863292227</v>
      </c>
      <c r="B45" s="27">
        <v>0</v>
      </c>
      <c r="C45" s="27">
        <v>16.7</v>
      </c>
      <c r="E45" s="18"/>
    </row>
    <row r="46" spans="1:5" ht="16.5" thickTop="1" thickBot="1" x14ac:dyDescent="0.3">
      <c r="A46" s="28">
        <v>5.6675088566416907</v>
      </c>
      <c r="B46" s="27">
        <v>0</v>
      </c>
      <c r="C46" s="27">
        <v>16.7</v>
      </c>
      <c r="E46" s="18"/>
    </row>
    <row r="47" spans="1:5" ht="16.5" thickTop="1" thickBot="1" x14ac:dyDescent="0.3">
      <c r="A47" s="28">
        <v>11.069873263895575</v>
      </c>
      <c r="B47" s="27">
        <v>0</v>
      </c>
      <c r="C47" s="27">
        <v>16.7</v>
      </c>
      <c r="E47" s="18"/>
    </row>
    <row r="48" spans="1:5" ht="16.5" thickTop="1" thickBot="1" x14ac:dyDescent="0.3">
      <c r="A48" s="28">
        <v>5.5712138518728773</v>
      </c>
      <c r="B48" s="27">
        <v>0</v>
      </c>
      <c r="C48" s="27">
        <v>16.7</v>
      </c>
      <c r="E48" s="18"/>
    </row>
    <row r="49" spans="1:5" ht="16.5" thickTop="1" thickBot="1" x14ac:dyDescent="0.3">
      <c r="A49" s="28">
        <v>10.31113898585604</v>
      </c>
      <c r="B49" s="27">
        <v>0</v>
      </c>
      <c r="C49" s="27">
        <v>12.5</v>
      </c>
      <c r="E49" s="18"/>
    </row>
    <row r="50" spans="1:5" ht="16.5" thickTop="1" thickBot="1" x14ac:dyDescent="0.3">
      <c r="A50" s="28">
        <v>5.9104045496013873</v>
      </c>
      <c r="B50" s="27">
        <v>0</v>
      </c>
      <c r="C50" s="27">
        <v>12.5</v>
      </c>
      <c r="E50" s="18"/>
    </row>
    <row r="51" spans="1:5" ht="16.5" thickTop="1" thickBot="1" x14ac:dyDescent="0.3">
      <c r="A51" s="28">
        <v>9.1841723228049581</v>
      </c>
      <c r="B51" s="27">
        <v>0</v>
      </c>
      <c r="C51" s="27">
        <v>12.5</v>
      </c>
      <c r="E51" s="18"/>
    </row>
    <row r="52" spans="1:5" ht="16.5" thickTop="1" thickBot="1" x14ac:dyDescent="0.3">
      <c r="A52" s="28">
        <v>0.20468022606500813</v>
      </c>
      <c r="B52" s="27">
        <v>0</v>
      </c>
      <c r="C52" s="27">
        <v>12.5</v>
      </c>
      <c r="E52" s="18"/>
    </row>
    <row r="53" spans="1:5" ht="16.5" thickTop="1" thickBot="1" x14ac:dyDescent="0.3">
      <c r="A53" s="28">
        <v>6.719455553828956</v>
      </c>
      <c r="B53" s="27">
        <v>0</v>
      </c>
      <c r="C53" s="27">
        <v>12.5</v>
      </c>
      <c r="E53" s="18"/>
    </row>
    <row r="54" spans="1:5" ht="16.5" thickTop="1" thickBot="1" x14ac:dyDescent="0.3">
      <c r="A54" s="28">
        <v>4.3280436742255617</v>
      </c>
      <c r="B54" s="27">
        <v>0</v>
      </c>
      <c r="C54" s="27">
        <v>12.5</v>
      </c>
      <c r="E54" s="18"/>
    </row>
    <row r="55" spans="1:5" ht="16.5" thickTop="1" thickBot="1" x14ac:dyDescent="0.3">
      <c r="A55" s="28">
        <v>5.2809371608266211</v>
      </c>
      <c r="B55" s="27">
        <v>0</v>
      </c>
      <c r="C55" s="27">
        <v>12.5</v>
      </c>
      <c r="E55" s="18"/>
    </row>
    <row r="56" spans="1:5" ht="16.5" thickTop="1" thickBot="1" x14ac:dyDescent="0.3">
      <c r="A56" s="28">
        <v>4.6149492144281465</v>
      </c>
      <c r="B56" s="27">
        <v>0</v>
      </c>
      <c r="C56" s="27">
        <v>12.5</v>
      </c>
      <c r="E56" s="18"/>
    </row>
    <row r="57" spans="1:5" ht="16.5" thickTop="1" thickBot="1" x14ac:dyDescent="0.3">
      <c r="A57" s="28">
        <v>7.5284802885135029</v>
      </c>
      <c r="B57" s="27">
        <v>0</v>
      </c>
      <c r="C57" s="27">
        <v>12.5</v>
      </c>
      <c r="E57" s="18"/>
    </row>
    <row r="58" spans="1:5" ht="16.5" thickTop="1" thickBot="1" x14ac:dyDescent="0.3">
      <c r="A58" s="28">
        <v>1.6728527466820922</v>
      </c>
      <c r="B58" s="27">
        <v>0</v>
      </c>
      <c r="C58" s="27">
        <v>12.5</v>
      </c>
      <c r="E58" s="18"/>
    </row>
    <row r="59" spans="1:5" ht="16.5" thickTop="1" thickBot="1" x14ac:dyDescent="0.3">
      <c r="A59" s="28">
        <v>0.54449484935613857</v>
      </c>
      <c r="B59" s="27">
        <v>0</v>
      </c>
      <c r="C59" s="27">
        <v>12.5</v>
      </c>
      <c r="E59" s="18"/>
    </row>
    <row r="60" spans="1:5" ht="16.5" thickTop="1" thickBot="1" x14ac:dyDescent="0.3">
      <c r="A60" s="28">
        <v>5.3616579278098548</v>
      </c>
      <c r="B60" s="27">
        <v>0</v>
      </c>
      <c r="C60" s="27">
        <v>12.5</v>
      </c>
      <c r="E60" s="18"/>
    </row>
    <row r="61" spans="1:5" ht="16.5" thickTop="1" thickBot="1" x14ac:dyDescent="0.3">
      <c r="A61" s="28">
        <v>4.8248754675132339</v>
      </c>
      <c r="B61" s="27">
        <v>0</v>
      </c>
      <c r="C61" s="27">
        <v>12.5</v>
      </c>
      <c r="E61" s="18"/>
    </row>
    <row r="62" spans="1:5" ht="16.5" thickTop="1" thickBot="1" x14ac:dyDescent="0.3">
      <c r="A62" s="28">
        <v>6.6010945699383177</v>
      </c>
      <c r="B62" s="27">
        <v>0</v>
      </c>
      <c r="C62" s="27">
        <v>12.5</v>
      </c>
      <c r="E62" s="18"/>
    </row>
    <row r="63" spans="1:5" ht="16.5" thickTop="1" thickBot="1" x14ac:dyDescent="0.3">
      <c r="A63" s="28">
        <v>9.9680001652040531</v>
      </c>
      <c r="B63" s="27">
        <v>0</v>
      </c>
      <c r="C63" s="27">
        <v>12.5</v>
      </c>
      <c r="E63" s="18"/>
    </row>
    <row r="64" spans="1:5" ht="16.5" thickTop="1" thickBot="1" x14ac:dyDescent="0.3">
      <c r="A64" s="28">
        <v>3.4230515260408199</v>
      </c>
      <c r="B64" s="27">
        <v>0</v>
      </c>
      <c r="C64" s="27">
        <v>14.3</v>
      </c>
      <c r="E64" s="18"/>
    </row>
    <row r="65" spans="1:5" ht="16.5" thickTop="1" thickBot="1" x14ac:dyDescent="0.3">
      <c r="A65" s="28">
        <v>9.4740995555874363</v>
      </c>
      <c r="B65" s="27">
        <v>0</v>
      </c>
      <c r="C65" s="27">
        <v>14.3</v>
      </c>
      <c r="E65" s="18"/>
    </row>
    <row r="66" spans="1:5" ht="16.5" thickTop="1" thickBot="1" x14ac:dyDescent="0.3">
      <c r="A66" s="28">
        <v>3.5156544347135825</v>
      </c>
      <c r="B66" s="27">
        <v>0</v>
      </c>
      <c r="C66" s="27">
        <v>14.3</v>
      </c>
      <c r="E66" s="18"/>
    </row>
    <row r="67" spans="1:5" ht="16.5" thickTop="1" thickBot="1" x14ac:dyDescent="0.3">
      <c r="A67" s="28">
        <v>6.3715630913927317</v>
      </c>
      <c r="B67" s="27">
        <v>0</v>
      </c>
      <c r="C67" s="27">
        <v>14.3</v>
      </c>
      <c r="E67" s="18"/>
    </row>
    <row r="68" spans="1:5" ht="16.5" thickTop="1" thickBot="1" x14ac:dyDescent="0.3">
      <c r="A68" s="28">
        <v>3.6201861046107009</v>
      </c>
      <c r="B68" s="27">
        <v>0</v>
      </c>
      <c r="C68" s="27">
        <v>14.3</v>
      </c>
      <c r="E68" s="18"/>
    </row>
    <row r="69" spans="1:5" ht="16.5" thickTop="1" thickBot="1" x14ac:dyDescent="0.3">
      <c r="A69" s="28">
        <v>10.436470736588941</v>
      </c>
      <c r="B69" s="27">
        <v>0</v>
      </c>
      <c r="C69" s="27">
        <v>14.3</v>
      </c>
      <c r="E69" s="18"/>
    </row>
    <row r="70" spans="1:5" ht="16.5" thickTop="1" thickBot="1" x14ac:dyDescent="0.3">
      <c r="A70" s="28">
        <v>5.2423550436106456</v>
      </c>
      <c r="B70" s="27">
        <v>0</v>
      </c>
      <c r="C70" s="27">
        <v>14.3</v>
      </c>
      <c r="E70" s="18"/>
    </row>
    <row r="71" spans="1:5" ht="16.5" thickTop="1" thickBot="1" x14ac:dyDescent="0.3">
      <c r="A71" s="28">
        <v>2.5185757779777185</v>
      </c>
      <c r="B71" s="27">
        <v>0</v>
      </c>
      <c r="C71" s="27">
        <v>14.3</v>
      </c>
      <c r="E71" s="18"/>
    </row>
    <row r="72" spans="1:5" ht="16.5" thickTop="1" thickBot="1" x14ac:dyDescent="0.3">
      <c r="A72" s="28">
        <v>0.90567841645960157</v>
      </c>
      <c r="B72" s="27">
        <v>0</v>
      </c>
      <c r="C72" s="27">
        <v>14.3</v>
      </c>
      <c r="E72" s="18"/>
    </row>
    <row r="73" spans="1:5" ht="16.5" thickTop="1" thickBot="1" x14ac:dyDescent="0.3">
      <c r="A73" s="28">
        <v>3.6384250733882713</v>
      </c>
      <c r="B73" s="27">
        <v>0</v>
      </c>
      <c r="C73" s="27">
        <v>14.3</v>
      </c>
      <c r="E73" s="18"/>
    </row>
    <row r="74" spans="1:5" ht="16.5" thickTop="1" thickBot="1" x14ac:dyDescent="0.3">
      <c r="A74" s="28">
        <v>3.8798888193738961</v>
      </c>
      <c r="B74" s="27">
        <v>0</v>
      </c>
      <c r="C74" s="27">
        <v>14.3</v>
      </c>
      <c r="E74" s="18"/>
    </row>
    <row r="75" spans="1:5" ht="16.5" thickTop="1" thickBot="1" x14ac:dyDescent="0.3">
      <c r="A75" s="28">
        <v>1.0994895715481587</v>
      </c>
      <c r="B75" s="27">
        <v>0</v>
      </c>
      <c r="C75" s="27">
        <v>14.3</v>
      </c>
      <c r="E75" s="18"/>
    </row>
    <row r="76" spans="1:5" ht="16.5" thickTop="1" thickBot="1" x14ac:dyDescent="0.3">
      <c r="A76" s="28">
        <v>6.1146357455962947</v>
      </c>
      <c r="B76" s="27">
        <v>0</v>
      </c>
      <c r="C76" s="27">
        <v>14.3</v>
      </c>
      <c r="E76" s="18"/>
    </row>
    <row r="77" spans="1:5" ht="16.5" thickTop="1" thickBot="1" x14ac:dyDescent="0.3">
      <c r="A77" s="28">
        <v>3.5555293306802347</v>
      </c>
      <c r="B77" s="27">
        <v>0</v>
      </c>
      <c r="C77" s="27">
        <v>14.3</v>
      </c>
      <c r="E77" s="18"/>
    </row>
    <row r="78" spans="1:5" ht="16.5" thickTop="1" thickBot="1" x14ac:dyDescent="0.3">
      <c r="A78" s="28">
        <v>0.6932333365477682</v>
      </c>
      <c r="B78" s="27">
        <v>0</v>
      </c>
      <c r="C78" s="27">
        <v>14.3</v>
      </c>
      <c r="E78" s="18"/>
    </row>
    <row r="79" spans="1:5" ht="16.5" thickTop="1" thickBot="1" x14ac:dyDescent="0.3">
      <c r="A79" s="28">
        <v>7.2096405116263069</v>
      </c>
      <c r="B79" s="27">
        <v>0</v>
      </c>
      <c r="C79" s="27">
        <v>14.3</v>
      </c>
      <c r="E79" s="18"/>
    </row>
    <row r="80" spans="1:5" ht="16.5" thickTop="1" thickBot="1" x14ac:dyDescent="0.3">
      <c r="A80" s="28">
        <v>2.4327647521662499</v>
      </c>
      <c r="B80" s="27">
        <v>0</v>
      </c>
      <c r="C80" s="27">
        <v>27.8</v>
      </c>
      <c r="E80" s="18"/>
    </row>
    <row r="81" spans="1:5" ht="16.5" thickTop="1" thickBot="1" x14ac:dyDescent="0.3">
      <c r="A81" s="28">
        <v>1.3051220201061526</v>
      </c>
      <c r="B81" s="27">
        <v>0</v>
      </c>
      <c r="C81" s="27">
        <v>27.8</v>
      </c>
      <c r="E81" s="18"/>
    </row>
    <row r="82" spans="1:5" ht="16.5" thickTop="1" thickBot="1" x14ac:dyDescent="0.3">
      <c r="A82" s="28">
        <v>3.0477529222376423</v>
      </c>
      <c r="B82" s="27">
        <v>0</v>
      </c>
      <c r="C82" s="27">
        <v>27.8</v>
      </c>
      <c r="E82" s="18"/>
    </row>
    <row r="83" spans="1:5" ht="16.5" thickTop="1" thickBot="1" x14ac:dyDescent="0.3">
      <c r="A83" s="28">
        <v>5.7318676197384022</v>
      </c>
      <c r="B83" s="27">
        <v>0</v>
      </c>
      <c r="C83" s="27">
        <v>27.8</v>
      </c>
      <c r="E83" s="18"/>
    </row>
    <row r="84" spans="1:5" ht="16.5" thickTop="1" thickBot="1" x14ac:dyDescent="0.3">
      <c r="A84" s="28">
        <v>4.9566651246118365E-2</v>
      </c>
      <c r="B84" s="27">
        <v>0</v>
      </c>
      <c r="C84" s="27">
        <v>27.8</v>
      </c>
      <c r="E84" s="18"/>
    </row>
    <row r="85" spans="1:5" ht="16.5" thickTop="1" thickBot="1" x14ac:dyDescent="0.3">
      <c r="A85" s="28">
        <v>4.5492273573391611</v>
      </c>
      <c r="B85" s="27">
        <v>0</v>
      </c>
      <c r="C85" s="27">
        <v>27.8</v>
      </c>
      <c r="E85" s="18"/>
    </row>
    <row r="86" spans="1:5" ht="16.5" thickTop="1" thickBot="1" x14ac:dyDescent="0.3">
      <c r="A86" s="28">
        <v>6.2960405373351582</v>
      </c>
      <c r="B86" s="27">
        <v>0</v>
      </c>
      <c r="C86" s="27">
        <v>27.8</v>
      </c>
      <c r="E86" s="18"/>
    </row>
    <row r="87" spans="1:5" ht="16.5" thickTop="1" thickBot="1" x14ac:dyDescent="0.3">
      <c r="A87" s="28">
        <v>9.1582949188271048</v>
      </c>
      <c r="B87" s="27">
        <v>0</v>
      </c>
      <c r="C87" s="27">
        <v>27.8</v>
      </c>
      <c r="E87" s="18"/>
    </row>
    <row r="88" spans="1:5" ht="16.5" thickTop="1" thickBot="1" x14ac:dyDescent="0.3">
      <c r="A88" s="28">
        <v>0.65149296244186017</v>
      </c>
      <c r="B88" s="27">
        <v>0</v>
      </c>
      <c r="C88" s="27">
        <v>27.8</v>
      </c>
      <c r="E88" s="18"/>
    </row>
    <row r="89" spans="1:5" ht="16.5" thickTop="1" thickBot="1" x14ac:dyDescent="0.3">
      <c r="A89" s="28">
        <v>7.6529964644915616</v>
      </c>
      <c r="B89" s="27">
        <v>0</v>
      </c>
      <c r="C89" s="27">
        <v>27.8</v>
      </c>
      <c r="E89" s="18"/>
    </row>
    <row r="90" spans="1:5" ht="16.5" thickTop="1" thickBot="1" x14ac:dyDescent="0.3">
      <c r="A90" s="28">
        <v>2.3940336276114311</v>
      </c>
      <c r="B90" s="27">
        <v>0</v>
      </c>
      <c r="C90" s="27">
        <v>27.8</v>
      </c>
      <c r="E90" s="18"/>
    </row>
    <row r="91" spans="1:5" ht="16.5" thickTop="1" thickBot="1" x14ac:dyDescent="0.3">
      <c r="A91" s="28">
        <v>9.1088026646667668</v>
      </c>
      <c r="B91" s="27">
        <v>0</v>
      </c>
      <c r="C91" s="27">
        <v>27.8</v>
      </c>
      <c r="E91" s="18"/>
    </row>
    <row r="92" spans="1:5" ht="16.5" thickTop="1" thickBot="1" x14ac:dyDescent="0.3">
      <c r="A92" s="28">
        <v>4.6232467146124785</v>
      </c>
      <c r="B92" s="27">
        <v>0</v>
      </c>
      <c r="C92" s="27">
        <v>27.8</v>
      </c>
      <c r="E92" s="18"/>
    </row>
    <row r="93" spans="1:5" ht="16.5" thickTop="1" thickBot="1" x14ac:dyDescent="0.3">
      <c r="A93" s="28">
        <v>4.1022329319484454</v>
      </c>
      <c r="B93" s="27">
        <v>0</v>
      </c>
      <c r="C93" s="27">
        <v>27.8</v>
      </c>
      <c r="E93" s="18"/>
    </row>
    <row r="94" spans="1:5" ht="16.5" thickTop="1" thickBot="1" x14ac:dyDescent="0.3">
      <c r="A94" s="28">
        <v>6.8789352435102842</v>
      </c>
      <c r="B94" s="27">
        <v>0</v>
      </c>
      <c r="C94" s="27">
        <v>27.8</v>
      </c>
      <c r="E94" s="18"/>
    </row>
    <row r="95" spans="1:5" ht="16.5" thickTop="1" thickBot="1" x14ac:dyDescent="0.3">
      <c r="A95" s="28">
        <v>11.242802742012756</v>
      </c>
      <c r="B95" s="27">
        <v>0</v>
      </c>
      <c r="C95" s="27">
        <v>11.7</v>
      </c>
      <c r="E95" s="18"/>
    </row>
    <row r="96" spans="1:5" ht="16.5" thickTop="1" thickBot="1" x14ac:dyDescent="0.3">
      <c r="A96" s="28">
        <v>6.7089355312799093</v>
      </c>
      <c r="B96" s="27">
        <v>0</v>
      </c>
      <c r="C96" s="27">
        <v>11.7</v>
      </c>
      <c r="E96" s="18"/>
    </row>
    <row r="97" spans="1:5" ht="16.5" thickTop="1" thickBot="1" x14ac:dyDescent="0.3">
      <c r="A97" s="28">
        <v>5.6517631414868514</v>
      </c>
      <c r="B97" s="27">
        <v>0</v>
      </c>
      <c r="C97" s="27">
        <v>11.7</v>
      </c>
      <c r="E97" s="18"/>
    </row>
    <row r="98" spans="1:5" ht="16.5" thickTop="1" thickBot="1" x14ac:dyDescent="0.3">
      <c r="A98" s="28">
        <v>0.67396717446926702</v>
      </c>
      <c r="B98" s="27">
        <v>0</v>
      </c>
      <c r="C98" s="27">
        <v>11.7</v>
      </c>
      <c r="E98" s="18"/>
    </row>
    <row r="99" spans="1:5" ht="16.5" thickTop="1" thickBot="1" x14ac:dyDescent="0.3">
      <c r="A99" s="28">
        <v>11.092557309532875</v>
      </c>
      <c r="B99" s="27">
        <v>0</v>
      </c>
      <c r="C99" s="27">
        <v>11.7</v>
      </c>
      <c r="E99" s="18"/>
    </row>
    <row r="100" spans="1:5" ht="16.5" thickTop="1" thickBot="1" x14ac:dyDescent="0.3">
      <c r="A100" s="28">
        <v>3.3898491438028677</v>
      </c>
      <c r="B100" s="27">
        <v>0</v>
      </c>
      <c r="C100" s="27">
        <v>11.7</v>
      </c>
      <c r="E100" s="18"/>
    </row>
    <row r="101" spans="1:5" ht="16.5" thickTop="1" thickBot="1" x14ac:dyDescent="0.3">
      <c r="A101" s="28">
        <v>0.91941641877040592</v>
      </c>
      <c r="B101" s="27">
        <v>0</v>
      </c>
      <c r="C101" s="27">
        <v>11.7</v>
      </c>
      <c r="E101" s="18"/>
    </row>
    <row r="102" spans="1:5" ht="16.5" thickTop="1" thickBot="1" x14ac:dyDescent="0.3">
      <c r="A102" s="28">
        <v>1.4566424994911846</v>
      </c>
      <c r="B102" s="27">
        <v>0</v>
      </c>
      <c r="C102" s="27">
        <v>11.7</v>
      </c>
      <c r="E102" s="18"/>
    </row>
    <row r="103" spans="1:5" ht="16.5" thickTop="1" thickBot="1" x14ac:dyDescent="0.3">
      <c r="A103" s="28">
        <v>2.4157808251794837</v>
      </c>
      <c r="B103" s="27">
        <v>0</v>
      </c>
      <c r="C103" s="27">
        <v>11.7</v>
      </c>
      <c r="E103" s="18"/>
    </row>
    <row r="104" spans="1:5" ht="16.5" thickTop="1" thickBot="1" x14ac:dyDescent="0.3">
      <c r="A104" s="28">
        <v>5.2162199327776797</v>
      </c>
      <c r="B104" s="27">
        <v>0</v>
      </c>
      <c r="C104" s="27">
        <v>11.7</v>
      </c>
      <c r="E104" s="18"/>
    </row>
    <row r="105" spans="1:5" ht="16.5" thickTop="1" thickBot="1" x14ac:dyDescent="0.3">
      <c r="A105" s="28">
        <v>5.65852895524276</v>
      </c>
      <c r="B105" s="27">
        <v>0</v>
      </c>
      <c r="C105" s="27">
        <v>11.7</v>
      </c>
      <c r="E105" s="18"/>
    </row>
    <row r="106" spans="1:5" ht="16.5" thickTop="1" thickBot="1" x14ac:dyDescent="0.3">
      <c r="A106" s="28">
        <v>0.51703361959625971</v>
      </c>
      <c r="B106" s="27">
        <v>0</v>
      </c>
      <c r="C106" s="27">
        <v>11.7</v>
      </c>
      <c r="E106" s="18"/>
    </row>
    <row r="107" spans="1:5" ht="16.5" thickTop="1" thickBot="1" x14ac:dyDescent="0.3">
      <c r="A107" s="28">
        <v>7.6585385489410136</v>
      </c>
      <c r="B107" s="27">
        <v>0</v>
      </c>
      <c r="C107" s="27">
        <v>11.7</v>
      </c>
      <c r="E107" s="18"/>
    </row>
    <row r="108" spans="1:5" ht="16.5" thickTop="1" thickBot="1" x14ac:dyDescent="0.3">
      <c r="A108" s="28">
        <v>5.6782196965791698</v>
      </c>
      <c r="B108" s="27">
        <v>0</v>
      </c>
      <c r="C108" s="27">
        <v>11.7</v>
      </c>
      <c r="E108" s="18"/>
    </row>
    <row r="109" spans="1:5" ht="16.5" thickTop="1" thickBot="1" x14ac:dyDescent="0.3">
      <c r="A109" s="28">
        <v>9.8672140864204696</v>
      </c>
      <c r="B109" s="27">
        <v>0</v>
      </c>
      <c r="C109" s="27">
        <v>11.7</v>
      </c>
      <c r="E109" s="18"/>
    </row>
    <row r="110" spans="1:5" ht="16.5" thickTop="1" thickBot="1" x14ac:dyDescent="0.3">
      <c r="A110" s="28">
        <v>6.0472072635308987</v>
      </c>
      <c r="B110" s="27">
        <v>0</v>
      </c>
      <c r="C110" s="27">
        <v>11.7</v>
      </c>
      <c r="E110" s="18"/>
    </row>
    <row r="111" spans="1:5" ht="16.5" thickTop="1" thickBot="1" x14ac:dyDescent="0.3">
      <c r="A111" s="28">
        <v>9.1311760445709425</v>
      </c>
      <c r="B111" s="27">
        <v>0</v>
      </c>
      <c r="C111" s="27">
        <v>11.9</v>
      </c>
      <c r="E111" s="18"/>
    </row>
    <row r="112" spans="1:5" ht="16.5" thickTop="1" thickBot="1" x14ac:dyDescent="0.3">
      <c r="A112" s="28">
        <v>4.6391747940423365</v>
      </c>
      <c r="B112" s="27">
        <v>0</v>
      </c>
      <c r="C112" s="27">
        <v>11.9</v>
      </c>
      <c r="E112" s="18"/>
    </row>
    <row r="113" spans="1:5" ht="16.5" thickTop="1" thickBot="1" x14ac:dyDescent="0.3">
      <c r="A113" s="28">
        <v>6.3411060233644116</v>
      </c>
      <c r="B113" s="27">
        <v>0</v>
      </c>
      <c r="C113" s="27">
        <v>11.9</v>
      </c>
      <c r="E113" s="18"/>
    </row>
    <row r="114" spans="1:5" ht="16.5" thickTop="1" thickBot="1" x14ac:dyDescent="0.3">
      <c r="A114" s="28">
        <v>8.7642458974777293E-2</v>
      </c>
      <c r="B114" s="27">
        <v>0</v>
      </c>
      <c r="C114" s="27">
        <v>11.9</v>
      </c>
      <c r="E114" s="18"/>
    </row>
    <row r="115" spans="1:5" ht="16.5" thickTop="1" thickBot="1" x14ac:dyDescent="0.3">
      <c r="A115" s="28">
        <v>4.6450548042312532</v>
      </c>
      <c r="B115" s="27">
        <v>0</v>
      </c>
      <c r="C115" s="27">
        <v>11.9</v>
      </c>
      <c r="E115" s="18"/>
    </row>
    <row r="116" spans="1:5" ht="16.5" thickTop="1" thickBot="1" x14ac:dyDescent="0.3">
      <c r="A116" s="28">
        <v>3.6310968373991148</v>
      </c>
      <c r="B116" s="27">
        <v>0</v>
      </c>
      <c r="C116" s="27">
        <v>11.9</v>
      </c>
      <c r="E116" s="18"/>
    </row>
    <row r="117" spans="1:5" ht="16.5" thickTop="1" thickBot="1" x14ac:dyDescent="0.3">
      <c r="A117" s="28">
        <v>10.767657020437726</v>
      </c>
      <c r="B117" s="27">
        <v>0</v>
      </c>
      <c r="C117" s="27">
        <v>11.9</v>
      </c>
      <c r="E117" s="18"/>
    </row>
    <row r="118" spans="1:5" ht="16.5" thickTop="1" thickBot="1" x14ac:dyDescent="0.3">
      <c r="A118" s="28">
        <v>0.90653447419379996</v>
      </c>
      <c r="B118" s="27">
        <v>0</v>
      </c>
      <c r="C118" s="27">
        <v>11.9</v>
      </c>
      <c r="E118" s="18"/>
    </row>
    <row r="119" spans="1:5" ht="16.5" thickTop="1" thickBot="1" x14ac:dyDescent="0.3">
      <c r="A119" s="28">
        <v>6.1298469914551408</v>
      </c>
      <c r="B119" s="27">
        <v>0</v>
      </c>
      <c r="C119" s="27">
        <v>11.9</v>
      </c>
      <c r="E119" s="18"/>
    </row>
    <row r="120" spans="1:5" ht="16.5" thickTop="1" thickBot="1" x14ac:dyDescent="0.3">
      <c r="A120" s="28">
        <v>1.7639456578366142</v>
      </c>
      <c r="B120" s="27">
        <v>0</v>
      </c>
      <c r="C120" s="27">
        <v>11.9</v>
      </c>
      <c r="E120" s="18"/>
    </row>
    <row r="121" spans="1:5" ht="16.5" thickTop="1" thickBot="1" x14ac:dyDescent="0.3">
      <c r="A121" s="28">
        <v>7.791024277975322</v>
      </c>
      <c r="B121" s="27">
        <v>0</v>
      </c>
      <c r="C121" s="27">
        <v>11.9</v>
      </c>
      <c r="E121" s="18"/>
    </row>
    <row r="122" spans="1:5" ht="16.5" thickTop="1" thickBot="1" x14ac:dyDescent="0.3">
      <c r="A122" s="28">
        <v>6.8197794077128018</v>
      </c>
      <c r="B122" s="27">
        <v>0</v>
      </c>
      <c r="C122" s="27">
        <v>11.9</v>
      </c>
      <c r="E122" s="18"/>
    </row>
    <row r="123" spans="1:5" ht="16.5" thickTop="1" thickBot="1" x14ac:dyDescent="0.3">
      <c r="A123" s="28">
        <v>2.7180406989009311</v>
      </c>
      <c r="B123" s="27">
        <v>0</v>
      </c>
      <c r="C123" s="27">
        <v>11.9</v>
      </c>
      <c r="E123" s="18"/>
    </row>
    <row r="124" spans="1:5" ht="16.5" thickTop="1" thickBot="1" x14ac:dyDescent="0.3">
      <c r="A124" s="28">
        <v>4.8943756124047137</v>
      </c>
      <c r="B124" s="27">
        <v>0</v>
      </c>
      <c r="C124" s="27">
        <v>11.9</v>
      </c>
      <c r="E124" s="18"/>
    </row>
    <row r="125" spans="1:5" ht="16.5" thickTop="1" thickBot="1" x14ac:dyDescent="0.3">
      <c r="A125" s="28">
        <v>2.7247383831729191</v>
      </c>
      <c r="B125" s="27">
        <v>0</v>
      </c>
      <c r="C125" s="27">
        <v>11.9</v>
      </c>
      <c r="E125" s="18"/>
    </row>
    <row r="126" spans="1:5" ht="16.5" thickTop="1" thickBot="1" x14ac:dyDescent="0.3">
      <c r="A126" s="28">
        <v>2.6360847848484577</v>
      </c>
      <c r="B126" s="27">
        <v>0</v>
      </c>
      <c r="C126" s="27">
        <v>11.9</v>
      </c>
      <c r="E126" s="18"/>
    </row>
    <row r="127" spans="1:5" ht="16.5" thickTop="1" thickBot="1" x14ac:dyDescent="0.3">
      <c r="A127" s="28">
        <v>7.2090795236125267</v>
      </c>
      <c r="B127" s="27">
        <v>0</v>
      </c>
      <c r="C127" s="27">
        <v>20.8</v>
      </c>
      <c r="E127" s="18"/>
    </row>
    <row r="128" spans="1:5" ht="16.5" thickTop="1" thickBot="1" x14ac:dyDescent="0.3">
      <c r="A128" s="28">
        <v>2.3171885156475365</v>
      </c>
      <c r="B128" s="27">
        <v>0</v>
      </c>
      <c r="C128" s="27">
        <v>20.8</v>
      </c>
      <c r="E128" s="18"/>
    </row>
    <row r="129" spans="1:5" ht="16.5" thickTop="1" thickBot="1" x14ac:dyDescent="0.3">
      <c r="A129" s="28">
        <v>1.8884860499804996</v>
      </c>
      <c r="B129" s="27">
        <v>0</v>
      </c>
      <c r="C129" s="27">
        <v>20.8</v>
      </c>
      <c r="E129" s="18"/>
    </row>
    <row r="130" spans="1:5" ht="16.5" thickTop="1" thickBot="1" x14ac:dyDescent="0.3">
      <c r="A130" s="28">
        <v>0.15974764621108328</v>
      </c>
      <c r="B130" s="27">
        <v>0</v>
      </c>
      <c r="C130" s="27">
        <v>20.8</v>
      </c>
      <c r="E130" s="18"/>
    </row>
    <row r="131" spans="1:5" ht="16.5" thickTop="1" thickBot="1" x14ac:dyDescent="0.3">
      <c r="A131" s="28">
        <v>9.75762974694889</v>
      </c>
      <c r="B131" s="27">
        <v>0</v>
      </c>
      <c r="C131" s="27">
        <v>20.8</v>
      </c>
      <c r="E131" s="18"/>
    </row>
    <row r="132" spans="1:5" ht="16.5" thickTop="1" thickBot="1" x14ac:dyDescent="0.3">
      <c r="A132" s="28">
        <v>5.1019894986851391</v>
      </c>
      <c r="B132" s="27">
        <v>0</v>
      </c>
      <c r="C132" s="27">
        <v>20.8</v>
      </c>
      <c r="E132" s="18"/>
    </row>
    <row r="133" spans="1:5" ht="16.5" thickTop="1" thickBot="1" x14ac:dyDescent="0.3">
      <c r="A133" s="28">
        <v>0.24399873219594603</v>
      </c>
      <c r="B133" s="27">
        <v>0</v>
      </c>
      <c r="C133" s="27">
        <v>20.8</v>
      </c>
      <c r="E133" s="18"/>
    </row>
    <row r="134" spans="1:5" ht="16.5" thickTop="1" thickBot="1" x14ac:dyDescent="0.3">
      <c r="A134" s="28">
        <v>5.0422772893334367</v>
      </c>
      <c r="B134" s="27">
        <v>0</v>
      </c>
      <c r="C134" s="27">
        <v>20.8</v>
      </c>
      <c r="E134" s="18"/>
    </row>
    <row r="135" spans="1:5" ht="16.5" thickTop="1" thickBot="1" x14ac:dyDescent="0.3">
      <c r="A135" s="28">
        <v>8.4004951670832675</v>
      </c>
      <c r="B135" s="27">
        <v>0</v>
      </c>
      <c r="C135" s="27">
        <v>20.8</v>
      </c>
      <c r="E135" s="18"/>
    </row>
    <row r="136" spans="1:5" ht="16.5" thickTop="1" thickBot="1" x14ac:dyDescent="0.3">
      <c r="A136" s="28">
        <v>1.8617606916570644</v>
      </c>
      <c r="B136" s="27">
        <v>0</v>
      </c>
      <c r="C136" s="27">
        <v>20.8</v>
      </c>
      <c r="E136" s="18"/>
    </row>
    <row r="137" spans="1:5" ht="16.5" thickTop="1" thickBot="1" x14ac:dyDescent="0.3">
      <c r="A137" s="28">
        <v>11.966838494502626</v>
      </c>
      <c r="B137" s="27">
        <v>0</v>
      </c>
      <c r="C137" s="27">
        <v>20.8</v>
      </c>
      <c r="E137" s="18"/>
    </row>
    <row r="138" spans="1:5" ht="16.5" thickTop="1" thickBot="1" x14ac:dyDescent="0.3">
      <c r="A138" s="28">
        <v>0.78183293548636945</v>
      </c>
      <c r="B138" s="27">
        <v>0</v>
      </c>
      <c r="C138" s="27">
        <v>20.8</v>
      </c>
      <c r="E138" s="18"/>
    </row>
    <row r="139" spans="1:5" ht="16.5" thickTop="1" thickBot="1" x14ac:dyDescent="0.3">
      <c r="A139" s="28">
        <v>9.2107589329095791</v>
      </c>
      <c r="B139" s="27">
        <v>0</v>
      </c>
      <c r="C139" s="27">
        <v>20.8</v>
      </c>
      <c r="E139" s="18"/>
    </row>
    <row r="140" spans="1:5" ht="16.5" thickTop="1" thickBot="1" x14ac:dyDescent="0.3">
      <c r="A140" s="28">
        <v>5.4354420017491982</v>
      </c>
      <c r="B140" s="27">
        <v>0</v>
      </c>
      <c r="C140" s="27">
        <v>20.8</v>
      </c>
      <c r="E140" s="18"/>
    </row>
    <row r="141" spans="1:5" ht="16.5" thickTop="1" thickBot="1" x14ac:dyDescent="0.3">
      <c r="A141" s="28">
        <v>8.1669013181642249</v>
      </c>
      <c r="B141" s="27">
        <v>0</v>
      </c>
      <c r="C141" s="27">
        <v>20.8</v>
      </c>
      <c r="E141" s="18"/>
    </row>
    <row r="142" spans="1:5" ht="16.5" thickTop="1" thickBot="1" x14ac:dyDescent="0.3">
      <c r="A142" s="28">
        <v>0.96475041197078004</v>
      </c>
      <c r="B142" s="27">
        <v>0</v>
      </c>
      <c r="C142" s="27">
        <v>20.8</v>
      </c>
      <c r="E142" s="18"/>
    </row>
    <row r="143" spans="1:5" ht="16.5" thickTop="1" thickBot="1" x14ac:dyDescent="0.3">
      <c r="A143" s="28">
        <v>3.4205183089088806</v>
      </c>
      <c r="B143" s="27">
        <v>0</v>
      </c>
      <c r="C143" s="27">
        <v>10.9</v>
      </c>
      <c r="E143" s="18"/>
    </row>
    <row r="144" spans="1:5" ht="16.5" thickTop="1" thickBot="1" x14ac:dyDescent="0.3">
      <c r="A144" s="28">
        <v>1.8836832388043634</v>
      </c>
      <c r="B144" s="27">
        <v>0</v>
      </c>
      <c r="C144" s="27">
        <v>10.9</v>
      </c>
      <c r="E144" s="18"/>
    </row>
    <row r="145" spans="1:5" ht="16.5" thickTop="1" thickBot="1" x14ac:dyDescent="0.3">
      <c r="A145" s="28">
        <v>7.4506131282063528</v>
      </c>
      <c r="B145" s="27">
        <v>0</v>
      </c>
      <c r="C145" s="27">
        <v>10.9</v>
      </c>
      <c r="E145" s="18"/>
    </row>
    <row r="146" spans="1:5" ht="16.5" thickTop="1" thickBot="1" x14ac:dyDescent="0.3">
      <c r="A146" s="28">
        <v>3.8640294552395367</v>
      </c>
      <c r="B146" s="27">
        <v>0</v>
      </c>
      <c r="C146" s="27">
        <v>10.9</v>
      </c>
      <c r="E146" s="18"/>
    </row>
    <row r="147" spans="1:5" ht="16.5" thickTop="1" thickBot="1" x14ac:dyDescent="0.3">
      <c r="A147" s="28">
        <v>3.3693686785921706</v>
      </c>
      <c r="B147" s="27">
        <v>0</v>
      </c>
      <c r="C147" s="27">
        <v>10.9</v>
      </c>
      <c r="E147" s="18"/>
    </row>
    <row r="148" spans="1:5" ht="16.5" thickTop="1" thickBot="1" x14ac:dyDescent="0.3">
      <c r="A148" s="28">
        <v>4.4412876552863532</v>
      </c>
      <c r="B148" s="27">
        <v>0</v>
      </c>
      <c r="C148" s="27">
        <v>10.9</v>
      </c>
      <c r="E148" s="18"/>
    </row>
    <row r="149" spans="1:5" ht="16.5" thickTop="1" thickBot="1" x14ac:dyDescent="0.3">
      <c r="A149" s="28">
        <v>3.062055144903125</v>
      </c>
      <c r="B149" s="27">
        <v>0</v>
      </c>
      <c r="C149" s="27">
        <v>10.9</v>
      </c>
      <c r="E149" s="18"/>
    </row>
    <row r="150" spans="1:5" ht="16.5" thickTop="1" thickBot="1" x14ac:dyDescent="0.3">
      <c r="A150" s="28">
        <v>5.6418114649766613</v>
      </c>
      <c r="B150" s="27">
        <v>0</v>
      </c>
      <c r="C150" s="27">
        <v>10.9</v>
      </c>
      <c r="E150" s="18"/>
    </row>
    <row r="151" spans="1:5" ht="16.5" thickTop="1" thickBot="1" x14ac:dyDescent="0.3">
      <c r="A151" s="28">
        <v>11.981490666118928</v>
      </c>
      <c r="B151" s="27">
        <v>0</v>
      </c>
      <c r="C151" s="27">
        <v>10.9</v>
      </c>
      <c r="E151" s="18"/>
    </row>
    <row r="152" spans="1:5" ht="16.5" thickTop="1" thickBot="1" x14ac:dyDescent="0.3">
      <c r="A152" s="28">
        <v>6.8050409377391334</v>
      </c>
      <c r="B152" s="27">
        <v>0</v>
      </c>
      <c r="C152" s="27">
        <v>10.9</v>
      </c>
      <c r="E152" s="18"/>
    </row>
    <row r="153" spans="1:5" ht="16.5" thickTop="1" thickBot="1" x14ac:dyDescent="0.3">
      <c r="A153" s="28">
        <v>5.9910047608079422</v>
      </c>
      <c r="B153" s="27">
        <v>0</v>
      </c>
      <c r="C153" s="27">
        <v>10.9</v>
      </c>
      <c r="E153" s="18"/>
    </row>
    <row r="154" spans="1:5" ht="16.5" thickTop="1" thickBot="1" x14ac:dyDescent="0.3">
      <c r="A154" s="28">
        <v>1.5438526716148666</v>
      </c>
      <c r="B154" s="27">
        <v>0</v>
      </c>
      <c r="C154" s="27">
        <v>10.9</v>
      </c>
      <c r="E154" s="18"/>
    </row>
    <row r="155" spans="1:5" ht="16.5" thickTop="1" thickBot="1" x14ac:dyDescent="0.3">
      <c r="A155" s="28">
        <v>11.150531846086116</v>
      </c>
      <c r="B155" s="27">
        <v>0</v>
      </c>
      <c r="C155" s="27">
        <v>10.9</v>
      </c>
      <c r="E155" s="18"/>
    </row>
    <row r="156" spans="1:5" ht="16.5" thickTop="1" thickBot="1" x14ac:dyDescent="0.3">
      <c r="A156" s="28">
        <v>3.4517033192475517</v>
      </c>
      <c r="B156" s="27">
        <v>0</v>
      </c>
      <c r="C156" s="27">
        <v>10.9</v>
      </c>
      <c r="E156" s="18"/>
    </row>
    <row r="157" spans="1:5" ht="16.5" thickTop="1" thickBot="1" x14ac:dyDescent="0.3">
      <c r="A157" s="28">
        <v>5.4482116516215244</v>
      </c>
      <c r="B157" s="27">
        <v>0</v>
      </c>
      <c r="C157" s="27">
        <v>10.9</v>
      </c>
      <c r="E157" s="18"/>
    </row>
    <row r="158" spans="1:5" ht="16.5" thickTop="1" thickBot="1" x14ac:dyDescent="0.3">
      <c r="A158" s="28">
        <v>4.8977232603911354</v>
      </c>
      <c r="B158" s="27">
        <v>0</v>
      </c>
      <c r="C158" s="27">
        <v>10.9</v>
      </c>
      <c r="E158" s="18"/>
    </row>
    <row r="159" spans="1:5" ht="16.5" thickTop="1" thickBot="1" x14ac:dyDescent="0.3">
      <c r="A159" s="28">
        <v>7.4920324747903164</v>
      </c>
      <c r="B159" s="27">
        <v>0</v>
      </c>
      <c r="C159" s="27">
        <v>10.9</v>
      </c>
      <c r="E159" s="18"/>
    </row>
    <row r="160" spans="1:5" ht="16.5" thickTop="1" thickBot="1" x14ac:dyDescent="0.3">
      <c r="A160" s="28">
        <v>5.9170585368331237</v>
      </c>
      <c r="B160" s="27">
        <v>0</v>
      </c>
      <c r="C160" s="27">
        <v>9.4</v>
      </c>
      <c r="E160" s="18"/>
    </row>
    <row r="161" spans="1:5" ht="16.5" thickTop="1" thickBot="1" x14ac:dyDescent="0.3">
      <c r="A161" s="28">
        <v>7.794182588250079</v>
      </c>
      <c r="B161" s="27">
        <v>0</v>
      </c>
      <c r="C161" s="27">
        <v>9.4</v>
      </c>
      <c r="E161" s="18"/>
    </row>
    <row r="162" spans="1:5" ht="16.5" thickTop="1" thickBot="1" x14ac:dyDescent="0.3">
      <c r="A162" s="28">
        <v>0.26837885572885656</v>
      </c>
      <c r="B162" s="27">
        <v>0</v>
      </c>
      <c r="C162" s="27">
        <v>9.4</v>
      </c>
      <c r="E162" s="18"/>
    </row>
    <row r="163" spans="1:5" ht="16.5" thickTop="1" thickBot="1" x14ac:dyDescent="0.3">
      <c r="A163" s="28">
        <v>5.0381661652782235</v>
      </c>
      <c r="B163" s="27">
        <v>0</v>
      </c>
      <c r="C163" s="27">
        <v>9.4</v>
      </c>
      <c r="E163" s="18"/>
    </row>
    <row r="164" spans="1:5" ht="16.5" thickTop="1" thickBot="1" x14ac:dyDescent="0.3">
      <c r="A164" s="28">
        <v>6.9239734823067662</v>
      </c>
      <c r="B164" s="27">
        <v>0</v>
      </c>
      <c r="C164" s="27">
        <v>9.4</v>
      </c>
      <c r="E164" s="18"/>
    </row>
    <row r="165" spans="1:5" ht="16.5" thickTop="1" thickBot="1" x14ac:dyDescent="0.3">
      <c r="A165" s="28">
        <v>11.031357581764238</v>
      </c>
      <c r="B165" s="27">
        <v>0</v>
      </c>
      <c r="C165" s="27">
        <v>9.4</v>
      </c>
      <c r="E165" s="18"/>
    </row>
    <row r="166" spans="1:5" ht="16.5" thickTop="1" thickBot="1" x14ac:dyDescent="0.3">
      <c r="A166" s="28">
        <v>6.2257229013916069</v>
      </c>
      <c r="B166" s="27">
        <v>0</v>
      </c>
      <c r="C166" s="27">
        <v>9.4</v>
      </c>
      <c r="E166" s="18"/>
    </row>
    <row r="167" spans="1:5" ht="16.5" thickTop="1" thickBot="1" x14ac:dyDescent="0.3">
      <c r="A167" s="28">
        <v>1.0809366726096212</v>
      </c>
      <c r="B167" s="27">
        <v>0</v>
      </c>
      <c r="C167" s="27">
        <v>9.4</v>
      </c>
      <c r="E167" s="18"/>
    </row>
    <row r="168" spans="1:5" ht="16.5" thickTop="1" thickBot="1" x14ac:dyDescent="0.3">
      <c r="A168" s="28">
        <v>0.97043037767037155</v>
      </c>
      <c r="B168" s="27">
        <v>0</v>
      </c>
      <c r="C168" s="27">
        <v>9.4</v>
      </c>
      <c r="E168" s="18"/>
    </row>
    <row r="169" spans="1:5" ht="16.5" thickTop="1" thickBot="1" x14ac:dyDescent="0.3">
      <c r="A169" s="28">
        <v>0.83422056755655927</v>
      </c>
      <c r="B169" s="27">
        <v>0</v>
      </c>
      <c r="C169" s="27">
        <v>9.4</v>
      </c>
      <c r="E169" s="18"/>
    </row>
    <row r="170" spans="1:5" ht="16.5" thickTop="1" thickBot="1" x14ac:dyDescent="0.3">
      <c r="A170" s="28">
        <v>0.20108346948567246</v>
      </c>
      <c r="B170" s="27">
        <v>0</v>
      </c>
      <c r="C170" s="27">
        <v>9.4</v>
      </c>
      <c r="E170" s="18"/>
    </row>
    <row r="171" spans="1:5" ht="16.5" thickTop="1" thickBot="1" x14ac:dyDescent="0.3">
      <c r="A171" s="28">
        <v>1.9142456455574415</v>
      </c>
      <c r="B171" s="27">
        <v>0</v>
      </c>
      <c r="C171" s="27">
        <v>9.4</v>
      </c>
      <c r="E171" s="18"/>
    </row>
    <row r="172" spans="1:5" ht="16.5" thickTop="1" thickBot="1" x14ac:dyDescent="0.3">
      <c r="A172" s="28">
        <v>4.6917644158773033</v>
      </c>
      <c r="B172" s="27">
        <v>0</v>
      </c>
      <c r="C172" s="27">
        <v>9.4</v>
      </c>
      <c r="E172" s="18"/>
    </row>
    <row r="173" spans="1:5" ht="16.5" thickTop="1" thickBot="1" x14ac:dyDescent="0.3">
      <c r="A173" s="28">
        <v>9.7493425054001879</v>
      </c>
      <c r="B173" s="27">
        <v>0</v>
      </c>
      <c r="C173" s="27">
        <v>9.4</v>
      </c>
      <c r="E173" s="18"/>
    </row>
    <row r="174" spans="1:5" ht="16.5" thickTop="1" thickBot="1" x14ac:dyDescent="0.3">
      <c r="A174" s="28">
        <v>0.56937224280425436</v>
      </c>
      <c r="B174" s="27">
        <v>0</v>
      </c>
      <c r="C174" s="27">
        <v>9.4</v>
      </c>
      <c r="E174" s="18"/>
    </row>
    <row r="175" spans="1:5" ht="16.5" thickTop="1" thickBot="1" x14ac:dyDescent="0.3">
      <c r="A175" s="28">
        <v>4.5518354621120451</v>
      </c>
      <c r="B175" s="27">
        <v>0</v>
      </c>
      <c r="C175" s="27">
        <v>9.4</v>
      </c>
      <c r="E175" s="18"/>
    </row>
    <row r="176" spans="1:5" ht="16.5" thickTop="1" thickBot="1" x14ac:dyDescent="0.3">
      <c r="A176" s="28">
        <v>3.4565180371105759</v>
      </c>
      <c r="B176" s="27">
        <v>0</v>
      </c>
      <c r="C176" s="27">
        <v>21</v>
      </c>
      <c r="E176" s="18"/>
    </row>
    <row r="177" spans="1:5" ht="16.5" thickTop="1" thickBot="1" x14ac:dyDescent="0.3">
      <c r="A177" s="28">
        <v>4.5190439986063744</v>
      </c>
      <c r="B177" s="27">
        <v>0</v>
      </c>
      <c r="C177" s="27">
        <v>21</v>
      </c>
      <c r="E177" s="18"/>
    </row>
    <row r="178" spans="1:5" ht="16.5" thickTop="1" thickBot="1" x14ac:dyDescent="0.3">
      <c r="A178" s="28">
        <v>4.4682026194492916</v>
      </c>
      <c r="B178" s="27">
        <v>0</v>
      </c>
      <c r="C178" s="27">
        <v>21</v>
      </c>
      <c r="E178" s="18"/>
    </row>
    <row r="179" spans="1:5" ht="16.5" thickTop="1" thickBot="1" x14ac:dyDescent="0.3">
      <c r="A179" s="28">
        <v>1.1538072295788364</v>
      </c>
      <c r="B179" s="27">
        <v>0</v>
      </c>
      <c r="C179" s="27">
        <v>21</v>
      </c>
      <c r="E179" s="18"/>
    </row>
    <row r="180" spans="1:5" ht="16.5" thickTop="1" thickBot="1" x14ac:dyDescent="0.3">
      <c r="A180" s="28">
        <v>0.59964728894701458</v>
      </c>
      <c r="B180" s="27">
        <v>0</v>
      </c>
      <c r="C180" s="27">
        <v>21</v>
      </c>
      <c r="E180" s="18"/>
    </row>
    <row r="181" spans="1:5" ht="16.5" thickTop="1" thickBot="1" x14ac:dyDescent="0.3">
      <c r="A181" s="28">
        <v>0.26613383604413121</v>
      </c>
      <c r="B181" s="27">
        <v>0</v>
      </c>
      <c r="C181" s="27">
        <v>21</v>
      </c>
      <c r="E181" s="18"/>
    </row>
    <row r="182" spans="1:5" ht="16.5" thickTop="1" thickBot="1" x14ac:dyDescent="0.3">
      <c r="A182" s="28">
        <v>2.945028953003995</v>
      </c>
      <c r="B182" s="27">
        <v>0</v>
      </c>
      <c r="C182" s="27">
        <v>21</v>
      </c>
      <c r="E182" s="18"/>
    </row>
    <row r="183" spans="1:5" ht="16.5" thickTop="1" thickBot="1" x14ac:dyDescent="0.3">
      <c r="A183" s="28">
        <v>0.81084033148717927</v>
      </c>
      <c r="B183" s="27">
        <v>0</v>
      </c>
      <c r="C183" s="27">
        <v>21</v>
      </c>
      <c r="E183" s="18"/>
    </row>
    <row r="184" spans="1:5" ht="16.5" thickTop="1" thickBot="1" x14ac:dyDescent="0.3">
      <c r="A184" s="28">
        <v>5.7432289769334259</v>
      </c>
      <c r="B184" s="27">
        <v>0</v>
      </c>
      <c r="C184" s="27">
        <v>21</v>
      </c>
      <c r="E184" s="18"/>
    </row>
    <row r="185" spans="1:5" ht="16.5" thickTop="1" thickBot="1" x14ac:dyDescent="0.3">
      <c r="A185" s="28">
        <v>1.4425368053915921</v>
      </c>
      <c r="B185" s="27">
        <v>0</v>
      </c>
      <c r="C185" s="27">
        <v>21</v>
      </c>
      <c r="E185" s="18"/>
    </row>
    <row r="186" spans="1:5" ht="16.5" thickTop="1" thickBot="1" x14ac:dyDescent="0.3">
      <c r="A186" s="28">
        <v>5.7517618645181603</v>
      </c>
      <c r="B186" s="27">
        <v>0</v>
      </c>
      <c r="C186" s="27">
        <v>21</v>
      </c>
      <c r="E186" s="18"/>
    </row>
    <row r="187" spans="1:5" ht="16.5" thickTop="1" thickBot="1" x14ac:dyDescent="0.3">
      <c r="A187" s="28">
        <v>7.9027079543031959</v>
      </c>
      <c r="B187" s="27">
        <v>0</v>
      </c>
      <c r="C187" s="27">
        <v>21</v>
      </c>
      <c r="E187" s="18"/>
    </row>
    <row r="188" spans="1:5" ht="16.5" thickTop="1" thickBot="1" x14ac:dyDescent="0.3">
      <c r="A188" s="28">
        <v>5.356493994782376</v>
      </c>
      <c r="B188" s="27">
        <v>0</v>
      </c>
      <c r="C188" s="27">
        <v>21</v>
      </c>
      <c r="E188" s="18"/>
    </row>
    <row r="189" spans="1:5" ht="16.5" thickTop="1" thickBot="1" x14ac:dyDescent="0.3">
      <c r="A189" s="28">
        <v>6.1901799536412696</v>
      </c>
      <c r="B189" s="27">
        <v>0</v>
      </c>
      <c r="C189" s="27">
        <v>21</v>
      </c>
      <c r="E189" s="18"/>
    </row>
    <row r="190" spans="1:5" ht="16.5" thickTop="1" thickBot="1" x14ac:dyDescent="0.3">
      <c r="A190" s="28">
        <v>4.5784189701393307</v>
      </c>
      <c r="B190" s="27">
        <v>0</v>
      </c>
      <c r="C190" s="27">
        <v>21</v>
      </c>
      <c r="E190" s="18"/>
    </row>
    <row r="191" spans="1:5" ht="16.5" thickTop="1" thickBot="1" x14ac:dyDescent="0.3">
      <c r="A191" s="28">
        <v>11.178728804754416</v>
      </c>
      <c r="B191" s="27">
        <v>0</v>
      </c>
      <c r="C191" s="27">
        <v>21</v>
      </c>
      <c r="E191" s="18"/>
    </row>
    <row r="192" spans="1:5" ht="16.5" thickTop="1" thickBot="1" x14ac:dyDescent="0.3">
      <c r="A192" s="28">
        <v>1.9264364974942974</v>
      </c>
      <c r="B192" s="27">
        <v>0</v>
      </c>
      <c r="C192" s="27">
        <v>21</v>
      </c>
      <c r="E192" s="18"/>
    </row>
    <row r="193" spans="1:5" ht="16.5" thickTop="1" thickBot="1" x14ac:dyDescent="0.3">
      <c r="A193" s="28">
        <v>6.3872979130768872</v>
      </c>
      <c r="B193" s="27">
        <v>0</v>
      </c>
      <c r="C193" s="27">
        <v>38.200000000000003</v>
      </c>
      <c r="E193" s="18"/>
    </row>
    <row r="194" spans="1:5" ht="16.5" thickTop="1" thickBot="1" x14ac:dyDescent="0.3">
      <c r="A194" s="28">
        <v>3.3572613360298664</v>
      </c>
      <c r="B194" s="27">
        <v>0</v>
      </c>
      <c r="C194" s="27">
        <v>38.200000000000003</v>
      </c>
      <c r="E194" s="18"/>
    </row>
    <row r="195" spans="1:5" ht="16.5" thickTop="1" thickBot="1" x14ac:dyDescent="0.3">
      <c r="A195" s="28">
        <v>5.0290205511782204</v>
      </c>
      <c r="B195" s="27">
        <v>0</v>
      </c>
      <c r="C195" s="27">
        <v>38.200000000000003</v>
      </c>
      <c r="E195" s="18"/>
    </row>
    <row r="196" spans="1:5" ht="16.5" thickTop="1" thickBot="1" x14ac:dyDescent="0.3">
      <c r="A196" s="28">
        <v>4.0993431388731008</v>
      </c>
      <c r="B196" s="27">
        <v>0</v>
      </c>
      <c r="C196" s="27">
        <v>38.200000000000003</v>
      </c>
      <c r="E196" s="18"/>
    </row>
    <row r="197" spans="1:5" ht="16.5" thickTop="1" thickBot="1" x14ac:dyDescent="0.3">
      <c r="A197" s="28">
        <v>6.5983374152438499</v>
      </c>
      <c r="B197" s="27">
        <v>0</v>
      </c>
      <c r="C197" s="27">
        <v>38.200000000000003</v>
      </c>
      <c r="E197" s="18"/>
    </row>
    <row r="198" spans="1:5" ht="16.5" thickTop="1" thickBot="1" x14ac:dyDescent="0.3">
      <c r="A198" s="28">
        <v>1.0097808629164189</v>
      </c>
      <c r="B198" s="27">
        <v>0</v>
      </c>
      <c r="C198" s="27">
        <v>38.200000000000003</v>
      </c>
      <c r="E198" s="18"/>
    </row>
    <row r="199" spans="1:5" ht="16.5" thickTop="1" thickBot="1" x14ac:dyDescent="0.3">
      <c r="A199" s="28">
        <v>11.554189896985896</v>
      </c>
      <c r="B199" s="27">
        <v>0</v>
      </c>
      <c r="C199" s="27">
        <v>38.200000000000003</v>
      </c>
      <c r="E199" s="18"/>
    </row>
    <row r="200" spans="1:5" ht="16.5" thickTop="1" thickBot="1" x14ac:dyDescent="0.3">
      <c r="A200" s="28">
        <v>5.467313798400264</v>
      </c>
      <c r="B200" s="27">
        <v>0</v>
      </c>
      <c r="C200" s="27">
        <v>38.200000000000003</v>
      </c>
      <c r="E200" s="18"/>
    </row>
    <row r="201" spans="1:5" ht="16.5" thickTop="1" thickBot="1" x14ac:dyDescent="0.3">
      <c r="A201" s="28">
        <v>0.70156794482310314</v>
      </c>
      <c r="B201" s="27">
        <v>0</v>
      </c>
      <c r="C201" s="27">
        <v>38.200000000000003</v>
      </c>
      <c r="E201" s="18"/>
    </row>
    <row r="202" spans="1:5" ht="16.5" thickTop="1" thickBot="1" x14ac:dyDescent="0.3">
      <c r="A202" s="28">
        <v>3.2222696400518327</v>
      </c>
      <c r="B202" s="27">
        <v>0</v>
      </c>
      <c r="C202" s="27">
        <v>38.200000000000003</v>
      </c>
      <c r="E202" s="18"/>
    </row>
    <row r="203" spans="1:5" ht="16.5" thickTop="1" thickBot="1" x14ac:dyDescent="0.3">
      <c r="A203" s="28">
        <v>5.2970011935331236</v>
      </c>
      <c r="B203" s="27">
        <v>0</v>
      </c>
      <c r="C203" s="27">
        <v>38.200000000000003</v>
      </c>
      <c r="E203" s="18"/>
    </row>
    <row r="204" spans="1:5" ht="16.5" thickTop="1" thickBot="1" x14ac:dyDescent="0.3">
      <c r="A204" s="28">
        <v>5.2748710056102919</v>
      </c>
      <c r="B204" s="27">
        <v>0</v>
      </c>
      <c r="C204" s="27">
        <v>38.200000000000003</v>
      </c>
      <c r="E204" s="18"/>
    </row>
    <row r="205" spans="1:5" ht="16.5" thickTop="1" thickBot="1" x14ac:dyDescent="0.3">
      <c r="A205" s="28">
        <v>7.8484553350399366</v>
      </c>
      <c r="B205" s="27">
        <v>0</v>
      </c>
      <c r="C205" s="27">
        <v>38.200000000000003</v>
      </c>
      <c r="E205" s="18"/>
    </row>
    <row r="206" spans="1:5" ht="16.5" thickTop="1" thickBot="1" x14ac:dyDescent="0.3">
      <c r="A206" s="28">
        <v>5.818925030304138</v>
      </c>
      <c r="B206" s="27">
        <v>0</v>
      </c>
      <c r="C206" s="27">
        <v>38.200000000000003</v>
      </c>
      <c r="E206" s="18"/>
    </row>
    <row r="207" spans="1:5" ht="16.5" thickTop="1" thickBot="1" x14ac:dyDescent="0.3">
      <c r="A207" s="28">
        <v>1.7906866823343663</v>
      </c>
      <c r="B207" s="27">
        <v>0</v>
      </c>
      <c r="C207" s="27">
        <v>38.200000000000003</v>
      </c>
      <c r="E207" s="18"/>
    </row>
    <row r="208" spans="1:5" ht="16.5" thickTop="1" thickBot="1" x14ac:dyDescent="0.3">
      <c r="A208" s="28">
        <v>5.1340286437429725</v>
      </c>
      <c r="B208" s="27">
        <v>0</v>
      </c>
      <c r="C208" s="27">
        <v>38.200000000000003</v>
      </c>
      <c r="E208" s="18"/>
    </row>
    <row r="209" spans="1:5" ht="16.5" thickTop="1" thickBot="1" x14ac:dyDescent="0.3">
      <c r="A209" s="28">
        <v>6.1451298066407709</v>
      </c>
      <c r="B209" s="27">
        <v>0</v>
      </c>
      <c r="C209" s="27">
        <v>38.200000000000003</v>
      </c>
      <c r="E209" s="18"/>
    </row>
    <row r="210" spans="1:5" ht="16.5" thickTop="1" thickBot="1" x14ac:dyDescent="0.3">
      <c r="A210" s="28">
        <v>0.98784417889946097</v>
      </c>
      <c r="B210" s="27">
        <v>0</v>
      </c>
      <c r="C210" s="27">
        <v>20.7</v>
      </c>
      <c r="E210" s="18"/>
    </row>
    <row r="211" spans="1:5" ht="16.5" thickTop="1" thickBot="1" x14ac:dyDescent="0.3">
      <c r="A211" s="28">
        <v>8.1771443767433709</v>
      </c>
      <c r="B211" s="27">
        <v>0</v>
      </c>
      <c r="C211" s="27">
        <v>20.7</v>
      </c>
      <c r="E211" s="18"/>
    </row>
    <row r="212" spans="1:5" ht="16.5" thickTop="1" thickBot="1" x14ac:dyDescent="0.3">
      <c r="A212" s="28">
        <v>4.0634703176395064</v>
      </c>
      <c r="B212" s="27">
        <v>0</v>
      </c>
      <c r="C212" s="27">
        <v>20.7</v>
      </c>
      <c r="E212" s="18"/>
    </row>
    <row r="213" spans="1:5" ht="16.5" thickTop="1" thickBot="1" x14ac:dyDescent="0.3">
      <c r="A213" s="28">
        <v>2.8381298312922763</v>
      </c>
      <c r="B213" s="27">
        <v>0</v>
      </c>
      <c r="C213" s="27">
        <v>20.7</v>
      </c>
      <c r="E213" s="18"/>
    </row>
    <row r="214" spans="1:5" ht="16.5" thickTop="1" thickBot="1" x14ac:dyDescent="0.3">
      <c r="A214" s="28">
        <v>6.2021201045751608</v>
      </c>
      <c r="B214" s="27">
        <v>0</v>
      </c>
      <c r="C214" s="27">
        <v>20.7</v>
      </c>
      <c r="E214" s="18"/>
    </row>
    <row r="215" spans="1:5" ht="16.5" thickTop="1" thickBot="1" x14ac:dyDescent="0.3">
      <c r="A215" s="28">
        <v>5.4750546460773535</v>
      </c>
      <c r="B215" s="27">
        <v>0</v>
      </c>
      <c r="C215" s="27">
        <v>20.7</v>
      </c>
      <c r="E215" s="18"/>
    </row>
    <row r="216" spans="1:5" ht="16.5" thickTop="1" thickBot="1" x14ac:dyDescent="0.3">
      <c r="A216" s="28">
        <v>5.7060304946693492</v>
      </c>
      <c r="B216" s="27">
        <v>0</v>
      </c>
      <c r="C216" s="27">
        <v>20.7</v>
      </c>
      <c r="E216" s="18"/>
    </row>
    <row r="217" spans="1:5" ht="16.5" thickTop="1" thickBot="1" x14ac:dyDescent="0.3">
      <c r="A217" s="28">
        <v>7.1890166573104892</v>
      </c>
      <c r="B217" s="27">
        <v>0</v>
      </c>
      <c r="C217" s="27">
        <v>20.7</v>
      </c>
      <c r="E217" s="18"/>
    </row>
    <row r="218" spans="1:5" ht="16.5" thickTop="1" thickBot="1" x14ac:dyDescent="0.3">
      <c r="A218" s="28">
        <v>6.1310253068075671</v>
      </c>
      <c r="B218" s="27">
        <v>0</v>
      </c>
      <c r="C218" s="27">
        <v>20.7</v>
      </c>
      <c r="E218" s="18"/>
    </row>
    <row r="219" spans="1:5" ht="16.5" thickTop="1" thickBot="1" x14ac:dyDescent="0.3">
      <c r="A219" s="28">
        <v>11.778269240851207</v>
      </c>
      <c r="B219" s="27">
        <v>0</v>
      </c>
      <c r="C219" s="27">
        <v>20.7</v>
      </c>
      <c r="E219" s="18"/>
    </row>
    <row r="220" spans="1:5" ht="16.5" thickTop="1" thickBot="1" x14ac:dyDescent="0.3">
      <c r="A220" s="28">
        <v>5.6982982874239871</v>
      </c>
      <c r="B220" s="27">
        <v>0</v>
      </c>
      <c r="C220" s="27">
        <v>20.7</v>
      </c>
      <c r="E220" s="18"/>
    </row>
    <row r="221" spans="1:5" ht="16.5" thickTop="1" thickBot="1" x14ac:dyDescent="0.3">
      <c r="A221" s="28">
        <v>5.7842497373663333</v>
      </c>
      <c r="B221" s="27">
        <v>0</v>
      </c>
      <c r="C221" s="27">
        <v>20.7</v>
      </c>
      <c r="E221" s="18"/>
    </row>
    <row r="222" spans="1:5" ht="16.5" thickTop="1" thickBot="1" x14ac:dyDescent="0.3">
      <c r="A222" s="28">
        <v>0.96039807429555768</v>
      </c>
      <c r="B222" s="27">
        <v>0</v>
      </c>
      <c r="C222" s="27">
        <v>20.7</v>
      </c>
      <c r="E222" s="18"/>
    </row>
    <row r="223" spans="1:5" ht="16.5" thickTop="1" thickBot="1" x14ac:dyDescent="0.3">
      <c r="A223" s="28">
        <v>8.3414840309385063</v>
      </c>
      <c r="B223" s="27">
        <v>0</v>
      </c>
      <c r="C223" s="27">
        <v>20.7</v>
      </c>
      <c r="E223" s="18"/>
    </row>
    <row r="224" spans="1:5" ht="16.5" thickTop="1" thickBot="1" x14ac:dyDescent="0.3">
      <c r="A224" s="28">
        <v>5.8749491979496584</v>
      </c>
      <c r="B224" s="27">
        <v>0</v>
      </c>
      <c r="C224" s="27">
        <v>20.7</v>
      </c>
      <c r="E224" s="18"/>
    </row>
    <row r="225" spans="1:5" ht="16.5" thickTop="1" thickBot="1" x14ac:dyDescent="0.3">
      <c r="A225" s="28">
        <v>7.204713555160442</v>
      </c>
      <c r="B225" s="27">
        <v>0</v>
      </c>
      <c r="C225" s="27">
        <v>20.7</v>
      </c>
      <c r="E225" s="18"/>
    </row>
    <row r="226" spans="1:5" ht="16.5" thickTop="1" thickBot="1" x14ac:dyDescent="0.3">
      <c r="A226" s="28">
        <v>4.9341725068408628</v>
      </c>
      <c r="B226" s="27">
        <v>0</v>
      </c>
      <c r="C226" s="27">
        <v>10.5</v>
      </c>
      <c r="E226" s="18"/>
    </row>
    <row r="227" spans="1:5" ht="16.5" thickTop="1" thickBot="1" x14ac:dyDescent="0.3">
      <c r="A227" s="28">
        <v>10.968560358233386</v>
      </c>
      <c r="B227" s="27">
        <v>0</v>
      </c>
      <c r="C227" s="27">
        <v>10.5</v>
      </c>
      <c r="E227" s="18"/>
    </row>
    <row r="228" spans="1:5" ht="16.5" thickTop="1" thickBot="1" x14ac:dyDescent="0.3">
      <c r="A228" s="28">
        <v>3.037071884463193</v>
      </c>
      <c r="B228" s="27">
        <v>0</v>
      </c>
      <c r="C228" s="27">
        <v>10.5</v>
      </c>
      <c r="E228" s="18"/>
    </row>
    <row r="229" spans="1:5" ht="16.5" thickTop="1" thickBot="1" x14ac:dyDescent="0.3">
      <c r="A229" s="28">
        <v>9.7560893802339272</v>
      </c>
      <c r="B229" s="27">
        <v>0</v>
      </c>
      <c r="C229" s="27">
        <v>10.5</v>
      </c>
      <c r="E229" s="18"/>
    </row>
    <row r="230" spans="1:5" ht="16.5" thickTop="1" thickBot="1" x14ac:dyDescent="0.3">
      <c r="A230" s="28">
        <v>3.9379274006273333</v>
      </c>
      <c r="B230" s="27">
        <v>0</v>
      </c>
      <c r="C230" s="27">
        <v>10.5</v>
      </c>
      <c r="E230" s="18"/>
    </row>
    <row r="231" spans="1:5" ht="16.5" thickTop="1" thickBot="1" x14ac:dyDescent="0.3">
      <c r="A231" s="28">
        <v>4.7017159750364561</v>
      </c>
      <c r="B231" s="27">
        <v>0</v>
      </c>
      <c r="C231" s="27">
        <v>10.5</v>
      </c>
      <c r="E231" s="18"/>
    </row>
    <row r="232" spans="1:5" ht="16.5" thickTop="1" thickBot="1" x14ac:dyDescent="0.3">
      <c r="A232" s="28">
        <v>6.6232588484603916</v>
      </c>
      <c r="B232" s="27">
        <v>0</v>
      </c>
      <c r="C232" s="27">
        <v>10.5</v>
      </c>
      <c r="E232" s="18"/>
    </row>
    <row r="233" spans="1:5" ht="16.5" thickTop="1" thickBot="1" x14ac:dyDescent="0.3">
      <c r="A233" s="28">
        <v>6.2309894824689103</v>
      </c>
      <c r="B233" s="27">
        <v>0</v>
      </c>
      <c r="C233" s="27">
        <v>10.5</v>
      </c>
      <c r="E233" s="18"/>
    </row>
    <row r="234" spans="1:5" ht="16.5" thickTop="1" thickBot="1" x14ac:dyDescent="0.3">
      <c r="A234" s="28">
        <v>2.2062197503419911</v>
      </c>
      <c r="B234" s="27">
        <v>0</v>
      </c>
      <c r="C234" s="27">
        <v>10.5</v>
      </c>
      <c r="E234" s="18"/>
    </row>
    <row r="235" spans="1:5" ht="16.5" thickTop="1" thickBot="1" x14ac:dyDescent="0.3">
      <c r="A235" s="28">
        <v>7.4478811907227014</v>
      </c>
      <c r="B235" s="27">
        <v>0</v>
      </c>
      <c r="C235" s="27">
        <v>10.5</v>
      </c>
      <c r="E235" s="18"/>
    </row>
    <row r="236" spans="1:5" ht="16.5" thickTop="1" thickBot="1" x14ac:dyDescent="0.3">
      <c r="A236" s="28">
        <v>2.3818926516856473</v>
      </c>
      <c r="B236" s="27">
        <v>0</v>
      </c>
      <c r="C236" s="27">
        <v>10.5</v>
      </c>
      <c r="E236" s="18"/>
    </row>
    <row r="237" spans="1:5" ht="16.5" thickTop="1" thickBot="1" x14ac:dyDescent="0.3">
      <c r="A237" s="28">
        <v>2.8992015684271366</v>
      </c>
      <c r="B237" s="27">
        <v>0</v>
      </c>
      <c r="C237" s="27">
        <v>10.5</v>
      </c>
      <c r="E237" s="18"/>
    </row>
    <row r="238" spans="1:5" ht="16.5" thickTop="1" thickBot="1" x14ac:dyDescent="0.3">
      <c r="A238" s="28">
        <v>2.6871328505890002</v>
      </c>
      <c r="B238" s="27">
        <v>0</v>
      </c>
      <c r="C238" s="27">
        <v>10.5</v>
      </c>
      <c r="E238" s="18"/>
    </row>
    <row r="239" spans="1:5" ht="16.5" thickTop="1" thickBot="1" x14ac:dyDescent="0.3">
      <c r="A239" s="28">
        <v>0.35258115277082114</v>
      </c>
      <c r="B239" s="27">
        <v>0</v>
      </c>
      <c r="C239" s="27">
        <v>10.5</v>
      </c>
      <c r="E239" s="18"/>
    </row>
    <row r="240" spans="1:5" ht="16.5" thickTop="1" thickBot="1" x14ac:dyDescent="0.3">
      <c r="A240" s="28">
        <v>5.9181046287486367</v>
      </c>
      <c r="B240" s="27">
        <v>0</v>
      </c>
      <c r="C240" s="27">
        <v>10.5</v>
      </c>
      <c r="E240" s="18"/>
    </row>
    <row r="241" spans="1:5" ht="16.5" thickTop="1" thickBot="1" x14ac:dyDescent="0.3">
      <c r="A241" s="28">
        <v>11.758165833428281</v>
      </c>
      <c r="B241" s="27">
        <v>0</v>
      </c>
      <c r="C241" s="27">
        <v>10.5</v>
      </c>
      <c r="E241" s="18"/>
    </row>
    <row r="242" spans="1:5" ht="16.5" thickTop="1" thickBot="1" x14ac:dyDescent="0.3">
      <c r="A242" s="28">
        <v>3.2537695833793228</v>
      </c>
      <c r="B242" s="27">
        <v>0</v>
      </c>
      <c r="C242" s="27">
        <v>10.5</v>
      </c>
      <c r="E242" s="18"/>
    </row>
    <row r="243" spans="1:5" ht="16.5" thickTop="1" thickBot="1" x14ac:dyDescent="0.3">
      <c r="A243" s="28">
        <v>7.4897988841378398</v>
      </c>
      <c r="B243" s="27">
        <v>0</v>
      </c>
      <c r="C243" s="27">
        <v>15.1</v>
      </c>
      <c r="E243" s="18"/>
    </row>
    <row r="244" spans="1:5" ht="16.5" thickTop="1" thickBot="1" x14ac:dyDescent="0.3">
      <c r="A244" s="28">
        <v>3.084406548016887</v>
      </c>
      <c r="B244" s="27">
        <v>0</v>
      </c>
      <c r="C244" s="27">
        <v>15.1</v>
      </c>
      <c r="E244" s="18"/>
    </row>
    <row r="245" spans="1:5" ht="16.5" thickTop="1" thickBot="1" x14ac:dyDescent="0.3">
      <c r="A245" s="28">
        <v>7.9622371583989437</v>
      </c>
      <c r="B245" s="27">
        <v>0</v>
      </c>
      <c r="C245" s="27">
        <v>15.1</v>
      </c>
      <c r="E245" s="18"/>
    </row>
    <row r="246" spans="1:5" ht="16.5" thickTop="1" thickBot="1" x14ac:dyDescent="0.3">
      <c r="A246" s="28">
        <v>5.6001240165881443</v>
      </c>
      <c r="B246" s="27">
        <v>0</v>
      </c>
      <c r="C246" s="27">
        <v>15.1</v>
      </c>
      <c r="E246" s="18"/>
    </row>
    <row r="247" spans="1:5" ht="16.5" thickTop="1" thickBot="1" x14ac:dyDescent="0.3">
      <c r="A247" s="28">
        <v>11.076977806720661</v>
      </c>
      <c r="B247" s="27">
        <v>0</v>
      </c>
      <c r="C247" s="27">
        <v>15.1</v>
      </c>
      <c r="E247" s="18"/>
    </row>
    <row r="248" spans="1:5" ht="16.5" thickTop="1" thickBot="1" x14ac:dyDescent="0.3">
      <c r="A248" s="28">
        <v>5.0876255093121276</v>
      </c>
      <c r="B248" s="27">
        <v>0</v>
      </c>
      <c r="C248" s="27">
        <v>15.1</v>
      </c>
      <c r="E248" s="18"/>
    </row>
    <row r="249" spans="1:5" ht="16.5" thickTop="1" thickBot="1" x14ac:dyDescent="0.3">
      <c r="A249" s="28">
        <v>9.9111197623210341</v>
      </c>
      <c r="B249" s="27">
        <v>0</v>
      </c>
      <c r="C249" s="27">
        <v>15.1</v>
      </c>
      <c r="E249" s="18"/>
    </row>
    <row r="250" spans="1:5" ht="16.5" thickTop="1" thickBot="1" x14ac:dyDescent="0.3">
      <c r="A250" s="28">
        <v>6.6670784304499362</v>
      </c>
      <c r="B250" s="27">
        <v>0</v>
      </c>
      <c r="C250" s="27">
        <v>15.1</v>
      </c>
      <c r="E250" s="18"/>
    </row>
    <row r="251" spans="1:5" ht="16.5" thickTop="1" thickBot="1" x14ac:dyDescent="0.3">
      <c r="A251" s="28">
        <v>4.6859594377442466</v>
      </c>
      <c r="B251" s="27">
        <v>0</v>
      </c>
      <c r="C251" s="27">
        <v>15.1</v>
      </c>
      <c r="E251" s="18"/>
    </row>
    <row r="252" spans="1:5" ht="16.5" thickTop="1" thickBot="1" x14ac:dyDescent="0.3">
      <c r="A252" s="28">
        <v>9.0192261856371192E-2</v>
      </c>
      <c r="B252" s="27">
        <v>0</v>
      </c>
      <c r="C252" s="27">
        <v>15.1</v>
      </c>
      <c r="E252" s="18"/>
    </row>
    <row r="253" spans="1:5" ht="16.5" thickTop="1" thickBot="1" x14ac:dyDescent="0.3">
      <c r="A253" s="28">
        <v>8.8606805933065083</v>
      </c>
      <c r="B253" s="27">
        <v>0</v>
      </c>
      <c r="C253" s="27">
        <v>15.1</v>
      </c>
      <c r="E253" s="18"/>
    </row>
    <row r="254" spans="1:5" ht="16.5" thickTop="1" thickBot="1" x14ac:dyDescent="0.3">
      <c r="A254" s="28">
        <v>5.9156987501677856</v>
      </c>
      <c r="B254" s="27">
        <v>0</v>
      </c>
      <c r="C254" s="27">
        <v>15.1</v>
      </c>
      <c r="E254" s="18"/>
    </row>
    <row r="255" spans="1:5" ht="16.5" thickTop="1" thickBot="1" x14ac:dyDescent="0.3">
      <c r="A255" s="28">
        <v>10.761622976138804</v>
      </c>
      <c r="B255" s="27">
        <v>0</v>
      </c>
      <c r="C255" s="27">
        <v>24.9</v>
      </c>
      <c r="E255" s="18"/>
    </row>
    <row r="256" spans="1:5" ht="16.5" thickTop="1" thickBot="1" x14ac:dyDescent="0.3">
      <c r="A256" s="28">
        <v>0.52115727285322433</v>
      </c>
      <c r="B256" s="27">
        <v>0</v>
      </c>
      <c r="C256" s="27">
        <v>24.9</v>
      </c>
      <c r="E256" s="18"/>
    </row>
    <row r="257" spans="1:5" ht="16.5" thickTop="1" thickBot="1" x14ac:dyDescent="0.3">
      <c r="A257" s="28">
        <v>9.4308741600085586</v>
      </c>
      <c r="B257" s="27">
        <v>0</v>
      </c>
      <c r="C257" s="27">
        <v>24.9</v>
      </c>
      <c r="E257" s="18"/>
    </row>
    <row r="258" spans="1:5" ht="16.5" thickTop="1" thickBot="1" x14ac:dyDescent="0.3">
      <c r="A258" s="28">
        <v>4.1228977527247048</v>
      </c>
      <c r="B258" s="27">
        <v>0</v>
      </c>
      <c r="C258" s="27">
        <v>24.9</v>
      </c>
      <c r="E258" s="18"/>
    </row>
    <row r="259" spans="1:5" ht="16.5" thickTop="1" thickBot="1" x14ac:dyDescent="0.3">
      <c r="A259" s="28">
        <v>10.935496776670391</v>
      </c>
      <c r="B259" s="27">
        <v>0</v>
      </c>
      <c r="C259" s="27">
        <v>24.9</v>
      </c>
      <c r="E259" s="18"/>
    </row>
    <row r="260" spans="1:5" ht="16.5" thickTop="1" thickBot="1" x14ac:dyDescent="0.3">
      <c r="A260" s="28">
        <v>2.280138174434875</v>
      </c>
      <c r="B260" s="27">
        <v>0</v>
      </c>
      <c r="C260" s="27">
        <v>24.9</v>
      </c>
      <c r="E260" s="18"/>
    </row>
    <row r="261" spans="1:5" ht="16.5" thickTop="1" thickBot="1" x14ac:dyDescent="0.3">
      <c r="A261" s="28">
        <v>9.7840238575078491</v>
      </c>
      <c r="B261" s="27">
        <v>0</v>
      </c>
      <c r="C261" s="27">
        <v>24.9</v>
      </c>
      <c r="E261" s="18"/>
    </row>
    <row r="262" spans="1:5" ht="16.5" thickTop="1" thickBot="1" x14ac:dyDescent="0.3">
      <c r="A262" s="28">
        <v>5.3772721062171911</v>
      </c>
      <c r="B262" s="27">
        <v>0</v>
      </c>
      <c r="C262" s="27">
        <v>24.9</v>
      </c>
      <c r="E262" s="18"/>
    </row>
    <row r="263" spans="1:5" ht="16.5" thickTop="1" thickBot="1" x14ac:dyDescent="0.3">
      <c r="A263" s="28">
        <v>7.7638871585693039</v>
      </c>
      <c r="B263" s="27">
        <v>0</v>
      </c>
      <c r="C263" s="27">
        <v>11.7</v>
      </c>
      <c r="E263" s="18"/>
    </row>
    <row r="264" spans="1:5" ht="16.5" thickTop="1" thickBot="1" x14ac:dyDescent="0.3">
      <c r="A264" s="28">
        <v>5.6343160960287424</v>
      </c>
      <c r="B264" s="27">
        <v>0</v>
      </c>
      <c r="C264" s="27">
        <v>11.7</v>
      </c>
      <c r="E264" s="18"/>
    </row>
    <row r="265" spans="1:5" ht="16.5" thickTop="1" thickBot="1" x14ac:dyDescent="0.3">
      <c r="A265" s="28">
        <v>8.0542879566437762</v>
      </c>
      <c r="B265" s="27">
        <v>0</v>
      </c>
      <c r="C265" s="27">
        <v>11.7</v>
      </c>
      <c r="E265" s="18"/>
    </row>
    <row r="266" spans="1:5" ht="16.5" thickTop="1" thickBot="1" x14ac:dyDescent="0.3">
      <c r="A266" s="28">
        <v>0.58706075280607239</v>
      </c>
      <c r="B266" s="27">
        <v>0</v>
      </c>
      <c r="C266" s="27">
        <v>11.7</v>
      </c>
      <c r="E266" s="18"/>
    </row>
    <row r="267" spans="1:5" ht="16.5" thickTop="1" thickBot="1" x14ac:dyDescent="0.3">
      <c r="A267" s="28">
        <v>9.7254087696388574</v>
      </c>
      <c r="B267" s="27">
        <v>0</v>
      </c>
      <c r="C267" s="27">
        <v>11.7</v>
      </c>
      <c r="E267" s="18"/>
    </row>
    <row r="268" spans="1:5" ht="16.5" thickTop="1" thickBot="1" x14ac:dyDescent="0.3">
      <c r="A268" s="28">
        <v>2.8296922469051902</v>
      </c>
      <c r="B268" s="27">
        <v>0</v>
      </c>
      <c r="C268" s="27">
        <v>11.7</v>
      </c>
      <c r="E268" s="18"/>
    </row>
    <row r="269" spans="1:5" ht="16.5" thickTop="1" thickBot="1" x14ac:dyDescent="0.3">
      <c r="A269" s="28">
        <v>9.9811213834527948</v>
      </c>
      <c r="B269" s="27">
        <v>0</v>
      </c>
      <c r="C269" s="27">
        <v>11.7</v>
      </c>
      <c r="E269" s="18"/>
    </row>
    <row r="270" spans="1:5" ht="16.5" thickTop="1" thickBot="1" x14ac:dyDescent="0.3">
      <c r="A270" s="28">
        <v>4.8633306087298589</v>
      </c>
      <c r="B270" s="27">
        <v>0</v>
      </c>
      <c r="C270" s="27">
        <v>11.7</v>
      </c>
      <c r="E270" s="18"/>
    </row>
    <row r="271" spans="1:5" ht="16.5" thickTop="1" thickBot="1" x14ac:dyDescent="0.3">
      <c r="A271" s="28">
        <v>1.7050140068666666</v>
      </c>
      <c r="B271" s="27">
        <v>0</v>
      </c>
      <c r="C271" s="27">
        <v>11.7</v>
      </c>
      <c r="E271" s="18"/>
    </row>
    <row r="272" spans="1:5" ht="16.5" thickTop="1" thickBot="1" x14ac:dyDescent="0.3">
      <c r="A272" s="28">
        <v>1.5214921492303888</v>
      </c>
      <c r="B272" s="27">
        <v>0</v>
      </c>
      <c r="C272" s="27">
        <v>11.7</v>
      </c>
      <c r="E272" s="18"/>
    </row>
    <row r="273" spans="1:5" ht="16.5" thickTop="1" thickBot="1" x14ac:dyDescent="0.3">
      <c r="A273" s="28">
        <v>0.36521718272663861</v>
      </c>
      <c r="B273" s="27">
        <v>0</v>
      </c>
      <c r="C273" s="27">
        <v>11.7</v>
      </c>
      <c r="E273" s="18"/>
    </row>
    <row r="274" spans="1:5" ht="16.5" thickTop="1" thickBot="1" x14ac:dyDescent="0.3">
      <c r="A274" s="28">
        <v>6.9004878699959393</v>
      </c>
      <c r="B274" s="27">
        <v>0</v>
      </c>
      <c r="C274" s="27">
        <v>11.7</v>
      </c>
      <c r="E274" s="18"/>
    </row>
    <row r="275" spans="1:5" ht="16.5" thickTop="1" thickBot="1" x14ac:dyDescent="0.3">
      <c r="A275" s="28">
        <v>3.9908720281732259</v>
      </c>
      <c r="B275" s="27">
        <v>0</v>
      </c>
      <c r="C275" s="27">
        <v>11.7</v>
      </c>
      <c r="E275" s="18"/>
    </row>
    <row r="276" spans="1:5" ht="16.5" thickTop="1" thickBot="1" x14ac:dyDescent="0.3">
      <c r="A276" s="28">
        <v>1.0240460089573804</v>
      </c>
      <c r="B276" s="27">
        <v>0</v>
      </c>
      <c r="C276" s="27">
        <v>11.7</v>
      </c>
      <c r="E276" s="18"/>
    </row>
    <row r="277" spans="1:5" ht="16.5" thickTop="1" thickBot="1" x14ac:dyDescent="0.3">
      <c r="A277" s="28">
        <v>1.432305823942932</v>
      </c>
      <c r="B277" s="27">
        <v>0</v>
      </c>
      <c r="C277" s="27">
        <v>11.7</v>
      </c>
      <c r="E277" s="18"/>
    </row>
    <row r="278" spans="1:5" ht="16.5" thickTop="1" thickBot="1" x14ac:dyDescent="0.3">
      <c r="A278" s="28">
        <v>4.4199672081341692</v>
      </c>
      <c r="B278" s="27">
        <v>0</v>
      </c>
      <c r="C278" s="27">
        <v>11.7</v>
      </c>
      <c r="E278" s="18"/>
    </row>
    <row r="279" spans="1:5" ht="16.5" thickTop="1" thickBot="1" x14ac:dyDescent="0.3">
      <c r="A279" s="28">
        <v>8.5076057852028431</v>
      </c>
      <c r="B279" s="27">
        <v>0</v>
      </c>
      <c r="C279" s="27">
        <v>12.2</v>
      </c>
      <c r="E279" s="18"/>
    </row>
    <row r="280" spans="1:5" ht="16.5" thickTop="1" thickBot="1" x14ac:dyDescent="0.3">
      <c r="A280" s="28">
        <v>6.1721413320377501</v>
      </c>
      <c r="B280" s="27">
        <v>0</v>
      </c>
      <c r="C280" s="27">
        <v>12.2</v>
      </c>
      <c r="E280" s="18"/>
    </row>
    <row r="281" spans="1:5" ht="16.5" thickTop="1" thickBot="1" x14ac:dyDescent="0.3">
      <c r="A281" s="28">
        <v>6.1231680020003658</v>
      </c>
      <c r="B281" s="27">
        <v>0</v>
      </c>
      <c r="C281" s="27">
        <v>12.2</v>
      </c>
      <c r="E281" s="18"/>
    </row>
    <row r="282" spans="1:5" ht="16.5" thickTop="1" thickBot="1" x14ac:dyDescent="0.3">
      <c r="A282" s="28">
        <v>3.2793199245131861</v>
      </c>
      <c r="B282" s="27">
        <v>0</v>
      </c>
      <c r="C282" s="27">
        <v>12.2</v>
      </c>
      <c r="E282" s="18"/>
    </row>
    <row r="283" spans="1:5" ht="16.5" thickTop="1" thickBot="1" x14ac:dyDescent="0.3">
      <c r="A283" s="28">
        <v>4.7572092355678874</v>
      </c>
      <c r="B283" s="27">
        <v>0</v>
      </c>
      <c r="C283" s="27">
        <v>12.2</v>
      </c>
      <c r="E283" s="18"/>
    </row>
    <row r="284" spans="1:5" ht="16.5" thickTop="1" thickBot="1" x14ac:dyDescent="0.3">
      <c r="A284" s="28">
        <v>1.6523805898551944</v>
      </c>
      <c r="B284" s="27">
        <v>0</v>
      </c>
      <c r="C284" s="27">
        <v>12.2</v>
      </c>
      <c r="E284" s="18"/>
    </row>
    <row r="285" spans="1:5" ht="16.5" thickTop="1" thickBot="1" x14ac:dyDescent="0.3">
      <c r="A285" s="28">
        <v>7.3241481741505918</v>
      </c>
      <c r="B285" s="27">
        <v>0</v>
      </c>
      <c r="C285" s="27">
        <v>12.2</v>
      </c>
      <c r="E285" s="18"/>
    </row>
    <row r="286" spans="1:5" ht="16.5" thickTop="1" thickBot="1" x14ac:dyDescent="0.3">
      <c r="A286" s="28">
        <v>3.5414780209866548</v>
      </c>
      <c r="B286" s="27">
        <v>0</v>
      </c>
      <c r="C286" s="27">
        <v>12.2</v>
      </c>
      <c r="E286" s="18"/>
    </row>
    <row r="287" spans="1:5" ht="16.5" thickTop="1" thickBot="1" x14ac:dyDescent="0.3">
      <c r="A287" s="28">
        <v>11.83704097991281</v>
      </c>
      <c r="B287" s="27">
        <v>0</v>
      </c>
      <c r="C287" s="27">
        <v>12.2</v>
      </c>
      <c r="E287" s="18"/>
    </row>
    <row r="288" spans="1:5" ht="16.5" thickTop="1" thickBot="1" x14ac:dyDescent="0.3">
      <c r="A288" s="28">
        <v>6.6042092238855563</v>
      </c>
      <c r="B288" s="27">
        <v>0</v>
      </c>
      <c r="C288" s="27">
        <v>12.2</v>
      </c>
      <c r="E288" s="18"/>
    </row>
    <row r="289" spans="1:5" ht="16.5" thickTop="1" thickBot="1" x14ac:dyDescent="0.3">
      <c r="A289" s="28">
        <v>8.5184933066728661</v>
      </c>
      <c r="B289" s="27">
        <v>0</v>
      </c>
      <c r="C289" s="27">
        <v>12.2</v>
      </c>
      <c r="E289" s="18"/>
    </row>
    <row r="290" spans="1:5" ht="16.5" thickTop="1" thickBot="1" x14ac:dyDescent="0.3">
      <c r="A290" s="28">
        <v>0.26408614985894308</v>
      </c>
      <c r="B290" s="27">
        <v>0</v>
      </c>
      <c r="C290" s="27">
        <v>12.2</v>
      </c>
      <c r="E290" s="18"/>
    </row>
    <row r="291" spans="1:5" ht="16.5" thickTop="1" thickBot="1" x14ac:dyDescent="0.3">
      <c r="A291" s="28">
        <v>10.88462015595919</v>
      </c>
      <c r="B291" s="27">
        <v>0</v>
      </c>
      <c r="C291" s="27">
        <v>12.2</v>
      </c>
      <c r="E291" s="18"/>
    </row>
    <row r="292" spans="1:5" ht="16.5" thickTop="1" thickBot="1" x14ac:dyDescent="0.3">
      <c r="A292" s="28">
        <v>5.8459526087552858</v>
      </c>
      <c r="B292" s="27">
        <v>0</v>
      </c>
      <c r="C292" s="27">
        <v>12.2</v>
      </c>
      <c r="E292" s="18"/>
    </row>
    <row r="293" spans="1:5" ht="16.5" thickTop="1" thickBot="1" x14ac:dyDescent="0.3">
      <c r="A293" s="28">
        <v>8.56455772561565</v>
      </c>
      <c r="B293" s="27">
        <v>0</v>
      </c>
      <c r="C293" s="27">
        <v>12.2</v>
      </c>
      <c r="E293" s="18"/>
    </row>
    <row r="294" spans="1:5" ht="16.5" thickTop="1" thickBot="1" x14ac:dyDescent="0.3">
      <c r="A294" s="28">
        <v>0.39178837577268866</v>
      </c>
      <c r="B294" s="27">
        <v>0</v>
      </c>
      <c r="C294" s="27">
        <v>12.2</v>
      </c>
      <c r="E294" s="18"/>
    </row>
    <row r="295" spans="1:5" ht="16.5" thickTop="1" thickBot="1" x14ac:dyDescent="0.3">
      <c r="A295" s="28">
        <v>1.4175016270635656</v>
      </c>
      <c r="B295" s="27">
        <v>0</v>
      </c>
      <c r="C295" s="27">
        <v>12.2</v>
      </c>
      <c r="E295" s="18"/>
    </row>
    <row r="296" spans="1:5" ht="16.5" thickTop="1" thickBot="1" x14ac:dyDescent="0.3">
      <c r="A296" s="28">
        <v>3.5428760518398605</v>
      </c>
      <c r="B296" s="27">
        <v>0</v>
      </c>
      <c r="C296" s="27">
        <v>20.8</v>
      </c>
      <c r="E296" s="18"/>
    </row>
    <row r="297" spans="1:5" ht="16.5" thickTop="1" thickBot="1" x14ac:dyDescent="0.3">
      <c r="A297" s="28">
        <v>9.9617703118956857</v>
      </c>
      <c r="B297" s="27">
        <v>0</v>
      </c>
      <c r="C297" s="27">
        <v>20.8</v>
      </c>
      <c r="E297" s="18"/>
    </row>
    <row r="298" spans="1:5" ht="16.5" thickTop="1" thickBot="1" x14ac:dyDescent="0.3">
      <c r="A298" s="28">
        <v>1.0677174342972575</v>
      </c>
      <c r="B298" s="27">
        <v>0</v>
      </c>
      <c r="C298" s="27">
        <v>20.8</v>
      </c>
      <c r="E298" s="18"/>
    </row>
    <row r="299" spans="1:5" ht="16.5" thickTop="1" thickBot="1" x14ac:dyDescent="0.3">
      <c r="A299" s="28">
        <v>0.74190343426166994</v>
      </c>
      <c r="B299" s="27">
        <v>0</v>
      </c>
      <c r="C299" s="27">
        <v>20.8</v>
      </c>
      <c r="E299" s="18"/>
    </row>
    <row r="300" spans="1:5" ht="16.5" thickTop="1" thickBot="1" x14ac:dyDescent="0.3">
      <c r="A300" s="28">
        <v>3.6015988728886366</v>
      </c>
      <c r="B300" s="27">
        <v>0</v>
      </c>
      <c r="C300" s="27">
        <v>20.8</v>
      </c>
      <c r="E300" s="18"/>
    </row>
    <row r="301" spans="1:5" ht="16.5" thickTop="1" thickBot="1" x14ac:dyDescent="0.3">
      <c r="A301" s="28">
        <v>7.6630788612512664</v>
      </c>
      <c r="B301" s="27">
        <v>0</v>
      </c>
      <c r="C301" s="27">
        <v>20.8</v>
      </c>
      <c r="E301" s="18"/>
    </row>
    <row r="302" spans="1:5" ht="16.5" thickTop="1" thickBot="1" x14ac:dyDescent="0.3">
      <c r="A302" s="28">
        <v>1.2772683497687729</v>
      </c>
      <c r="B302" s="27">
        <v>0</v>
      </c>
      <c r="C302" s="27">
        <v>20.8</v>
      </c>
      <c r="E302" s="18"/>
    </row>
    <row r="303" spans="1:5" ht="16.5" thickTop="1" thickBot="1" x14ac:dyDescent="0.3">
      <c r="A303" s="28">
        <v>3.2388910400359237</v>
      </c>
      <c r="B303" s="27">
        <v>0</v>
      </c>
      <c r="C303" s="27">
        <v>20.8</v>
      </c>
      <c r="E303" s="18"/>
    </row>
    <row r="304" spans="1:5" ht="16.5" thickTop="1" thickBot="1" x14ac:dyDescent="0.3">
      <c r="A304" s="28">
        <v>3.4887850476237561</v>
      </c>
      <c r="B304" s="27">
        <v>0</v>
      </c>
      <c r="C304" s="27">
        <v>20.8</v>
      </c>
      <c r="E304" s="18"/>
    </row>
    <row r="305" spans="1:5" ht="16.5" thickTop="1" thickBot="1" x14ac:dyDescent="0.3">
      <c r="A305" s="28">
        <v>8.7032237211820362</v>
      </c>
      <c r="B305" s="27">
        <v>0</v>
      </c>
      <c r="C305" s="27">
        <v>20.8</v>
      </c>
      <c r="E305" s="18"/>
    </row>
    <row r="306" spans="1:5" ht="16.5" thickTop="1" thickBot="1" x14ac:dyDescent="0.3">
      <c r="A306" s="28">
        <v>4.9357651832472218</v>
      </c>
      <c r="B306" s="27">
        <v>0</v>
      </c>
      <c r="C306" s="27">
        <v>20.8</v>
      </c>
      <c r="E306" s="18"/>
    </row>
    <row r="307" spans="1:5" ht="16.5" thickTop="1" thickBot="1" x14ac:dyDescent="0.3">
      <c r="A307" s="28">
        <v>6.4651593370995206</v>
      </c>
      <c r="B307" s="27">
        <v>0</v>
      </c>
      <c r="C307" s="27">
        <v>20.8</v>
      </c>
      <c r="E307" s="18"/>
    </row>
    <row r="308" spans="1:5" ht="16.5" thickTop="1" thickBot="1" x14ac:dyDescent="0.3">
      <c r="A308" s="28">
        <v>5.1020755092560837</v>
      </c>
      <c r="B308" s="27">
        <v>0</v>
      </c>
      <c r="C308" s="27">
        <v>20.8</v>
      </c>
      <c r="E308" s="18"/>
    </row>
    <row r="309" spans="1:5" ht="16.5" thickTop="1" thickBot="1" x14ac:dyDescent="0.3">
      <c r="A309" s="28">
        <v>2.8140196212475139</v>
      </c>
      <c r="B309" s="27">
        <v>0</v>
      </c>
      <c r="C309" s="27">
        <v>20.8</v>
      </c>
      <c r="E309" s="18"/>
    </row>
    <row r="310" spans="1:5" ht="16.5" thickTop="1" thickBot="1" x14ac:dyDescent="0.3">
      <c r="A310" s="28">
        <v>3.4717815080461278</v>
      </c>
      <c r="B310" s="27">
        <v>0</v>
      </c>
      <c r="C310" s="27">
        <v>20.8</v>
      </c>
      <c r="E310" s="18"/>
    </row>
    <row r="311" spans="1:5" ht="16.5" thickTop="1" thickBot="1" x14ac:dyDescent="0.3">
      <c r="A311" s="28">
        <v>2.2091818177827207</v>
      </c>
      <c r="B311" s="27">
        <v>0</v>
      </c>
      <c r="C311" s="27">
        <v>20.8</v>
      </c>
      <c r="E311" s="18"/>
    </row>
    <row r="312" spans="1:5" ht="16.5" thickTop="1" thickBot="1" x14ac:dyDescent="0.3">
      <c r="A312" s="28">
        <v>3.3328416793938302</v>
      </c>
      <c r="B312" s="27">
        <v>0</v>
      </c>
      <c r="C312" s="27">
        <v>20.8</v>
      </c>
      <c r="E312" s="18"/>
    </row>
    <row r="313" spans="1:5" ht="16.5" thickTop="1" thickBot="1" x14ac:dyDescent="0.3">
      <c r="A313" s="28">
        <v>4.6065524034478766</v>
      </c>
      <c r="B313" s="27">
        <v>0</v>
      </c>
      <c r="C313" s="27">
        <v>14.3</v>
      </c>
      <c r="E313" s="18"/>
    </row>
    <row r="314" spans="1:5" ht="16.5" thickTop="1" thickBot="1" x14ac:dyDescent="0.3">
      <c r="A314" s="28">
        <v>0.23562435320149755</v>
      </c>
      <c r="B314" s="27">
        <v>0</v>
      </c>
      <c r="C314" s="27">
        <v>14.3</v>
      </c>
      <c r="E314" s="18"/>
    </row>
    <row r="315" spans="1:5" ht="16.5" thickTop="1" thickBot="1" x14ac:dyDescent="0.3">
      <c r="A315" s="28">
        <v>6.1684996242175503</v>
      </c>
      <c r="B315" s="27">
        <v>0</v>
      </c>
      <c r="C315" s="27">
        <v>14.3</v>
      </c>
      <c r="E315" s="18"/>
    </row>
    <row r="316" spans="1:5" ht="16.5" thickTop="1" thickBot="1" x14ac:dyDescent="0.3">
      <c r="A316" s="28">
        <v>1.0616148689248628</v>
      </c>
      <c r="B316" s="27">
        <v>0</v>
      </c>
      <c r="C316" s="27">
        <v>14.3</v>
      </c>
      <c r="E316" s="18"/>
    </row>
    <row r="317" spans="1:5" ht="16.5" thickTop="1" thickBot="1" x14ac:dyDescent="0.3">
      <c r="A317" s="28">
        <v>2.68635102829926</v>
      </c>
      <c r="B317" s="27">
        <v>0</v>
      </c>
      <c r="C317" s="27">
        <v>14.3</v>
      </c>
      <c r="E317" s="18"/>
    </row>
    <row r="318" spans="1:5" ht="16.5" thickTop="1" thickBot="1" x14ac:dyDescent="0.3">
      <c r="A318" s="28">
        <v>4.3712597706758354</v>
      </c>
      <c r="B318" s="27">
        <v>0</v>
      </c>
      <c r="C318" s="27">
        <v>14.3</v>
      </c>
      <c r="E318" s="18"/>
    </row>
    <row r="319" spans="1:5" ht="16.5" thickTop="1" thickBot="1" x14ac:dyDescent="0.3">
      <c r="A319" s="28">
        <v>0.11997156529013475</v>
      </c>
      <c r="B319" s="27">
        <v>0</v>
      </c>
      <c r="C319" s="27">
        <v>14.3</v>
      </c>
      <c r="E319" s="18"/>
    </row>
    <row r="320" spans="1:5" ht="16.5" thickTop="1" thickBot="1" x14ac:dyDescent="0.3">
      <c r="A320" s="28">
        <v>3.6886846111486036</v>
      </c>
      <c r="B320" s="27">
        <v>0</v>
      </c>
      <c r="C320" s="27">
        <v>14.3</v>
      </c>
      <c r="E320" s="18"/>
    </row>
    <row r="321" spans="1:5" ht="16.5" thickTop="1" thickBot="1" x14ac:dyDescent="0.3">
      <c r="A321" s="28">
        <v>7.5375730877380223</v>
      </c>
      <c r="B321" s="27">
        <v>0</v>
      </c>
      <c r="C321" s="27">
        <v>14.3</v>
      </c>
      <c r="E321" s="18"/>
    </row>
    <row r="322" spans="1:5" ht="16.5" thickTop="1" thickBot="1" x14ac:dyDescent="0.3">
      <c r="A322" s="28">
        <v>2.0270152390781142</v>
      </c>
      <c r="B322" s="27">
        <v>0</v>
      </c>
      <c r="C322" s="27">
        <v>14.3</v>
      </c>
      <c r="E322" s="18"/>
    </row>
    <row r="323" spans="1:5" ht="16.5" thickTop="1" thickBot="1" x14ac:dyDescent="0.3">
      <c r="A323" s="28">
        <v>1.4143698376491778</v>
      </c>
      <c r="B323" s="27">
        <v>0</v>
      </c>
      <c r="C323" s="27">
        <v>14.3</v>
      </c>
      <c r="E323" s="18"/>
    </row>
    <row r="324" spans="1:5" ht="16.5" thickTop="1" thickBot="1" x14ac:dyDescent="0.3">
      <c r="A324" s="28">
        <v>4.1173239485954394</v>
      </c>
      <c r="B324" s="27">
        <v>0</v>
      </c>
      <c r="C324" s="27">
        <v>14.3</v>
      </c>
      <c r="E324" s="18"/>
    </row>
    <row r="325" spans="1:5" ht="16.5" thickTop="1" thickBot="1" x14ac:dyDescent="0.3">
      <c r="A325" s="28">
        <v>0.35724798700661564</v>
      </c>
      <c r="B325" s="27">
        <v>0</v>
      </c>
      <c r="C325" s="27">
        <v>14.3</v>
      </c>
      <c r="E325" s="18"/>
    </row>
    <row r="326" spans="1:5" ht="16.5" thickTop="1" thickBot="1" x14ac:dyDescent="0.3">
      <c r="A326" s="28">
        <v>1.3027415138203096</v>
      </c>
      <c r="B326" s="27">
        <v>0</v>
      </c>
      <c r="C326" s="27">
        <v>14.3</v>
      </c>
      <c r="E326" s="18"/>
    </row>
    <row r="327" spans="1:5" ht="16.5" thickTop="1" thickBot="1" x14ac:dyDescent="0.3">
      <c r="A327" s="28">
        <v>1.0590065684246035</v>
      </c>
      <c r="B327" s="27">
        <v>0</v>
      </c>
      <c r="C327" s="27">
        <v>14.3</v>
      </c>
      <c r="E327" s="18"/>
    </row>
    <row r="328" spans="1:5" ht="16.5" thickTop="1" thickBot="1" x14ac:dyDescent="0.3">
      <c r="A328" s="28">
        <v>1.7943940996728931</v>
      </c>
      <c r="B328" s="27">
        <v>0</v>
      </c>
      <c r="C328" s="27">
        <v>14.3</v>
      </c>
      <c r="E328" s="18"/>
    </row>
    <row r="329" spans="1:5" ht="16.5" thickTop="1" thickBot="1" x14ac:dyDescent="0.3">
      <c r="A329" s="28">
        <v>1.7821396766654987</v>
      </c>
      <c r="B329" s="27">
        <v>0</v>
      </c>
      <c r="C329" s="27">
        <v>9.6</v>
      </c>
      <c r="E329" s="18"/>
    </row>
    <row r="330" spans="1:5" ht="16.5" thickTop="1" thickBot="1" x14ac:dyDescent="0.3">
      <c r="A330" s="28">
        <v>0.54905301810626395</v>
      </c>
      <c r="B330" s="27">
        <v>0</v>
      </c>
      <c r="C330" s="27">
        <v>9.6</v>
      </c>
      <c r="E330" s="18"/>
    </row>
    <row r="331" spans="1:5" ht="16.5" thickTop="1" thickBot="1" x14ac:dyDescent="0.3">
      <c r="A331" s="28">
        <v>2.0377511692540153</v>
      </c>
      <c r="B331" s="27">
        <v>0</v>
      </c>
      <c r="C331" s="27">
        <v>9.6</v>
      </c>
      <c r="E331" s="18"/>
    </row>
    <row r="332" spans="1:5" ht="16.5" thickTop="1" thickBot="1" x14ac:dyDescent="0.3">
      <c r="A332" s="28">
        <v>6.7495825832165028</v>
      </c>
      <c r="B332" s="27">
        <v>0</v>
      </c>
      <c r="C332" s="27">
        <v>9.6</v>
      </c>
      <c r="E332" s="18"/>
    </row>
    <row r="333" spans="1:5" ht="16.5" thickTop="1" thickBot="1" x14ac:dyDescent="0.3">
      <c r="A333" s="28">
        <v>1.4117611530121565</v>
      </c>
      <c r="B333" s="27">
        <v>0</v>
      </c>
      <c r="C333" s="27">
        <v>9.6</v>
      </c>
      <c r="E333" s="18"/>
    </row>
    <row r="334" spans="1:5" ht="16.5" thickTop="1" thickBot="1" x14ac:dyDescent="0.3">
      <c r="A334" s="28">
        <v>3.199375679723107</v>
      </c>
      <c r="B334" s="27">
        <v>0</v>
      </c>
      <c r="C334" s="27">
        <v>9.6</v>
      </c>
      <c r="E334" s="18"/>
    </row>
    <row r="335" spans="1:5" ht="16.5" thickTop="1" thickBot="1" x14ac:dyDescent="0.3">
      <c r="A335" s="28">
        <v>5.0184985033181935</v>
      </c>
      <c r="B335" s="27">
        <v>0</v>
      </c>
      <c r="C335" s="27">
        <v>9.6</v>
      </c>
      <c r="E335" s="18"/>
    </row>
    <row r="336" spans="1:5" ht="16.5" thickTop="1" thickBot="1" x14ac:dyDescent="0.3">
      <c r="A336" s="28">
        <v>2.4847113638705998</v>
      </c>
      <c r="B336" s="27">
        <v>0</v>
      </c>
      <c r="C336" s="27">
        <v>9.6</v>
      </c>
      <c r="E336" s="18"/>
    </row>
    <row r="337" spans="1:5" ht="16.5" thickTop="1" thickBot="1" x14ac:dyDescent="0.3">
      <c r="A337" s="28">
        <v>9.7951728356265306</v>
      </c>
      <c r="B337" s="27">
        <v>0</v>
      </c>
      <c r="C337" s="27">
        <v>9.6</v>
      </c>
      <c r="E337" s="18"/>
    </row>
    <row r="338" spans="1:5" ht="16.5" thickTop="1" thickBot="1" x14ac:dyDescent="0.3">
      <c r="A338" s="28">
        <v>6.5828941112153956</v>
      </c>
      <c r="B338" s="27">
        <v>0</v>
      </c>
      <c r="C338" s="27">
        <v>9.6</v>
      </c>
      <c r="E338" s="18"/>
    </row>
    <row r="339" spans="1:5" ht="16.5" thickTop="1" thickBot="1" x14ac:dyDescent="0.3">
      <c r="A339" s="28">
        <v>10.810254523615335</v>
      </c>
      <c r="B339" s="27">
        <v>0</v>
      </c>
      <c r="C339" s="27">
        <v>9.6</v>
      </c>
      <c r="E339" s="18"/>
    </row>
    <row r="340" spans="1:5" ht="16.5" thickTop="1" thickBot="1" x14ac:dyDescent="0.3">
      <c r="A340" s="28">
        <v>0.62560377887111485</v>
      </c>
      <c r="B340" s="27">
        <v>0</v>
      </c>
      <c r="C340" s="27">
        <v>9.6</v>
      </c>
      <c r="E340" s="18"/>
    </row>
    <row r="341" spans="1:5" ht="16.5" thickTop="1" thickBot="1" x14ac:dyDescent="0.3">
      <c r="A341" s="28">
        <v>8.8764118068618885</v>
      </c>
      <c r="B341" s="27">
        <v>0</v>
      </c>
      <c r="C341" s="27">
        <v>9.6</v>
      </c>
      <c r="E341" s="18"/>
    </row>
    <row r="342" spans="1:5" ht="16.5" thickTop="1" thickBot="1" x14ac:dyDescent="0.3">
      <c r="A342" s="28">
        <v>3.8984215950179228</v>
      </c>
      <c r="B342" s="27">
        <v>0</v>
      </c>
      <c r="C342" s="27">
        <v>9.6</v>
      </c>
      <c r="E342" s="18"/>
    </row>
    <row r="343" spans="1:5" ht="16.5" thickTop="1" thickBot="1" x14ac:dyDescent="0.3">
      <c r="A343" s="28">
        <v>4.3298015898278122</v>
      </c>
      <c r="B343" s="27">
        <v>0</v>
      </c>
      <c r="C343" s="27">
        <v>9.6</v>
      </c>
      <c r="E343" s="18"/>
    </row>
    <row r="344" spans="1:5" ht="16.5" thickTop="1" thickBot="1" x14ac:dyDescent="0.3">
      <c r="A344" s="28">
        <v>5.7189890994952153</v>
      </c>
      <c r="B344" s="27">
        <v>0</v>
      </c>
      <c r="C344" s="27">
        <v>9.6</v>
      </c>
      <c r="E344" s="18"/>
    </row>
    <row r="345" spans="1:5" ht="16.5" thickTop="1" thickBot="1" x14ac:dyDescent="0.3">
      <c r="A345" s="28">
        <v>8.8383546710854244</v>
      </c>
      <c r="B345" s="27">
        <v>0</v>
      </c>
      <c r="C345" s="27">
        <v>9.6</v>
      </c>
      <c r="E345" s="18"/>
    </row>
    <row r="346" spans="1:5" ht="16.5" thickTop="1" thickBot="1" x14ac:dyDescent="0.3">
      <c r="A346" s="28">
        <v>2.5479457034316111</v>
      </c>
      <c r="B346" s="27">
        <v>0</v>
      </c>
      <c r="C346" s="27">
        <v>13.4</v>
      </c>
      <c r="E346" s="18"/>
    </row>
    <row r="347" spans="1:5" ht="16.5" thickTop="1" thickBot="1" x14ac:dyDescent="0.3">
      <c r="A347" s="28">
        <v>1.8492878903634686</v>
      </c>
      <c r="B347" s="27">
        <v>0</v>
      </c>
      <c r="C347" s="27">
        <v>13.4</v>
      </c>
      <c r="E347" s="18"/>
    </row>
    <row r="348" spans="1:5" ht="16.5" thickTop="1" thickBot="1" x14ac:dyDescent="0.3">
      <c r="A348" s="28">
        <v>0.51954979163999171</v>
      </c>
      <c r="B348" s="27">
        <v>0</v>
      </c>
      <c r="C348" s="27">
        <v>13.4</v>
      </c>
      <c r="E348" s="18"/>
    </row>
    <row r="349" spans="1:5" ht="16.5" thickTop="1" thickBot="1" x14ac:dyDescent="0.3">
      <c r="A349" s="28">
        <v>2.6372298093684297</v>
      </c>
      <c r="B349" s="27">
        <v>0</v>
      </c>
      <c r="C349" s="27">
        <v>13.4</v>
      </c>
      <c r="E349" s="18"/>
    </row>
    <row r="350" spans="1:5" ht="16.5" thickTop="1" thickBot="1" x14ac:dyDescent="0.3">
      <c r="A350" s="28">
        <v>0.2860709208320269</v>
      </c>
      <c r="B350" s="27">
        <v>0</v>
      </c>
      <c r="C350" s="27">
        <v>13.4</v>
      </c>
      <c r="E350" s="18"/>
    </row>
    <row r="351" spans="1:5" ht="16.5" thickTop="1" thickBot="1" x14ac:dyDescent="0.3">
      <c r="A351" s="28">
        <v>7.3609562921034168</v>
      </c>
      <c r="B351" s="27">
        <v>0</v>
      </c>
      <c r="C351" s="27">
        <v>13.4</v>
      </c>
      <c r="E351" s="18"/>
    </row>
    <row r="352" spans="1:5" ht="16.5" thickTop="1" thickBot="1" x14ac:dyDescent="0.3">
      <c r="A352" s="28">
        <v>3.2640192695615688</v>
      </c>
      <c r="B352" s="27">
        <v>0</v>
      </c>
      <c r="C352" s="27">
        <v>13.4</v>
      </c>
      <c r="E352" s="18"/>
    </row>
    <row r="353" spans="1:5" ht="16.5" thickTop="1" thickBot="1" x14ac:dyDescent="0.3">
      <c r="A353" s="28">
        <v>5.9220788349926918</v>
      </c>
      <c r="B353" s="27">
        <v>0</v>
      </c>
      <c r="C353" s="27">
        <v>13.4</v>
      </c>
      <c r="E353" s="18"/>
    </row>
    <row r="354" spans="1:5" ht="16.5" thickTop="1" thickBot="1" x14ac:dyDescent="0.3">
      <c r="A354" s="28">
        <v>1.9701762861822785</v>
      </c>
      <c r="B354" s="27">
        <v>0</v>
      </c>
      <c r="C354" s="27">
        <v>13.4</v>
      </c>
      <c r="E354" s="18"/>
    </row>
    <row r="355" spans="1:5" ht="16.5" thickTop="1" thickBot="1" x14ac:dyDescent="0.3">
      <c r="A355" s="28">
        <v>5.4909567548676304</v>
      </c>
      <c r="B355" s="27">
        <v>0</v>
      </c>
      <c r="C355" s="27">
        <v>13.4</v>
      </c>
      <c r="E355" s="18"/>
    </row>
    <row r="356" spans="1:5" ht="16.5" thickTop="1" thickBot="1" x14ac:dyDescent="0.3">
      <c r="A356" s="28">
        <v>4.7687823917323868</v>
      </c>
      <c r="B356" s="27">
        <v>0</v>
      </c>
      <c r="C356" s="27">
        <v>13.4</v>
      </c>
      <c r="E356" s="18"/>
    </row>
    <row r="357" spans="1:5" ht="16.5" thickTop="1" thickBot="1" x14ac:dyDescent="0.3">
      <c r="A357" s="28">
        <v>11.282360488710458</v>
      </c>
      <c r="B357" s="27">
        <v>0</v>
      </c>
      <c r="C357" s="27">
        <v>13.4</v>
      </c>
      <c r="E357" s="18"/>
    </row>
    <row r="358" spans="1:5" ht="16.5" thickTop="1" thickBot="1" x14ac:dyDescent="0.3">
      <c r="A358" s="28">
        <v>0.11333735441297677</v>
      </c>
      <c r="B358" s="27">
        <v>0</v>
      </c>
      <c r="C358" s="27">
        <v>13.4</v>
      </c>
      <c r="E358" s="18"/>
    </row>
    <row r="359" spans="1:5" ht="16.5" thickTop="1" thickBot="1" x14ac:dyDescent="0.3">
      <c r="A359" s="28">
        <v>5.9872812494303851</v>
      </c>
      <c r="B359" s="27">
        <v>0</v>
      </c>
      <c r="C359" s="27">
        <v>13.4</v>
      </c>
      <c r="E359" s="18"/>
    </row>
    <row r="360" spans="1:5" ht="16.5" thickTop="1" thickBot="1" x14ac:dyDescent="0.3">
      <c r="A360" s="28">
        <v>1.7622007015468326</v>
      </c>
      <c r="B360" s="27">
        <v>0</v>
      </c>
      <c r="C360" s="27">
        <v>13.4</v>
      </c>
      <c r="E360" s="18"/>
    </row>
    <row r="361" spans="1:5" ht="16.5" thickTop="1" thickBot="1" x14ac:dyDescent="0.3">
      <c r="A361" s="28">
        <v>10.511804422730863</v>
      </c>
      <c r="B361" s="27">
        <v>0</v>
      </c>
      <c r="C361" s="27">
        <v>13.4</v>
      </c>
      <c r="E361" s="18"/>
    </row>
    <row r="362" spans="1:5" ht="16.5" thickTop="1" thickBot="1" x14ac:dyDescent="0.3">
      <c r="A362" s="28">
        <v>0.30673693107354583</v>
      </c>
      <c r="B362" s="27">
        <v>0</v>
      </c>
      <c r="C362" s="27">
        <v>13.4</v>
      </c>
      <c r="E362" s="18"/>
    </row>
    <row r="363" spans="1:5" ht="16.5" thickTop="1" thickBot="1" x14ac:dyDescent="0.3">
      <c r="A363" s="28">
        <v>1.9390834946863631</v>
      </c>
      <c r="B363" s="27">
        <v>0</v>
      </c>
      <c r="C363" s="27">
        <v>22.7</v>
      </c>
      <c r="E363" s="18"/>
    </row>
    <row r="364" spans="1:5" ht="16.5" thickTop="1" thickBot="1" x14ac:dyDescent="0.3">
      <c r="A364" s="28">
        <v>1.1777158055065982</v>
      </c>
      <c r="B364" s="27">
        <v>0</v>
      </c>
      <c r="C364" s="27">
        <v>22.7</v>
      </c>
      <c r="E364" s="18"/>
    </row>
    <row r="365" spans="1:5" ht="16.5" thickTop="1" thickBot="1" x14ac:dyDescent="0.3">
      <c r="A365" s="28">
        <v>3.2688934330449606</v>
      </c>
      <c r="B365" s="27">
        <v>0</v>
      </c>
      <c r="C365" s="27">
        <v>22.7</v>
      </c>
      <c r="E365" s="18"/>
    </row>
    <row r="366" spans="1:5" ht="16.5" thickTop="1" thickBot="1" x14ac:dyDescent="0.3">
      <c r="A366" s="28">
        <v>2.5740656965270245</v>
      </c>
      <c r="B366" s="27">
        <v>0</v>
      </c>
      <c r="C366" s="27">
        <v>22.7</v>
      </c>
      <c r="E366" s="18"/>
    </row>
    <row r="367" spans="1:5" ht="16.5" thickTop="1" thickBot="1" x14ac:dyDescent="0.3">
      <c r="A367" s="28">
        <v>7.1339210795539048</v>
      </c>
      <c r="B367" s="27">
        <v>0</v>
      </c>
      <c r="C367" s="27">
        <v>22.7</v>
      </c>
      <c r="E367" s="18"/>
    </row>
    <row r="368" spans="1:5" ht="16.5" thickTop="1" thickBot="1" x14ac:dyDescent="0.3">
      <c r="A368" s="28">
        <v>4.702186948443015</v>
      </c>
      <c r="B368" s="27">
        <v>0</v>
      </c>
      <c r="C368" s="27">
        <v>22.7</v>
      </c>
      <c r="E368" s="18"/>
    </row>
    <row r="369" spans="1:5" ht="16.5" thickTop="1" thickBot="1" x14ac:dyDescent="0.3">
      <c r="A369" s="28">
        <v>1.1965108805777476</v>
      </c>
      <c r="B369" s="27">
        <v>0</v>
      </c>
      <c r="C369" s="27">
        <v>22.7</v>
      </c>
      <c r="E369" s="18"/>
    </row>
    <row r="370" spans="1:5" ht="16.5" thickTop="1" thickBot="1" x14ac:dyDescent="0.3">
      <c r="A370" s="28">
        <v>1.8759338257853164</v>
      </c>
      <c r="B370" s="27">
        <v>0</v>
      </c>
      <c r="C370" s="27">
        <v>22.7</v>
      </c>
      <c r="E370" s="18"/>
    </row>
    <row r="371" spans="1:5" ht="16.5" thickTop="1" thickBot="1" x14ac:dyDescent="0.3">
      <c r="A371" s="28">
        <v>1.2966290488979935</v>
      </c>
      <c r="B371" s="27">
        <v>0</v>
      </c>
      <c r="C371" s="27">
        <v>22.7</v>
      </c>
      <c r="E371" s="18"/>
    </row>
    <row r="372" spans="1:5" ht="16.5" thickTop="1" thickBot="1" x14ac:dyDescent="0.3">
      <c r="A372" s="28">
        <v>6.6156470838997423</v>
      </c>
      <c r="B372" s="27">
        <v>0</v>
      </c>
      <c r="C372" s="27">
        <v>22.7</v>
      </c>
      <c r="E372" s="18"/>
    </row>
    <row r="373" spans="1:5" ht="16.5" thickTop="1" thickBot="1" x14ac:dyDescent="0.3">
      <c r="A373" s="28">
        <v>0.68318632600366147</v>
      </c>
      <c r="B373" s="27">
        <v>0</v>
      </c>
      <c r="C373" s="27">
        <v>22.7</v>
      </c>
      <c r="E373" s="18"/>
    </row>
    <row r="374" spans="1:5" ht="16.5" thickTop="1" thickBot="1" x14ac:dyDescent="0.3">
      <c r="A374" s="28">
        <v>3.2453191069831515</v>
      </c>
      <c r="B374" s="27">
        <v>0</v>
      </c>
      <c r="C374" s="27">
        <v>22.7</v>
      </c>
      <c r="E374" s="18"/>
    </row>
    <row r="375" spans="1:5" ht="16.5" thickTop="1" thickBot="1" x14ac:dyDescent="0.3">
      <c r="A375" s="28">
        <v>5.1134108013204713</v>
      </c>
      <c r="B375" s="27">
        <v>0</v>
      </c>
      <c r="C375" s="27">
        <v>22.7</v>
      </c>
      <c r="E375" s="18"/>
    </row>
    <row r="376" spans="1:5" ht="16.5" thickTop="1" thickBot="1" x14ac:dyDescent="0.3">
      <c r="A376" s="28">
        <v>2.9256842171967321</v>
      </c>
      <c r="B376" s="27">
        <v>0</v>
      </c>
      <c r="C376" s="27">
        <v>22.7</v>
      </c>
      <c r="E376" s="18"/>
    </row>
    <row r="377" spans="1:5" ht="16.5" thickTop="1" thickBot="1" x14ac:dyDescent="0.3">
      <c r="A377" s="28">
        <v>6.3522227723828824</v>
      </c>
      <c r="B377" s="27">
        <v>0</v>
      </c>
      <c r="C377" s="27">
        <v>22.7</v>
      </c>
      <c r="E377" s="18"/>
    </row>
    <row r="378" spans="1:5" ht="16.5" thickTop="1" thickBot="1" x14ac:dyDescent="0.3">
      <c r="A378" s="28">
        <v>2.2174355737764841</v>
      </c>
      <c r="B378" s="27">
        <v>0</v>
      </c>
      <c r="C378" s="27">
        <v>13.9</v>
      </c>
      <c r="E378" s="18"/>
    </row>
    <row r="379" spans="1:5" ht="16.5" thickTop="1" thickBot="1" x14ac:dyDescent="0.3">
      <c r="A379" s="28">
        <v>4.6534305532070626</v>
      </c>
      <c r="B379" s="27">
        <v>0</v>
      </c>
      <c r="C379" s="27">
        <v>13.9</v>
      </c>
      <c r="E379" s="18"/>
    </row>
    <row r="380" spans="1:5" ht="16.5" thickTop="1" thickBot="1" x14ac:dyDescent="0.3">
      <c r="A380" s="28">
        <v>0.85222045400111968</v>
      </c>
      <c r="B380" s="27">
        <v>0</v>
      </c>
      <c r="C380" s="27">
        <v>13.9</v>
      </c>
      <c r="E380" s="18"/>
    </row>
    <row r="381" spans="1:5" ht="16.5" thickTop="1" thickBot="1" x14ac:dyDescent="0.3">
      <c r="A381" s="28">
        <v>3.8007409870682478</v>
      </c>
      <c r="B381" s="27">
        <v>0</v>
      </c>
      <c r="C381" s="27">
        <v>13.9</v>
      </c>
      <c r="E381" s="18"/>
    </row>
    <row r="382" spans="1:5" ht="16.5" thickTop="1" thickBot="1" x14ac:dyDescent="0.3">
      <c r="A382" s="28">
        <v>3.9803825292910586</v>
      </c>
      <c r="B382" s="27">
        <v>0</v>
      </c>
      <c r="C382" s="27">
        <v>13.9</v>
      </c>
      <c r="E382" s="18"/>
    </row>
    <row r="383" spans="1:5" ht="16.5" thickTop="1" thickBot="1" x14ac:dyDescent="0.3">
      <c r="A383" s="28">
        <v>6.5515801265609532</v>
      </c>
      <c r="B383" s="27">
        <v>0</v>
      </c>
      <c r="C383" s="27">
        <v>13.9</v>
      </c>
      <c r="E383" s="18"/>
    </row>
    <row r="384" spans="1:5" ht="16.5" thickTop="1" thickBot="1" x14ac:dyDescent="0.3">
      <c r="A384" s="28">
        <v>3.060399513370101</v>
      </c>
      <c r="B384" s="27">
        <v>0</v>
      </c>
      <c r="C384" s="27">
        <v>13.9</v>
      </c>
      <c r="E384" s="18"/>
    </row>
    <row r="385" spans="1:7" ht="16.5" thickTop="1" thickBot="1" x14ac:dyDescent="0.3">
      <c r="A385" s="28">
        <v>6.1619968834531695</v>
      </c>
      <c r="B385" s="27">
        <v>0</v>
      </c>
      <c r="C385" s="27">
        <v>13.9</v>
      </c>
      <c r="E385" s="18"/>
    </row>
    <row r="386" spans="1:7" ht="16.5" thickTop="1" thickBot="1" x14ac:dyDescent="0.3">
      <c r="A386" s="28">
        <v>6.6534966518083731</v>
      </c>
      <c r="B386" s="27">
        <v>0</v>
      </c>
      <c r="C386" s="27">
        <v>13.9</v>
      </c>
      <c r="E386" s="18"/>
    </row>
    <row r="387" spans="1:7" ht="16.5" thickTop="1" thickBot="1" x14ac:dyDescent="0.3">
      <c r="A387" s="28">
        <v>8.2981053119141528</v>
      </c>
      <c r="B387" s="27">
        <v>0</v>
      </c>
      <c r="C387" s="27">
        <v>13.9</v>
      </c>
      <c r="E387" s="18"/>
    </row>
    <row r="388" spans="1:7" ht="16.5" thickTop="1" thickBot="1" x14ac:dyDescent="0.3">
      <c r="A388" s="28">
        <v>5.4932219423658752</v>
      </c>
      <c r="B388" s="27">
        <v>0</v>
      </c>
      <c r="C388" s="27">
        <v>13.9</v>
      </c>
      <c r="E388" s="18"/>
    </row>
    <row r="389" spans="1:7" ht="16.5" thickTop="1" thickBot="1" x14ac:dyDescent="0.3">
      <c r="A389" s="28">
        <v>0.93733399668503115</v>
      </c>
      <c r="B389" s="27">
        <v>0</v>
      </c>
      <c r="C389" s="27">
        <v>13.9</v>
      </c>
      <c r="E389" s="18"/>
    </row>
    <row r="390" spans="1:7" ht="16.5" thickTop="1" thickBot="1" x14ac:dyDescent="0.3">
      <c r="A390" s="28">
        <v>2.772082643990585</v>
      </c>
      <c r="B390" s="27">
        <v>0</v>
      </c>
      <c r="C390" s="27">
        <v>13.9</v>
      </c>
      <c r="E390" s="18"/>
    </row>
    <row r="391" spans="1:7" ht="16.5" thickTop="1" thickBot="1" x14ac:dyDescent="0.3">
      <c r="A391" s="28">
        <v>11.693632729472103</v>
      </c>
      <c r="B391" s="27">
        <v>0</v>
      </c>
      <c r="C391" s="27">
        <v>13.9</v>
      </c>
      <c r="E391" s="18"/>
    </row>
    <row r="392" spans="1:7" ht="16.5" thickTop="1" thickBot="1" x14ac:dyDescent="0.3">
      <c r="A392" s="28">
        <v>5.2363602316685212</v>
      </c>
      <c r="B392" s="27">
        <v>0</v>
      </c>
      <c r="C392" s="27">
        <v>13.9</v>
      </c>
      <c r="E392" s="18"/>
    </row>
    <row r="393" spans="1:7" ht="16.5" thickTop="1" thickBot="1" x14ac:dyDescent="0.3">
      <c r="A393" s="28">
        <v>8.9360541940945382</v>
      </c>
      <c r="B393" s="27">
        <v>0</v>
      </c>
      <c r="C393" s="27">
        <v>13.9</v>
      </c>
      <c r="E393" s="18"/>
    </row>
    <row r="394" spans="1:7" ht="16.5" thickTop="1" thickBot="1" x14ac:dyDescent="0.3">
      <c r="A394" s="28">
        <v>1.7341463794043288</v>
      </c>
      <c r="B394" s="27">
        <v>0</v>
      </c>
      <c r="C394" s="27">
        <v>15.4</v>
      </c>
      <c r="E394" s="18"/>
    </row>
    <row r="395" spans="1:7" ht="16.5" thickTop="1" thickBot="1" x14ac:dyDescent="0.3">
      <c r="A395" s="28">
        <v>7.8806298904663059</v>
      </c>
      <c r="B395" s="27">
        <v>0</v>
      </c>
      <c r="C395" s="27">
        <v>15.4</v>
      </c>
      <c r="E395" s="18"/>
    </row>
    <row r="396" spans="1:7" ht="16.5" thickTop="1" thickBot="1" x14ac:dyDescent="0.3">
      <c r="A396" s="28">
        <v>3.5144666304476351</v>
      </c>
      <c r="B396" s="27">
        <v>0</v>
      </c>
      <c r="C396" s="27">
        <v>15.4</v>
      </c>
      <c r="E396" s="18"/>
    </row>
    <row r="397" spans="1:7" ht="16.5" thickTop="1" thickBot="1" x14ac:dyDescent="0.3">
      <c r="A397" s="28">
        <v>5.5139136163433431</v>
      </c>
      <c r="B397" s="27">
        <v>0</v>
      </c>
      <c r="C397" s="27">
        <v>15.4</v>
      </c>
      <c r="E397" s="18"/>
    </row>
    <row r="398" spans="1:7" ht="16.5" thickTop="1" thickBot="1" x14ac:dyDescent="0.3">
      <c r="A398" s="28">
        <v>1.1671883496066773</v>
      </c>
      <c r="B398" s="27">
        <v>0</v>
      </c>
      <c r="C398" s="27">
        <v>15.4</v>
      </c>
      <c r="E398" s="18"/>
    </row>
    <row r="399" spans="1:7" ht="16.5" thickTop="1" thickBot="1" x14ac:dyDescent="0.3">
      <c r="A399" s="28">
        <v>10.682964477336599</v>
      </c>
      <c r="B399" s="27">
        <v>0</v>
      </c>
      <c r="C399" s="27">
        <v>15.4</v>
      </c>
      <c r="D399" s="20"/>
      <c r="E399" s="19"/>
      <c r="F399" s="20"/>
      <c r="G399" s="20"/>
    </row>
    <row r="400" spans="1:7" ht="16.5" thickTop="1" thickBot="1" x14ac:dyDescent="0.3">
      <c r="A400" s="28">
        <v>3.2899714093889045</v>
      </c>
      <c r="B400" s="27">
        <v>0</v>
      </c>
      <c r="C400" s="27">
        <v>15.4</v>
      </c>
      <c r="E400" s="18"/>
    </row>
    <row r="401" spans="1:5" ht="16.5" thickTop="1" thickBot="1" x14ac:dyDescent="0.3">
      <c r="A401" s="28">
        <v>1.9255826649237187</v>
      </c>
      <c r="B401" s="27">
        <v>0</v>
      </c>
      <c r="C401" s="27">
        <v>15.4</v>
      </c>
      <c r="E401" s="18"/>
    </row>
    <row r="402" spans="1:5" ht="16.5" thickTop="1" thickBot="1" x14ac:dyDescent="0.3">
      <c r="A402" s="28">
        <v>1.0257222338896568</v>
      </c>
      <c r="B402" s="27">
        <v>0</v>
      </c>
      <c r="C402" s="27">
        <v>15.4</v>
      </c>
      <c r="E402" s="18"/>
    </row>
    <row r="403" spans="1:5" ht="16.5" thickTop="1" thickBot="1" x14ac:dyDescent="0.3">
      <c r="A403" s="28">
        <v>10.209855207209021</v>
      </c>
      <c r="B403" s="27">
        <v>0</v>
      </c>
      <c r="C403" s="27">
        <v>15.4</v>
      </c>
      <c r="E403" s="18"/>
    </row>
    <row r="404" spans="1:5" ht="16.5" thickTop="1" thickBot="1" x14ac:dyDescent="0.3">
      <c r="A404" s="28">
        <v>6.9370485591869127</v>
      </c>
      <c r="B404" s="27">
        <v>0</v>
      </c>
      <c r="C404" s="27">
        <v>15.4</v>
      </c>
      <c r="E404" s="18"/>
    </row>
    <row r="405" spans="1:5" ht="16.5" thickTop="1" thickBot="1" x14ac:dyDescent="0.3">
      <c r="A405" s="28">
        <v>5.3086215163685564</v>
      </c>
      <c r="B405" s="27">
        <v>0</v>
      </c>
      <c r="C405" s="27">
        <v>15.4</v>
      </c>
      <c r="E405" s="18"/>
    </row>
    <row r="406" spans="1:5" ht="16.5" thickTop="1" thickBot="1" x14ac:dyDescent="0.3">
      <c r="A406" s="28">
        <v>0.76048206327709345</v>
      </c>
      <c r="B406" s="27">
        <v>0</v>
      </c>
      <c r="C406" s="27">
        <v>15.4</v>
      </c>
      <c r="E406" s="18"/>
    </row>
    <row r="407" spans="1:5" ht="16.5" thickTop="1" thickBot="1" x14ac:dyDescent="0.3">
      <c r="A407" s="28">
        <v>7.7690497396803373</v>
      </c>
      <c r="B407" s="27">
        <v>0</v>
      </c>
      <c r="C407" s="27">
        <v>15.4</v>
      </c>
      <c r="E407" s="18"/>
    </row>
    <row r="408" spans="1:5" ht="16.5" thickTop="1" thickBot="1" x14ac:dyDescent="0.3">
      <c r="A408" s="28">
        <v>6.6037911534498335</v>
      </c>
      <c r="B408" s="27">
        <v>0</v>
      </c>
      <c r="C408" s="27">
        <v>15.4</v>
      </c>
      <c r="E408" s="18"/>
    </row>
    <row r="409" spans="1:5" ht="16.5" thickTop="1" thickBot="1" x14ac:dyDescent="0.3">
      <c r="A409" s="28">
        <v>3.2067043703782319</v>
      </c>
      <c r="B409" s="27">
        <v>0</v>
      </c>
      <c r="C409" s="27">
        <v>15.4</v>
      </c>
      <c r="E409" s="18"/>
    </row>
    <row r="410" spans="1:5" ht="16.5" thickTop="1" thickBot="1" x14ac:dyDescent="0.3">
      <c r="A410" s="28">
        <v>3.6395550555766554</v>
      </c>
      <c r="B410" s="27">
        <v>0</v>
      </c>
      <c r="C410" s="27">
        <v>15.4</v>
      </c>
      <c r="E410" s="18"/>
    </row>
    <row r="411" spans="1:5" ht="16.5" thickTop="1" thickBot="1" x14ac:dyDescent="0.3">
      <c r="A411" s="28">
        <v>9.9792019032636343</v>
      </c>
      <c r="B411" s="27">
        <v>0</v>
      </c>
      <c r="C411" s="27">
        <v>19.3</v>
      </c>
      <c r="E411" s="18"/>
    </row>
    <row r="412" spans="1:5" ht="16.5" thickTop="1" thickBot="1" x14ac:dyDescent="0.3">
      <c r="A412" s="28">
        <v>5.4584759805284344</v>
      </c>
      <c r="B412" s="27">
        <v>0</v>
      </c>
      <c r="C412" s="27">
        <v>19.3</v>
      </c>
      <c r="E412" s="18"/>
    </row>
    <row r="413" spans="1:5" ht="16.5" thickTop="1" thickBot="1" x14ac:dyDescent="0.3">
      <c r="A413" s="28">
        <v>5.3131646899125604</v>
      </c>
      <c r="B413" s="27">
        <v>0</v>
      </c>
      <c r="C413" s="27">
        <v>19.3</v>
      </c>
      <c r="E413" s="18"/>
    </row>
    <row r="414" spans="1:5" ht="16.5" thickTop="1" thickBot="1" x14ac:dyDescent="0.3">
      <c r="A414" s="28">
        <v>6.9477864084261194</v>
      </c>
      <c r="B414" s="27">
        <v>0</v>
      </c>
      <c r="C414" s="27">
        <v>19.3</v>
      </c>
      <c r="E414" s="18"/>
    </row>
    <row r="415" spans="1:5" ht="16.5" thickTop="1" thickBot="1" x14ac:dyDescent="0.3">
      <c r="A415" s="28">
        <v>1.4689748357376442</v>
      </c>
      <c r="B415" s="27">
        <v>0</v>
      </c>
      <c r="C415" s="27">
        <v>19.3</v>
      </c>
      <c r="E415" s="18"/>
    </row>
    <row r="416" spans="1:5" ht="16.5" thickTop="1" thickBot="1" x14ac:dyDescent="0.3">
      <c r="A416" s="28">
        <v>4.0414025153091391</v>
      </c>
      <c r="B416" s="27">
        <v>0</v>
      </c>
      <c r="C416" s="27">
        <v>19.3</v>
      </c>
      <c r="E416" s="18"/>
    </row>
    <row r="417" spans="1:5" ht="16.5" thickTop="1" thickBot="1" x14ac:dyDescent="0.3">
      <c r="A417" s="28">
        <v>8.2952657958907814</v>
      </c>
      <c r="B417" s="27">
        <v>0</v>
      </c>
      <c r="C417" s="27">
        <v>19.3</v>
      </c>
      <c r="E417" s="18"/>
    </row>
    <row r="418" spans="1:5" ht="16.5" thickTop="1" thickBot="1" x14ac:dyDescent="0.3">
      <c r="A418" s="28">
        <v>4.6291510329312029</v>
      </c>
      <c r="B418" s="27">
        <v>0</v>
      </c>
      <c r="C418" s="27">
        <v>19.3</v>
      </c>
      <c r="E418" s="18"/>
    </row>
    <row r="419" spans="1:5" ht="16.5" thickTop="1" thickBot="1" x14ac:dyDescent="0.3">
      <c r="A419" s="28">
        <v>8.5457794495937627</v>
      </c>
      <c r="B419" s="27">
        <v>0</v>
      </c>
      <c r="C419" s="27">
        <v>19.3</v>
      </c>
      <c r="E419" s="18"/>
    </row>
    <row r="420" spans="1:5" ht="16.5" thickTop="1" thickBot="1" x14ac:dyDescent="0.3">
      <c r="A420" s="28">
        <v>6.8491755346056786</v>
      </c>
      <c r="B420" s="27">
        <v>0</v>
      </c>
      <c r="C420" s="27">
        <v>19.3</v>
      </c>
      <c r="E420" s="18"/>
    </row>
    <row r="421" spans="1:5" ht="16.5" thickTop="1" thickBot="1" x14ac:dyDescent="0.3">
      <c r="A421" s="28">
        <v>5.4066785835984978</v>
      </c>
      <c r="B421" s="27">
        <v>0</v>
      </c>
      <c r="C421" s="27">
        <v>19.3</v>
      </c>
      <c r="E421" s="18"/>
    </row>
    <row r="422" spans="1:5" ht="16.5" thickTop="1" thickBot="1" x14ac:dyDescent="0.3">
      <c r="A422" s="28">
        <v>0.53747831195545903</v>
      </c>
      <c r="B422" s="27">
        <v>0</v>
      </c>
      <c r="C422" s="27">
        <v>19.3</v>
      </c>
      <c r="E422" s="18"/>
    </row>
    <row r="423" spans="1:5" ht="16.5" thickTop="1" thickBot="1" x14ac:dyDescent="0.3">
      <c r="A423" s="28">
        <v>0.21235198961832635</v>
      </c>
      <c r="B423" s="27">
        <v>0</v>
      </c>
      <c r="C423" s="27">
        <v>19.3</v>
      </c>
      <c r="E423" s="18"/>
    </row>
    <row r="424" spans="1:5" ht="16.5" thickTop="1" thickBot="1" x14ac:dyDescent="0.3">
      <c r="A424" s="28">
        <v>3.0095801001313975</v>
      </c>
      <c r="B424" s="27">
        <v>0</v>
      </c>
      <c r="C424" s="27">
        <v>19.3</v>
      </c>
      <c r="E424" s="18"/>
    </row>
    <row r="425" spans="1:5" ht="16.5" thickTop="1" thickBot="1" x14ac:dyDescent="0.3">
      <c r="A425" s="28">
        <v>7.9694054571400015</v>
      </c>
      <c r="B425" s="27">
        <v>0</v>
      </c>
      <c r="C425" s="27">
        <v>19.3</v>
      </c>
      <c r="E425" s="18"/>
    </row>
    <row r="426" spans="1:5" ht="16.5" thickTop="1" thickBot="1" x14ac:dyDescent="0.3">
      <c r="A426" s="28">
        <v>1.2363544216614271</v>
      </c>
      <c r="B426" s="27">
        <v>0</v>
      </c>
      <c r="C426" s="27">
        <v>19.3</v>
      </c>
      <c r="E426" s="18"/>
    </row>
    <row r="427" spans="1:5" ht="16.5" thickTop="1" thickBot="1" x14ac:dyDescent="0.3">
      <c r="A427" s="28">
        <v>10.118544148068816</v>
      </c>
      <c r="B427" s="27">
        <v>0</v>
      </c>
      <c r="C427" s="27">
        <v>19.3</v>
      </c>
      <c r="E427" s="18"/>
    </row>
    <row r="428" spans="1:5" ht="16.5" thickTop="1" thickBot="1" x14ac:dyDescent="0.3">
      <c r="A428" s="28">
        <v>3.6931073897796223</v>
      </c>
      <c r="B428" s="27">
        <v>0</v>
      </c>
      <c r="C428" s="27">
        <v>15.7</v>
      </c>
      <c r="E428" s="18"/>
    </row>
    <row r="429" spans="1:5" ht="16.5" thickTop="1" thickBot="1" x14ac:dyDescent="0.3">
      <c r="A429" s="28">
        <v>2.0320583423832379</v>
      </c>
      <c r="B429" s="27">
        <v>0</v>
      </c>
      <c r="C429" s="27">
        <v>15.7</v>
      </c>
      <c r="E429" s="18"/>
    </row>
    <row r="430" spans="1:5" ht="16.5" thickTop="1" thickBot="1" x14ac:dyDescent="0.3">
      <c r="A430" s="28">
        <v>4.3047743678086805</v>
      </c>
      <c r="B430" s="27">
        <v>0</v>
      </c>
      <c r="C430" s="27">
        <v>15.7</v>
      </c>
      <c r="E430" s="18"/>
    </row>
    <row r="431" spans="1:5" ht="16.5" thickTop="1" thickBot="1" x14ac:dyDescent="0.3">
      <c r="A431" s="28">
        <v>9.2844931241146824</v>
      </c>
      <c r="B431" s="27">
        <v>0</v>
      </c>
      <c r="C431" s="27">
        <v>15.7</v>
      </c>
      <c r="E431" s="18"/>
    </row>
    <row r="432" spans="1:5" ht="16.5" thickTop="1" thickBot="1" x14ac:dyDescent="0.3">
      <c r="A432" s="28">
        <v>0.39073865434868216</v>
      </c>
      <c r="B432" s="27">
        <v>0</v>
      </c>
      <c r="C432" s="27">
        <v>15.7</v>
      </c>
      <c r="E432" s="18"/>
    </row>
    <row r="433" spans="1:5" ht="16.5" thickTop="1" thickBot="1" x14ac:dyDescent="0.3">
      <c r="A433" s="28">
        <v>5.6569927707939982</v>
      </c>
      <c r="B433" s="27">
        <v>0</v>
      </c>
      <c r="C433" s="27">
        <v>15.7</v>
      </c>
      <c r="E433" s="18"/>
    </row>
    <row r="434" spans="1:5" ht="16.5" thickTop="1" thickBot="1" x14ac:dyDescent="0.3">
      <c r="A434" s="28">
        <v>4.1968972431493414</v>
      </c>
      <c r="B434" s="27">
        <v>0</v>
      </c>
      <c r="C434" s="27">
        <v>15.7</v>
      </c>
      <c r="E434" s="18"/>
    </row>
    <row r="435" spans="1:5" ht="16.5" thickTop="1" thickBot="1" x14ac:dyDescent="0.3">
      <c r="A435" s="28">
        <v>7.2847925010042935</v>
      </c>
      <c r="B435" s="27">
        <v>0</v>
      </c>
      <c r="C435" s="27">
        <v>15.7</v>
      </c>
      <c r="E435" s="18"/>
    </row>
    <row r="436" spans="1:5" ht="16.5" thickTop="1" thickBot="1" x14ac:dyDescent="0.3">
      <c r="A436" s="28">
        <v>6.911547512556325</v>
      </c>
      <c r="B436" s="27">
        <v>0</v>
      </c>
      <c r="C436" s="27">
        <v>15.7</v>
      </c>
      <c r="E436" s="18"/>
    </row>
    <row r="437" spans="1:5" ht="16.5" thickTop="1" thickBot="1" x14ac:dyDescent="0.3">
      <c r="A437" s="28">
        <v>2.0361564806541952</v>
      </c>
      <c r="B437" s="27">
        <v>0</v>
      </c>
      <c r="C437" s="27">
        <v>15.7</v>
      </c>
      <c r="E437" s="18"/>
    </row>
    <row r="438" spans="1:5" ht="16.5" thickTop="1" thickBot="1" x14ac:dyDescent="0.3">
      <c r="A438" s="28">
        <v>1.2917886327725649</v>
      </c>
      <c r="B438" s="27">
        <v>0</v>
      </c>
      <c r="C438" s="27">
        <v>15.7</v>
      </c>
      <c r="E438" s="18"/>
    </row>
    <row r="439" spans="1:5" ht="16.5" thickTop="1" thickBot="1" x14ac:dyDescent="0.3">
      <c r="A439" s="28">
        <v>9.0995161512485794</v>
      </c>
      <c r="B439" s="27">
        <v>0</v>
      </c>
      <c r="C439" s="27">
        <v>15.7</v>
      </c>
      <c r="E439" s="18"/>
    </row>
    <row r="440" spans="1:5" ht="16.5" thickTop="1" thickBot="1" x14ac:dyDescent="0.3">
      <c r="A440" s="28">
        <v>8.2892139416426813E-2</v>
      </c>
      <c r="B440" s="27">
        <v>0</v>
      </c>
      <c r="C440" s="27">
        <v>15.7</v>
      </c>
      <c r="E440" s="18"/>
    </row>
    <row r="441" spans="1:5" ht="16.5" thickTop="1" thickBot="1" x14ac:dyDescent="0.3">
      <c r="A441" s="28">
        <v>4.9758925302692933</v>
      </c>
      <c r="B441" s="27">
        <v>0</v>
      </c>
      <c r="C441" s="27">
        <v>15.7</v>
      </c>
      <c r="E441" s="18"/>
    </row>
    <row r="442" spans="1:5" ht="16.5" thickTop="1" thickBot="1" x14ac:dyDescent="0.3">
      <c r="A442" s="28">
        <v>5.1684500525522354</v>
      </c>
      <c r="B442" s="27">
        <v>0</v>
      </c>
      <c r="C442" s="27">
        <v>15.7</v>
      </c>
      <c r="E442" s="18"/>
    </row>
    <row r="443" spans="1:5" ht="16.5" thickTop="1" thickBot="1" x14ac:dyDescent="0.3">
      <c r="A443" s="28">
        <v>10.120054795731335</v>
      </c>
      <c r="B443" s="27">
        <v>0</v>
      </c>
      <c r="C443" s="27">
        <v>15.7</v>
      </c>
      <c r="E443" s="18"/>
    </row>
    <row r="444" spans="1:5" ht="16.5" thickTop="1" thickBot="1" x14ac:dyDescent="0.3">
      <c r="A444" s="28">
        <v>5.0930763324266</v>
      </c>
      <c r="B444" s="27">
        <v>0</v>
      </c>
      <c r="C444" s="27">
        <v>15.7</v>
      </c>
      <c r="E444" s="18"/>
    </row>
    <row r="445" spans="1:5" ht="16.5" thickTop="1" thickBot="1" x14ac:dyDescent="0.3">
      <c r="A445" s="28">
        <v>9.6346457822281266</v>
      </c>
      <c r="B445" s="27">
        <v>0</v>
      </c>
      <c r="C445" s="27">
        <v>17.3</v>
      </c>
      <c r="E445" s="18"/>
    </row>
    <row r="446" spans="1:5" ht="16.5" thickTop="1" thickBot="1" x14ac:dyDescent="0.3">
      <c r="A446" s="28">
        <v>6.9511706725304405</v>
      </c>
      <c r="B446" s="27">
        <v>0</v>
      </c>
      <c r="C446" s="27">
        <v>17.3</v>
      </c>
      <c r="E446" s="18"/>
    </row>
    <row r="447" spans="1:5" ht="16.5" thickTop="1" thickBot="1" x14ac:dyDescent="0.3">
      <c r="A447" s="28">
        <v>5.2218255698566587</v>
      </c>
      <c r="B447" s="27">
        <v>0</v>
      </c>
      <c r="C447" s="27">
        <v>17.3</v>
      </c>
      <c r="E447" s="18"/>
    </row>
    <row r="448" spans="1:5" ht="16.5" thickTop="1" thickBot="1" x14ac:dyDescent="0.3">
      <c r="A448" s="28">
        <v>6.8301042216905463</v>
      </c>
      <c r="B448" s="27">
        <v>0</v>
      </c>
      <c r="C448" s="27">
        <v>17.3</v>
      </c>
      <c r="E448" s="18"/>
    </row>
    <row r="449" spans="1:5" ht="16.5" thickTop="1" thickBot="1" x14ac:dyDescent="0.3">
      <c r="A449" s="28">
        <v>4.463134708700542</v>
      </c>
      <c r="B449" s="27">
        <v>0</v>
      </c>
      <c r="C449" s="27">
        <v>17.3</v>
      </c>
      <c r="E449" s="18"/>
    </row>
    <row r="450" spans="1:5" ht="16.5" thickTop="1" thickBot="1" x14ac:dyDescent="0.3">
      <c r="A450" s="28">
        <v>0.30753845361649712</v>
      </c>
      <c r="B450" s="27">
        <v>0</v>
      </c>
      <c r="C450" s="27">
        <v>17.3</v>
      </c>
      <c r="E450" s="18"/>
    </row>
    <row r="451" spans="1:5" ht="16.5" thickTop="1" thickBot="1" x14ac:dyDescent="0.3">
      <c r="A451" s="28">
        <v>7.8890922437939937</v>
      </c>
      <c r="B451" s="27">
        <v>0</v>
      </c>
      <c r="C451" s="27">
        <v>17.3</v>
      </c>
      <c r="E451" s="18"/>
    </row>
    <row r="452" spans="1:5" ht="16.5" thickTop="1" thickBot="1" x14ac:dyDescent="0.3">
      <c r="A452" s="28">
        <v>0.47697123500183447</v>
      </c>
      <c r="B452" s="27">
        <v>0</v>
      </c>
      <c r="C452" s="27">
        <v>17.3</v>
      </c>
      <c r="E452" s="18"/>
    </row>
    <row r="453" spans="1:5" ht="16.5" thickTop="1" thickBot="1" x14ac:dyDescent="0.3">
      <c r="A453" s="28">
        <v>1.5639550616769382</v>
      </c>
      <c r="B453" s="27">
        <v>0</v>
      </c>
      <c r="C453" s="27">
        <v>17.3</v>
      </c>
      <c r="E453" s="18"/>
    </row>
    <row r="454" spans="1:5" ht="16.5" thickTop="1" thickBot="1" x14ac:dyDescent="0.3">
      <c r="A454" s="28">
        <v>4.2138025331277058</v>
      </c>
      <c r="B454" s="27">
        <v>0</v>
      </c>
      <c r="C454" s="27">
        <v>17.3</v>
      </c>
      <c r="E454" s="18"/>
    </row>
    <row r="455" spans="1:5" ht="16.5" thickTop="1" thickBot="1" x14ac:dyDescent="0.3">
      <c r="A455" s="28">
        <v>11.748339539195134</v>
      </c>
      <c r="B455" s="27">
        <v>0</v>
      </c>
      <c r="C455" s="27">
        <v>17.3</v>
      </c>
      <c r="E455" s="18"/>
    </row>
    <row r="456" spans="1:5" ht="16.5" thickTop="1" thickBot="1" x14ac:dyDescent="0.3">
      <c r="A456" s="28">
        <v>0.39100776471960341</v>
      </c>
      <c r="B456" s="27">
        <v>0</v>
      </c>
      <c r="C456" s="27">
        <v>17.3</v>
      </c>
      <c r="E456" s="18"/>
    </row>
    <row r="457" spans="1:5" ht="16.5" thickTop="1" thickBot="1" x14ac:dyDescent="0.3">
      <c r="A457" s="28">
        <v>11.596572601028559</v>
      </c>
      <c r="B457" s="27">
        <v>0</v>
      </c>
      <c r="C457" s="27">
        <v>17.3</v>
      </c>
      <c r="E457" s="18"/>
    </row>
    <row r="458" spans="1:5" ht="16.5" thickTop="1" thickBot="1" x14ac:dyDescent="0.3">
      <c r="A458" s="28">
        <v>1.0460425764059869</v>
      </c>
      <c r="B458" s="27">
        <v>0</v>
      </c>
      <c r="C458" s="27">
        <v>17.3</v>
      </c>
      <c r="E458" s="18"/>
    </row>
    <row r="459" spans="1:5" ht="16.5" thickTop="1" thickBot="1" x14ac:dyDescent="0.3">
      <c r="A459" s="28">
        <v>0.15736221168288989</v>
      </c>
      <c r="B459" s="27">
        <v>0</v>
      </c>
      <c r="C459" s="27">
        <v>17.3</v>
      </c>
      <c r="E459" s="18"/>
    </row>
    <row r="460" spans="1:5" ht="16.5" thickTop="1" thickBot="1" x14ac:dyDescent="0.3">
      <c r="A460" s="28">
        <v>5.3946478947925458</v>
      </c>
      <c r="B460" s="27">
        <v>0</v>
      </c>
      <c r="C460" s="27">
        <v>17.3</v>
      </c>
      <c r="E460" s="18"/>
    </row>
    <row r="461" spans="1:5" ht="16.5" thickTop="1" thickBot="1" x14ac:dyDescent="0.3">
      <c r="A461" s="28">
        <v>7.2318991093565046</v>
      </c>
      <c r="B461" s="27">
        <v>0</v>
      </c>
      <c r="C461" s="27">
        <v>15.5</v>
      </c>
      <c r="E461" s="18"/>
    </row>
    <row r="462" spans="1:5" ht="16.5" thickTop="1" thickBot="1" x14ac:dyDescent="0.3">
      <c r="A462" s="28">
        <v>0.39146470585279225</v>
      </c>
      <c r="B462" s="27">
        <v>0</v>
      </c>
      <c r="C462" s="27">
        <v>15.5</v>
      </c>
      <c r="E462" s="18"/>
    </row>
    <row r="463" spans="1:5" ht="16.5" thickTop="1" thickBot="1" x14ac:dyDescent="0.3">
      <c r="A463" s="28">
        <v>1.1131867383280474</v>
      </c>
      <c r="B463" s="27">
        <v>0</v>
      </c>
      <c r="C463" s="27">
        <v>15.5</v>
      </c>
      <c r="E463" s="18"/>
    </row>
    <row r="464" spans="1:5" ht="16.5" thickTop="1" thickBot="1" x14ac:dyDescent="0.3">
      <c r="A464" s="28">
        <v>6.2285244597106129</v>
      </c>
      <c r="B464" s="27">
        <v>0</v>
      </c>
      <c r="C464" s="27">
        <v>15.5</v>
      </c>
      <c r="E464" s="18"/>
    </row>
    <row r="465" spans="1:5" ht="16.5" thickTop="1" thickBot="1" x14ac:dyDescent="0.3">
      <c r="A465" s="28">
        <v>9.2957514875017893</v>
      </c>
      <c r="B465" s="27">
        <v>0</v>
      </c>
      <c r="C465" s="27">
        <v>15.5</v>
      </c>
      <c r="E465" s="18"/>
    </row>
    <row r="466" spans="1:5" ht="16.5" thickTop="1" thickBot="1" x14ac:dyDescent="0.3">
      <c r="A466" s="28">
        <v>0.19580743939965284</v>
      </c>
      <c r="B466" s="27">
        <v>0</v>
      </c>
      <c r="C466" s="27">
        <v>15.5</v>
      </c>
      <c r="E466" s="18"/>
    </row>
    <row r="467" spans="1:5" ht="16.5" thickTop="1" thickBot="1" x14ac:dyDescent="0.3">
      <c r="A467" s="28">
        <v>5.8243397133946022</v>
      </c>
      <c r="B467" s="27">
        <v>0</v>
      </c>
      <c r="C467" s="27">
        <v>15.5</v>
      </c>
      <c r="E467" s="18"/>
    </row>
    <row r="468" spans="1:5" ht="16.5" thickTop="1" thickBot="1" x14ac:dyDescent="0.3">
      <c r="A468" s="28">
        <v>1.329593763601447</v>
      </c>
      <c r="B468" s="27">
        <v>0</v>
      </c>
      <c r="C468" s="27">
        <v>15.5</v>
      </c>
      <c r="E468" s="18"/>
    </row>
    <row r="469" spans="1:5" ht="16.5" thickTop="1" thickBot="1" x14ac:dyDescent="0.3">
      <c r="A469" s="28">
        <v>10.890528345852836</v>
      </c>
      <c r="B469" s="27">
        <v>0</v>
      </c>
      <c r="C469" s="27">
        <v>15.5</v>
      </c>
      <c r="E469" s="18"/>
    </row>
    <row r="470" spans="1:5" ht="16.5" thickTop="1" thickBot="1" x14ac:dyDescent="0.3">
      <c r="A470" s="28">
        <v>3.3425905517979442</v>
      </c>
      <c r="B470" s="27">
        <v>0</v>
      </c>
      <c r="C470" s="27">
        <v>15.5</v>
      </c>
      <c r="E470" s="18"/>
    </row>
    <row r="471" spans="1:5" ht="16.5" thickTop="1" thickBot="1" x14ac:dyDescent="0.3">
      <c r="A471" s="28">
        <v>6.5338298080822295</v>
      </c>
      <c r="B471" s="27">
        <v>0</v>
      </c>
      <c r="C471" s="27">
        <v>15.5</v>
      </c>
      <c r="E471" s="18"/>
    </row>
    <row r="472" spans="1:5" ht="16.5" thickTop="1" thickBot="1" x14ac:dyDescent="0.3">
      <c r="A472" s="28">
        <v>2.8883221590140336</v>
      </c>
      <c r="B472" s="27">
        <v>0</v>
      </c>
      <c r="C472" s="27">
        <v>15.5</v>
      </c>
      <c r="E472" s="18"/>
    </row>
    <row r="473" spans="1:5" ht="16.5" thickTop="1" thickBot="1" x14ac:dyDescent="0.3">
      <c r="A473" s="28">
        <v>9.5295492648398135</v>
      </c>
      <c r="B473" s="27">
        <v>0</v>
      </c>
      <c r="C473" s="27">
        <v>15.5</v>
      </c>
      <c r="E473" s="18"/>
    </row>
    <row r="474" spans="1:5" ht="16.5" thickTop="1" thickBot="1" x14ac:dyDescent="0.3">
      <c r="A474" s="28">
        <v>1.9252048706862241</v>
      </c>
      <c r="B474" s="27">
        <v>0</v>
      </c>
      <c r="C474" s="27">
        <v>15.5</v>
      </c>
      <c r="E474" s="18"/>
    </row>
    <row r="475" spans="1:5" ht="16.5" thickTop="1" thickBot="1" x14ac:dyDescent="0.3">
      <c r="A475" s="28">
        <v>3.5493072733449491</v>
      </c>
      <c r="B475" s="27">
        <v>0</v>
      </c>
      <c r="C475" s="27">
        <v>15.5</v>
      </c>
      <c r="E475" s="18"/>
    </row>
    <row r="476" spans="1:5" ht="16.5" thickTop="1" thickBot="1" x14ac:dyDescent="0.3">
      <c r="A476" s="28">
        <v>2.5449488309297932</v>
      </c>
      <c r="B476" s="27">
        <v>0</v>
      </c>
      <c r="C476" s="27">
        <v>15.5</v>
      </c>
      <c r="E476" s="18"/>
    </row>
    <row r="477" spans="1:5" ht="16.5" thickTop="1" thickBot="1" x14ac:dyDescent="0.3">
      <c r="A477" s="28">
        <v>2.0708520733743523</v>
      </c>
      <c r="B477" s="27">
        <v>0</v>
      </c>
      <c r="C477" s="27">
        <v>24.1</v>
      </c>
      <c r="E477" s="18"/>
    </row>
    <row r="478" spans="1:5" ht="16.5" thickTop="1" thickBot="1" x14ac:dyDescent="0.3">
      <c r="A478" s="28">
        <v>4.063761670722168</v>
      </c>
      <c r="B478" s="27">
        <v>0</v>
      </c>
      <c r="C478" s="27">
        <v>24.1</v>
      </c>
      <c r="E478" s="18"/>
    </row>
    <row r="479" spans="1:5" ht="16.5" thickTop="1" thickBot="1" x14ac:dyDescent="0.3">
      <c r="A479" s="28">
        <v>3.2760495159298513</v>
      </c>
      <c r="B479" s="27">
        <v>0</v>
      </c>
      <c r="C479" s="27">
        <v>24.1</v>
      </c>
      <c r="E479" s="18"/>
    </row>
    <row r="480" spans="1:5" ht="16.5" thickTop="1" thickBot="1" x14ac:dyDescent="0.3">
      <c r="A480" s="28">
        <v>3.4784128089994257</v>
      </c>
      <c r="B480" s="27">
        <v>0</v>
      </c>
      <c r="C480" s="27">
        <v>24.1</v>
      </c>
      <c r="E480" s="18"/>
    </row>
    <row r="481" spans="1:5" ht="16.5" thickTop="1" thickBot="1" x14ac:dyDescent="0.3">
      <c r="A481" s="28">
        <v>3.7550858473152853</v>
      </c>
      <c r="B481" s="27">
        <v>0</v>
      </c>
      <c r="C481" s="27">
        <v>24.1</v>
      </c>
      <c r="E481" s="18"/>
    </row>
    <row r="482" spans="1:5" ht="16.5" thickTop="1" thickBot="1" x14ac:dyDescent="0.3">
      <c r="A482" s="28">
        <v>6.6902002737628097</v>
      </c>
      <c r="B482" s="27">
        <v>0</v>
      </c>
      <c r="C482" s="27">
        <v>24.1</v>
      </c>
      <c r="E482" s="18"/>
    </row>
    <row r="483" spans="1:5" ht="16.5" thickTop="1" thickBot="1" x14ac:dyDescent="0.3">
      <c r="A483" s="28">
        <v>6.821977466027251</v>
      </c>
      <c r="B483" s="27">
        <v>0</v>
      </c>
      <c r="C483" s="27">
        <v>24.1</v>
      </c>
      <c r="E483" s="18"/>
    </row>
    <row r="484" spans="1:5" ht="16.5" thickTop="1" thickBot="1" x14ac:dyDescent="0.3">
      <c r="A484" s="28">
        <v>6.4002109996790519</v>
      </c>
      <c r="B484" s="27">
        <v>0</v>
      </c>
      <c r="C484" s="27">
        <v>24.1</v>
      </c>
      <c r="E484" s="18"/>
    </row>
    <row r="485" spans="1:5" ht="16.5" thickTop="1" thickBot="1" x14ac:dyDescent="0.3">
      <c r="A485" s="28">
        <v>10.269939882418072</v>
      </c>
      <c r="B485" s="27">
        <v>0</v>
      </c>
      <c r="C485" s="27">
        <v>24.1</v>
      </c>
      <c r="E485" s="18"/>
    </row>
    <row r="486" spans="1:5" ht="16.5" thickTop="1" thickBot="1" x14ac:dyDescent="0.3">
      <c r="A486" s="28">
        <v>0.21164910905183909</v>
      </c>
      <c r="B486" s="27">
        <v>0</v>
      </c>
      <c r="C486" s="27">
        <v>24.1</v>
      </c>
      <c r="E486" s="18"/>
    </row>
    <row r="487" spans="1:5" ht="16.5" thickTop="1" thickBot="1" x14ac:dyDescent="0.3">
      <c r="A487" s="28">
        <v>11.085671180707779</v>
      </c>
      <c r="B487" s="27">
        <v>0</v>
      </c>
      <c r="C487" s="27">
        <v>24.1</v>
      </c>
      <c r="E487" s="18"/>
    </row>
    <row r="488" spans="1:5" ht="16.5" thickTop="1" thickBot="1" x14ac:dyDescent="0.3">
      <c r="A488" s="28">
        <v>1.551360848343037</v>
      </c>
      <c r="B488" s="27">
        <v>0</v>
      </c>
      <c r="C488" s="27">
        <v>24.1</v>
      </c>
      <c r="E488" s="18"/>
    </row>
    <row r="489" spans="1:5" ht="16.5" thickTop="1" thickBot="1" x14ac:dyDescent="0.3">
      <c r="A489" s="28">
        <v>10.647707472077597</v>
      </c>
      <c r="B489" s="27">
        <v>0</v>
      </c>
      <c r="C489" s="27">
        <v>24.1</v>
      </c>
      <c r="E489" s="18"/>
    </row>
    <row r="490" spans="1:5" ht="16.5" thickTop="1" thickBot="1" x14ac:dyDescent="0.3">
      <c r="A490" s="28">
        <v>5.6163294900901368</v>
      </c>
      <c r="B490" s="27">
        <v>0</v>
      </c>
      <c r="C490" s="27">
        <v>24.1</v>
      </c>
      <c r="E490" s="18"/>
    </row>
    <row r="491" spans="1:5" ht="16.5" thickTop="1" thickBot="1" x14ac:dyDescent="0.3">
      <c r="A491" s="28">
        <v>5.2300717043716034</v>
      </c>
      <c r="B491" s="27">
        <v>0</v>
      </c>
      <c r="C491" s="27">
        <v>24.1</v>
      </c>
      <c r="E491" s="18"/>
    </row>
    <row r="492" spans="1:5" ht="16.5" thickTop="1" thickBot="1" x14ac:dyDescent="0.3">
      <c r="A492" s="28">
        <v>6.0379154826742791</v>
      </c>
      <c r="B492" s="27">
        <v>0</v>
      </c>
      <c r="C492" s="27">
        <v>24.1</v>
      </c>
      <c r="E492" s="18"/>
    </row>
    <row r="493" spans="1:5" ht="16.5" thickTop="1" thickBot="1" x14ac:dyDescent="0.3">
      <c r="A493" s="28">
        <v>8.2164188256832311</v>
      </c>
      <c r="B493" s="27">
        <v>0</v>
      </c>
      <c r="C493" s="27">
        <v>24.1</v>
      </c>
      <c r="E493" s="18"/>
    </row>
    <row r="494" spans="1:5" ht="16.5" thickTop="1" thickBot="1" x14ac:dyDescent="0.3">
      <c r="A494" s="28">
        <v>1.5233601998986928</v>
      </c>
      <c r="B494" s="27">
        <v>0</v>
      </c>
      <c r="C494" s="27">
        <v>8.9</v>
      </c>
      <c r="E494" s="18"/>
    </row>
    <row r="495" spans="1:5" ht="16.5" thickTop="1" thickBot="1" x14ac:dyDescent="0.3">
      <c r="A495" s="28">
        <v>4.3511288998383151</v>
      </c>
      <c r="B495" s="27">
        <v>0</v>
      </c>
      <c r="C495" s="27">
        <v>8.9</v>
      </c>
      <c r="E495" s="18"/>
    </row>
    <row r="496" spans="1:5" ht="16.5" thickTop="1" thickBot="1" x14ac:dyDescent="0.3">
      <c r="A496" s="28">
        <v>5.8241729570817258</v>
      </c>
      <c r="B496" s="27">
        <v>0</v>
      </c>
      <c r="C496" s="27">
        <v>8.9</v>
      </c>
      <c r="E496" s="18"/>
    </row>
    <row r="497" spans="1:5" ht="16.5" thickTop="1" thickBot="1" x14ac:dyDescent="0.3">
      <c r="A497" s="28">
        <v>9.6276926854456697</v>
      </c>
      <c r="B497" s="27">
        <v>0</v>
      </c>
      <c r="C497" s="27">
        <v>8.9</v>
      </c>
      <c r="E497" s="18"/>
    </row>
    <row r="498" spans="1:5" ht="16.5" thickTop="1" thickBot="1" x14ac:dyDescent="0.3">
      <c r="A498" s="28">
        <v>1.5895765480219968</v>
      </c>
      <c r="B498" s="27">
        <v>0</v>
      </c>
      <c r="C498" s="27">
        <v>8.9</v>
      </c>
      <c r="E498" s="18"/>
    </row>
    <row r="499" spans="1:5" ht="16.5" thickTop="1" thickBot="1" x14ac:dyDescent="0.3">
      <c r="A499" s="28">
        <v>5.8393183696494253</v>
      </c>
      <c r="B499" s="27">
        <v>0</v>
      </c>
      <c r="C499" s="27">
        <v>8.9</v>
      </c>
      <c r="E499" s="18"/>
    </row>
    <row r="500" spans="1:5" ht="16.5" thickTop="1" thickBot="1" x14ac:dyDescent="0.3">
      <c r="A500" s="28">
        <v>5.1852721024324913</v>
      </c>
      <c r="B500" s="27">
        <v>0</v>
      </c>
      <c r="C500" s="27">
        <v>8.9</v>
      </c>
      <c r="E500" s="18"/>
    </row>
    <row r="501" spans="1:5" ht="16.5" thickTop="1" thickBot="1" x14ac:dyDescent="0.3">
      <c r="A501" s="28">
        <v>3.6388698583105032</v>
      </c>
      <c r="B501" s="27">
        <v>0</v>
      </c>
      <c r="C501" s="27">
        <v>8.9</v>
      </c>
      <c r="E501" s="18"/>
    </row>
    <row r="502" spans="1:5" ht="16.5" thickTop="1" thickBot="1" x14ac:dyDescent="0.3">
      <c r="A502" s="28">
        <v>5.106452645602662</v>
      </c>
      <c r="B502" s="27">
        <v>0</v>
      </c>
      <c r="C502" s="27">
        <v>8.9</v>
      </c>
      <c r="E502" s="18"/>
    </row>
    <row r="503" spans="1:5" ht="16.5" thickTop="1" thickBot="1" x14ac:dyDescent="0.3">
      <c r="A503" s="28">
        <v>2.8270248786012409</v>
      </c>
      <c r="B503" s="27">
        <v>0</v>
      </c>
      <c r="C503" s="27">
        <v>8.9</v>
      </c>
      <c r="E503" s="18"/>
    </row>
    <row r="504" spans="1:5" ht="16.5" thickTop="1" thickBot="1" x14ac:dyDescent="0.3">
      <c r="A504" s="28">
        <v>1.7030027958818765</v>
      </c>
      <c r="B504" s="27">
        <v>0</v>
      </c>
      <c r="C504" s="27">
        <v>8.9</v>
      </c>
      <c r="E504" s="18"/>
    </row>
    <row r="505" spans="1:5" ht="16.5" thickTop="1" thickBot="1" x14ac:dyDescent="0.3">
      <c r="A505" s="28">
        <v>5.2067084822190992</v>
      </c>
      <c r="B505" s="27">
        <v>0</v>
      </c>
      <c r="C505" s="27">
        <v>8.9</v>
      </c>
      <c r="E505" s="18"/>
    </row>
    <row r="506" spans="1:5" ht="16.5" thickTop="1" thickBot="1" x14ac:dyDescent="0.3">
      <c r="A506" s="28">
        <v>1.6228386035308398</v>
      </c>
      <c r="B506" s="27">
        <v>0</v>
      </c>
      <c r="C506" s="27">
        <v>8.9</v>
      </c>
      <c r="E506" s="18"/>
    </row>
    <row r="507" spans="1:5" ht="16.5" thickTop="1" thickBot="1" x14ac:dyDescent="0.3">
      <c r="A507" s="28">
        <v>2.6210078734423492</v>
      </c>
      <c r="B507" s="27">
        <v>0</v>
      </c>
      <c r="C507" s="27">
        <v>8.9</v>
      </c>
      <c r="E507" s="18"/>
    </row>
    <row r="508" spans="1:5" ht="16.5" thickTop="1" thickBot="1" x14ac:dyDescent="0.3">
      <c r="A508" s="28">
        <v>4.492871099706047</v>
      </c>
      <c r="B508" s="27">
        <v>0</v>
      </c>
      <c r="C508" s="27">
        <v>8.9</v>
      </c>
      <c r="E508" s="18"/>
    </row>
    <row r="509" spans="1:5" ht="16.5" thickTop="1" thickBot="1" x14ac:dyDescent="0.3">
      <c r="A509" s="28">
        <v>7.2246801914227019</v>
      </c>
      <c r="B509" s="27">
        <v>0</v>
      </c>
      <c r="C509" s="27">
        <v>8.9</v>
      </c>
      <c r="E509" s="18"/>
    </row>
    <row r="510" spans="1:5" ht="16.5" thickTop="1" thickBot="1" x14ac:dyDescent="0.3">
      <c r="A510" s="28">
        <v>4.287511453029218</v>
      </c>
      <c r="B510" s="27">
        <v>0</v>
      </c>
      <c r="C510" s="27">
        <v>11.3</v>
      </c>
      <c r="E510" s="18"/>
    </row>
    <row r="511" spans="1:5" ht="16.5" thickTop="1" thickBot="1" x14ac:dyDescent="0.3">
      <c r="A511" s="28">
        <v>0.44153781794057512</v>
      </c>
      <c r="B511" s="27">
        <v>0</v>
      </c>
      <c r="C511" s="27">
        <v>11.3</v>
      </c>
      <c r="E511" s="18"/>
    </row>
    <row r="512" spans="1:5" ht="16.5" thickTop="1" thickBot="1" x14ac:dyDescent="0.3">
      <c r="A512" s="28">
        <v>1.0415908808536116</v>
      </c>
      <c r="B512" s="27">
        <v>0</v>
      </c>
      <c r="C512" s="27">
        <v>11.3</v>
      </c>
      <c r="E512" s="18"/>
    </row>
    <row r="513" spans="1:5" ht="16.5" thickTop="1" thickBot="1" x14ac:dyDescent="0.3">
      <c r="A513" s="28">
        <v>6.7696410973711574</v>
      </c>
      <c r="B513" s="27">
        <v>0</v>
      </c>
      <c r="C513" s="27">
        <v>11.3</v>
      </c>
      <c r="E513" s="18"/>
    </row>
    <row r="514" spans="1:5" ht="16.5" thickTop="1" thickBot="1" x14ac:dyDescent="0.3">
      <c r="A514" s="28">
        <v>6.8425339837413661</v>
      </c>
      <c r="B514" s="27">
        <v>0</v>
      </c>
      <c r="C514" s="27">
        <v>11.3</v>
      </c>
      <c r="E514" s="18"/>
    </row>
    <row r="515" spans="1:5" ht="16.5" thickTop="1" thickBot="1" x14ac:dyDescent="0.3">
      <c r="A515" s="28">
        <v>11.816393995336744</v>
      </c>
      <c r="B515" s="27">
        <v>0</v>
      </c>
      <c r="C515" s="27">
        <v>11.3</v>
      </c>
      <c r="E515" s="18"/>
    </row>
    <row r="516" spans="1:5" ht="16.5" thickTop="1" thickBot="1" x14ac:dyDescent="0.3">
      <c r="A516" s="28">
        <v>2.6494262687642589</v>
      </c>
      <c r="B516" s="27">
        <v>0</v>
      </c>
      <c r="C516" s="27">
        <v>11.3</v>
      </c>
      <c r="E516" s="18"/>
    </row>
    <row r="517" spans="1:5" ht="16.5" thickTop="1" thickBot="1" x14ac:dyDescent="0.3">
      <c r="A517" s="28">
        <v>3.8713957156990939</v>
      </c>
      <c r="B517" s="27">
        <v>0</v>
      </c>
      <c r="C517" s="27">
        <v>11.3</v>
      </c>
      <c r="E517" s="18"/>
    </row>
    <row r="518" spans="1:5" ht="16.5" thickTop="1" thickBot="1" x14ac:dyDescent="0.3">
      <c r="A518" s="28">
        <v>1.63745489694024</v>
      </c>
      <c r="B518" s="27">
        <v>0</v>
      </c>
      <c r="C518" s="27">
        <v>11.3</v>
      </c>
      <c r="E518" s="18"/>
    </row>
    <row r="519" spans="1:5" ht="16.5" thickTop="1" thickBot="1" x14ac:dyDescent="0.3">
      <c r="A519" s="28">
        <v>4.8832273983331316</v>
      </c>
      <c r="B519" s="27">
        <v>0</v>
      </c>
      <c r="C519" s="27">
        <v>11.3</v>
      </c>
      <c r="E519" s="18"/>
    </row>
    <row r="520" spans="1:5" ht="16.5" thickTop="1" thickBot="1" x14ac:dyDescent="0.3">
      <c r="A520" s="28">
        <v>0.54084053094044016</v>
      </c>
      <c r="B520" s="27">
        <v>0</v>
      </c>
      <c r="C520" s="27">
        <v>11.3</v>
      </c>
      <c r="E520" s="18"/>
    </row>
    <row r="521" spans="1:5" ht="16.5" thickTop="1" thickBot="1" x14ac:dyDescent="0.3">
      <c r="A521" s="28">
        <v>7.1745807397928134</v>
      </c>
      <c r="B521" s="27">
        <v>0</v>
      </c>
      <c r="C521" s="27">
        <v>11.3</v>
      </c>
      <c r="E521" s="18"/>
    </row>
    <row r="522" spans="1:5" ht="16.5" thickTop="1" thickBot="1" x14ac:dyDescent="0.3">
      <c r="A522" s="28">
        <v>6.1539216767386389</v>
      </c>
      <c r="B522" s="27">
        <v>0</v>
      </c>
      <c r="C522" s="27">
        <v>11.3</v>
      </c>
      <c r="E522" s="18"/>
    </row>
    <row r="523" spans="1:5" ht="16.5" thickTop="1" thickBot="1" x14ac:dyDescent="0.3">
      <c r="A523" s="28">
        <v>9.6993318601275753</v>
      </c>
      <c r="B523" s="27">
        <v>0</v>
      </c>
      <c r="C523" s="27">
        <v>11.3</v>
      </c>
      <c r="E523" s="18"/>
    </row>
    <row r="524" spans="1:5" ht="16.5" thickTop="1" thickBot="1" x14ac:dyDescent="0.3">
      <c r="A524" s="28">
        <v>6.0077232616568779</v>
      </c>
      <c r="B524" s="27">
        <v>0</v>
      </c>
      <c r="C524" s="27">
        <v>11.3</v>
      </c>
      <c r="E524" s="18"/>
    </row>
    <row r="525" spans="1:5" ht="16.5" thickTop="1" thickBot="1" x14ac:dyDescent="0.3">
      <c r="A525" s="28">
        <v>2.4469420210956034</v>
      </c>
      <c r="B525" s="27">
        <v>0</v>
      </c>
      <c r="C525" s="27">
        <v>11.3</v>
      </c>
      <c r="E525" s="18"/>
    </row>
    <row r="526" spans="1:5" ht="16.5" thickTop="1" thickBot="1" x14ac:dyDescent="0.3">
      <c r="A526" s="28">
        <v>6.7429412096459007</v>
      </c>
      <c r="B526" s="27">
        <v>0</v>
      </c>
      <c r="C526" s="27">
        <v>20.8</v>
      </c>
      <c r="E526" s="18"/>
    </row>
    <row r="527" spans="1:5" ht="16.5" thickTop="1" thickBot="1" x14ac:dyDescent="0.3">
      <c r="A527" s="28">
        <v>3.9246488352438229</v>
      </c>
      <c r="B527" s="27">
        <v>0</v>
      </c>
      <c r="C527" s="27">
        <v>20.8</v>
      </c>
      <c r="E527" s="18"/>
    </row>
    <row r="528" spans="1:5" ht="16.5" thickTop="1" thickBot="1" x14ac:dyDescent="0.3">
      <c r="A528" s="28">
        <v>0.34316542355671042</v>
      </c>
      <c r="B528" s="27">
        <v>0</v>
      </c>
      <c r="C528" s="27">
        <v>20.8</v>
      </c>
      <c r="E528" s="18"/>
    </row>
    <row r="529" spans="1:5" ht="16.5" thickTop="1" thickBot="1" x14ac:dyDescent="0.3">
      <c r="A529" s="28">
        <v>6.7517330509316889</v>
      </c>
      <c r="B529" s="27">
        <v>0</v>
      </c>
      <c r="C529" s="27">
        <v>20.8</v>
      </c>
      <c r="E529" s="18"/>
    </row>
    <row r="530" spans="1:5" ht="16.5" thickTop="1" thickBot="1" x14ac:dyDescent="0.3">
      <c r="A530" s="28">
        <v>0.73837698542711949</v>
      </c>
      <c r="B530" s="27">
        <v>0</v>
      </c>
      <c r="C530" s="27">
        <v>20.8</v>
      </c>
      <c r="E530" s="18"/>
    </row>
    <row r="531" spans="1:5" ht="16.5" thickTop="1" thickBot="1" x14ac:dyDescent="0.3">
      <c r="A531" s="28">
        <v>11.935644998181875</v>
      </c>
      <c r="B531" s="27">
        <v>0</v>
      </c>
      <c r="C531" s="27">
        <v>20.8</v>
      </c>
      <c r="E531" s="18"/>
    </row>
    <row r="532" spans="1:5" ht="16.5" thickTop="1" thickBot="1" x14ac:dyDescent="0.3">
      <c r="A532" s="28">
        <v>3.8221040773766672</v>
      </c>
      <c r="B532" s="27">
        <v>0</v>
      </c>
      <c r="C532" s="27">
        <v>20.8</v>
      </c>
      <c r="E532" s="18"/>
    </row>
    <row r="533" spans="1:5" ht="16.5" thickTop="1" thickBot="1" x14ac:dyDescent="0.3">
      <c r="A533" s="28">
        <v>9.1064852752254044</v>
      </c>
      <c r="B533" s="27">
        <v>0</v>
      </c>
      <c r="C533" s="27">
        <v>20.8</v>
      </c>
      <c r="E533" s="18"/>
    </row>
    <row r="534" spans="1:5" ht="16.5" thickTop="1" thickBot="1" x14ac:dyDescent="0.3">
      <c r="A534" s="28">
        <v>2.785306756134017</v>
      </c>
      <c r="B534" s="27">
        <v>0</v>
      </c>
      <c r="C534" s="27">
        <v>20.8</v>
      </c>
      <c r="E534" s="18"/>
    </row>
    <row r="535" spans="1:5" ht="16.5" thickTop="1" thickBot="1" x14ac:dyDescent="0.3">
      <c r="A535" s="28">
        <v>8.1137385571745106</v>
      </c>
      <c r="B535" s="27">
        <v>0</v>
      </c>
      <c r="C535" s="27">
        <v>20.8</v>
      </c>
      <c r="E535" s="18"/>
    </row>
    <row r="536" spans="1:5" ht="16.5" thickTop="1" thickBot="1" x14ac:dyDescent="0.3">
      <c r="A536" s="28">
        <v>0.54347779342944336</v>
      </c>
      <c r="B536" s="27">
        <v>0</v>
      </c>
      <c r="C536" s="27">
        <v>20.8</v>
      </c>
      <c r="E536" s="18"/>
    </row>
    <row r="537" spans="1:5" ht="16.5" thickTop="1" thickBot="1" x14ac:dyDescent="0.3">
      <c r="A537" s="28">
        <v>10.05720546073611</v>
      </c>
      <c r="B537" s="27">
        <v>0</v>
      </c>
      <c r="C537" s="27">
        <v>20.8</v>
      </c>
      <c r="E537" s="18"/>
    </row>
    <row r="538" spans="1:5" ht="16.5" thickTop="1" thickBot="1" x14ac:dyDescent="0.3">
      <c r="A538" s="28">
        <v>5.1270669185139734</v>
      </c>
      <c r="B538" s="27">
        <v>0</v>
      </c>
      <c r="C538" s="27">
        <v>20.8</v>
      </c>
      <c r="E538" s="18"/>
    </row>
    <row r="539" spans="1:5" ht="16.5" thickTop="1" thickBot="1" x14ac:dyDescent="0.3">
      <c r="A539" s="28">
        <v>4.0397748125450743</v>
      </c>
      <c r="B539" s="27">
        <v>0</v>
      </c>
      <c r="C539" s="27">
        <v>20.8</v>
      </c>
      <c r="E539" s="18"/>
    </row>
    <row r="540" spans="1:5" ht="16.5" thickTop="1" thickBot="1" x14ac:dyDescent="0.3">
      <c r="A540" s="28">
        <v>2.8983040520233048</v>
      </c>
      <c r="B540" s="27">
        <v>0</v>
      </c>
      <c r="C540" s="27">
        <v>20.8</v>
      </c>
      <c r="E540" s="18"/>
    </row>
    <row r="541" spans="1:5" ht="16.5" thickTop="1" thickBot="1" x14ac:dyDescent="0.3">
      <c r="A541" s="28">
        <v>0.79797245224183078</v>
      </c>
      <c r="B541" s="27">
        <v>0</v>
      </c>
      <c r="C541" s="27">
        <v>20.8</v>
      </c>
      <c r="E541" s="18"/>
    </row>
    <row r="542" spans="1:5" ht="16.5" thickTop="1" thickBot="1" x14ac:dyDescent="0.3">
      <c r="A542" s="28">
        <v>0.8494266508182241</v>
      </c>
      <c r="B542" s="27">
        <v>0</v>
      </c>
      <c r="C542" s="27">
        <v>20</v>
      </c>
      <c r="E542" s="18"/>
    </row>
    <row r="543" spans="1:5" ht="16.5" thickTop="1" thickBot="1" x14ac:dyDescent="0.3">
      <c r="A543" s="28">
        <v>6.3194196311428854</v>
      </c>
      <c r="B543" s="27">
        <v>0</v>
      </c>
      <c r="C543" s="27">
        <v>20</v>
      </c>
      <c r="E543" s="18"/>
    </row>
    <row r="544" spans="1:5" ht="16.5" thickTop="1" thickBot="1" x14ac:dyDescent="0.3">
      <c r="A544" s="28">
        <v>5.5046674645653058</v>
      </c>
      <c r="B544" s="27">
        <v>0</v>
      </c>
      <c r="C544" s="27">
        <v>20</v>
      </c>
      <c r="E544" s="18"/>
    </row>
    <row r="545" spans="1:5" ht="16.5" thickTop="1" thickBot="1" x14ac:dyDescent="0.3">
      <c r="A545" s="28">
        <v>2.9171217211448472</v>
      </c>
      <c r="B545" s="27">
        <v>0</v>
      </c>
      <c r="C545" s="27">
        <v>20</v>
      </c>
      <c r="E545" s="18"/>
    </row>
    <row r="546" spans="1:5" ht="16.5" thickTop="1" thickBot="1" x14ac:dyDescent="0.3">
      <c r="A546" s="28">
        <v>3.2846867152394177</v>
      </c>
      <c r="B546" s="27">
        <v>0</v>
      </c>
      <c r="C546" s="27">
        <v>20</v>
      </c>
      <c r="E546" s="18"/>
    </row>
    <row r="547" spans="1:5" ht="16.5" thickTop="1" thickBot="1" x14ac:dyDescent="0.3">
      <c r="A547" s="28">
        <v>9.4533935569638032</v>
      </c>
      <c r="B547" s="27">
        <v>0</v>
      </c>
      <c r="C547" s="27">
        <v>20</v>
      </c>
      <c r="E547" s="18"/>
    </row>
    <row r="548" spans="1:5" ht="16.5" thickTop="1" thickBot="1" x14ac:dyDescent="0.3">
      <c r="A548" s="28">
        <v>2.9375046121578836</v>
      </c>
      <c r="B548" s="27">
        <v>0</v>
      </c>
      <c r="C548" s="27">
        <v>20</v>
      </c>
      <c r="E548" s="18"/>
    </row>
    <row r="549" spans="1:5" ht="16.5" thickTop="1" thickBot="1" x14ac:dyDescent="0.3">
      <c r="A549" s="28">
        <v>7.0607218231748776</v>
      </c>
      <c r="B549" s="27">
        <v>0</v>
      </c>
      <c r="C549" s="27">
        <v>20</v>
      </c>
      <c r="E549" s="18"/>
    </row>
    <row r="550" spans="1:5" ht="16.5" thickTop="1" thickBot="1" x14ac:dyDescent="0.3">
      <c r="A550" s="28">
        <v>0.55343356277613143</v>
      </c>
      <c r="B550" s="27">
        <v>0</v>
      </c>
      <c r="C550" s="27">
        <v>20</v>
      </c>
      <c r="E550" s="18"/>
    </row>
    <row r="551" spans="1:5" ht="16.5" thickTop="1" thickBot="1" x14ac:dyDescent="0.3">
      <c r="A551" s="28">
        <v>5.1820602155076356</v>
      </c>
      <c r="B551" s="27">
        <v>0</v>
      </c>
      <c r="C551" s="27">
        <v>20</v>
      </c>
      <c r="E551" s="18"/>
    </row>
    <row r="552" spans="1:5" ht="16.5" thickTop="1" thickBot="1" x14ac:dyDescent="0.3">
      <c r="A552" s="28">
        <v>5.503772337060389</v>
      </c>
      <c r="B552" s="27">
        <v>0</v>
      </c>
      <c r="C552" s="27">
        <v>20</v>
      </c>
      <c r="E552" s="18"/>
    </row>
    <row r="553" spans="1:5" ht="16.5" thickTop="1" thickBot="1" x14ac:dyDescent="0.3">
      <c r="A553" s="28">
        <v>1.1540684353979667</v>
      </c>
      <c r="B553" s="27">
        <v>0</v>
      </c>
      <c r="C553" s="27">
        <v>20</v>
      </c>
      <c r="E553" s="18"/>
    </row>
    <row r="554" spans="1:5" ht="16.5" thickTop="1" thickBot="1" x14ac:dyDescent="0.3">
      <c r="A554" s="28">
        <v>3.3950292324710007</v>
      </c>
      <c r="B554" s="27">
        <v>0</v>
      </c>
      <c r="C554" s="27">
        <v>20</v>
      </c>
      <c r="E554" s="18"/>
    </row>
    <row r="555" spans="1:5" ht="16.5" thickTop="1" thickBot="1" x14ac:dyDescent="0.3">
      <c r="A555" s="28">
        <v>4.5264465403685294</v>
      </c>
      <c r="B555" s="27">
        <v>0</v>
      </c>
      <c r="C555" s="27">
        <v>20</v>
      </c>
      <c r="E555" s="18"/>
    </row>
    <row r="556" spans="1:5" ht="16.5" thickTop="1" thickBot="1" x14ac:dyDescent="0.3">
      <c r="A556" s="28">
        <v>5.7555122038008566</v>
      </c>
      <c r="B556" s="27">
        <v>0</v>
      </c>
      <c r="C556" s="27">
        <v>20</v>
      </c>
      <c r="E556" s="18"/>
    </row>
    <row r="557" spans="1:5" ht="16.5" thickTop="1" thickBot="1" x14ac:dyDescent="0.3">
      <c r="A557" s="28">
        <v>2.1287804877846792</v>
      </c>
      <c r="B557" s="27">
        <v>0</v>
      </c>
      <c r="C557" s="27">
        <v>20</v>
      </c>
      <c r="E557" s="18"/>
    </row>
    <row r="558" spans="1:5" ht="16.5" thickTop="1" thickBot="1" x14ac:dyDescent="0.3">
      <c r="A558" s="28">
        <v>5.6522335862314224</v>
      </c>
      <c r="B558" s="27">
        <v>0</v>
      </c>
      <c r="C558" s="27">
        <v>9.1999999999999993</v>
      </c>
      <c r="E558" s="18"/>
    </row>
    <row r="559" spans="1:5" ht="16.5" thickTop="1" thickBot="1" x14ac:dyDescent="0.3">
      <c r="A559" s="28">
        <v>0.49694550219387867</v>
      </c>
      <c r="B559" s="27">
        <v>0</v>
      </c>
      <c r="C559" s="27">
        <v>9.1999999999999993</v>
      </c>
      <c r="E559" s="18"/>
    </row>
    <row r="560" spans="1:5" ht="16.5" thickTop="1" thickBot="1" x14ac:dyDescent="0.3">
      <c r="A560" s="28">
        <v>3.6589392775524616</v>
      </c>
      <c r="B560" s="27">
        <v>0</v>
      </c>
      <c r="C560" s="27">
        <v>9.1999999999999993</v>
      </c>
      <c r="E560" s="18"/>
    </row>
    <row r="561" spans="1:5" ht="16.5" thickTop="1" thickBot="1" x14ac:dyDescent="0.3">
      <c r="A561" s="28">
        <v>4.1056816414807367</v>
      </c>
      <c r="B561" s="27">
        <v>0</v>
      </c>
      <c r="C561" s="27">
        <v>9.1999999999999993</v>
      </c>
      <c r="E561" s="18"/>
    </row>
    <row r="562" spans="1:5" ht="16.5" thickTop="1" thickBot="1" x14ac:dyDescent="0.3">
      <c r="A562" s="28">
        <v>6.8186891232384692</v>
      </c>
      <c r="B562" s="27">
        <v>0</v>
      </c>
      <c r="C562" s="27">
        <v>9.1999999999999993</v>
      </c>
      <c r="E562" s="18"/>
    </row>
    <row r="563" spans="1:5" ht="16.5" thickTop="1" thickBot="1" x14ac:dyDescent="0.3">
      <c r="A563" s="28">
        <v>5.2957278235314114</v>
      </c>
      <c r="B563" s="27">
        <v>0</v>
      </c>
      <c r="C563" s="27">
        <v>9.1999999999999993</v>
      </c>
      <c r="E563" s="18"/>
    </row>
    <row r="564" spans="1:5" ht="16.5" thickTop="1" thickBot="1" x14ac:dyDescent="0.3">
      <c r="A564" s="28">
        <v>6.6729291684853047</v>
      </c>
      <c r="B564" s="27">
        <v>0</v>
      </c>
      <c r="C564" s="27">
        <v>9.1999999999999993</v>
      </c>
      <c r="E564" s="18"/>
    </row>
    <row r="565" spans="1:5" ht="16.5" thickTop="1" thickBot="1" x14ac:dyDescent="0.3">
      <c r="A565" s="28">
        <v>2.1228503956290172</v>
      </c>
      <c r="B565" s="27">
        <v>0</v>
      </c>
      <c r="C565" s="27">
        <v>9.1999999999999993</v>
      </c>
      <c r="E565" s="18"/>
    </row>
    <row r="566" spans="1:5" ht="16.5" thickTop="1" thickBot="1" x14ac:dyDescent="0.3">
      <c r="A566" s="28">
        <v>5.3209175676127956</v>
      </c>
      <c r="B566" s="27">
        <v>0</v>
      </c>
      <c r="C566" s="27">
        <v>9.1999999999999993</v>
      </c>
      <c r="E566" s="18"/>
    </row>
    <row r="567" spans="1:5" ht="16.5" thickTop="1" thickBot="1" x14ac:dyDescent="0.3">
      <c r="A567" s="28">
        <v>7.4669006141050662</v>
      </c>
      <c r="B567" s="27">
        <v>0</v>
      </c>
      <c r="C567" s="27">
        <v>9.1999999999999993</v>
      </c>
      <c r="E567" s="18"/>
    </row>
    <row r="568" spans="1:5" ht="16.5" thickTop="1" thickBot="1" x14ac:dyDescent="0.3">
      <c r="A568" s="28">
        <v>1.3311016941855498</v>
      </c>
      <c r="B568" s="27">
        <v>0</v>
      </c>
      <c r="C568" s="27">
        <v>9.1999999999999993</v>
      </c>
      <c r="E568" s="18"/>
    </row>
    <row r="569" spans="1:5" ht="16.5" thickTop="1" thickBot="1" x14ac:dyDescent="0.3">
      <c r="A569" s="28">
        <v>9.3258047313564507</v>
      </c>
      <c r="B569" s="27">
        <v>0</v>
      </c>
      <c r="C569" s="27">
        <v>9.1999999999999993</v>
      </c>
      <c r="E569" s="18"/>
    </row>
    <row r="570" spans="1:5" ht="16.5" thickTop="1" thickBot="1" x14ac:dyDescent="0.3">
      <c r="A570" s="28">
        <v>0.90842339658195226</v>
      </c>
      <c r="B570" s="27">
        <v>0</v>
      </c>
      <c r="C570" s="27">
        <v>9.1999999999999993</v>
      </c>
      <c r="E570" s="18"/>
    </row>
    <row r="571" spans="1:5" ht="16.5" thickTop="1" thickBot="1" x14ac:dyDescent="0.3">
      <c r="A571" s="28">
        <v>8.8570007380891802</v>
      </c>
      <c r="B571" s="27">
        <v>0</v>
      </c>
      <c r="C571" s="27">
        <v>9.1999999999999993</v>
      </c>
      <c r="E571" s="18"/>
    </row>
    <row r="572" spans="1:5" ht="16.5" thickTop="1" thickBot="1" x14ac:dyDescent="0.3">
      <c r="A572" s="28">
        <v>1.7375304927421698</v>
      </c>
      <c r="B572" s="27">
        <v>0</v>
      </c>
      <c r="C572" s="27">
        <v>9.1999999999999993</v>
      </c>
      <c r="E572" s="18"/>
    </row>
    <row r="573" spans="1:5" ht="16.5" thickTop="1" thickBot="1" x14ac:dyDescent="0.3">
      <c r="A573" s="28">
        <v>6.0210337185998499</v>
      </c>
      <c r="B573" s="27">
        <v>0</v>
      </c>
      <c r="C573" s="27">
        <v>7.5</v>
      </c>
      <c r="E573" s="18"/>
    </row>
    <row r="574" spans="1:5" ht="16.5" thickTop="1" thickBot="1" x14ac:dyDescent="0.3">
      <c r="A574" s="28">
        <v>5.7667136822805087</v>
      </c>
      <c r="B574" s="27">
        <v>0</v>
      </c>
      <c r="C574" s="27">
        <v>7.5</v>
      </c>
      <c r="E574" s="18"/>
    </row>
    <row r="575" spans="1:5" ht="16.5" thickTop="1" thickBot="1" x14ac:dyDescent="0.3">
      <c r="A575" s="28">
        <v>6.8549965672461344</v>
      </c>
      <c r="B575" s="27">
        <v>0</v>
      </c>
      <c r="C575" s="27">
        <v>7.5</v>
      </c>
      <c r="E575" s="18"/>
    </row>
    <row r="576" spans="1:5" ht="16.5" thickTop="1" thickBot="1" x14ac:dyDescent="0.3">
      <c r="A576" s="28">
        <v>0.33370804909468399</v>
      </c>
      <c r="B576" s="27">
        <v>0</v>
      </c>
      <c r="C576" s="27">
        <v>7.5</v>
      </c>
      <c r="E576" s="18"/>
    </row>
    <row r="577" spans="1:5" ht="16.5" thickTop="1" thickBot="1" x14ac:dyDescent="0.3">
      <c r="A577" s="28">
        <v>10.865173901693478</v>
      </c>
      <c r="B577" s="27">
        <v>0</v>
      </c>
      <c r="C577" s="27">
        <v>7.5</v>
      </c>
      <c r="E577" s="18"/>
    </row>
    <row r="578" spans="1:5" ht="16.5" thickTop="1" thickBot="1" x14ac:dyDescent="0.3">
      <c r="A578" s="28">
        <v>3.9484016970112576</v>
      </c>
      <c r="B578" s="27">
        <v>0</v>
      </c>
      <c r="C578" s="27">
        <v>7.5</v>
      </c>
      <c r="E578" s="18"/>
    </row>
    <row r="579" spans="1:5" ht="16.5" thickTop="1" thickBot="1" x14ac:dyDescent="0.3">
      <c r="A579" s="28">
        <v>7.3283227608105879</v>
      </c>
      <c r="B579" s="27">
        <v>0</v>
      </c>
      <c r="C579" s="27">
        <v>7.5</v>
      </c>
      <c r="E579" s="18"/>
    </row>
    <row r="580" spans="1:5" ht="16.5" thickTop="1" thickBot="1" x14ac:dyDescent="0.3">
      <c r="A580" s="28">
        <v>5.399586786023205</v>
      </c>
      <c r="B580" s="27">
        <v>0</v>
      </c>
      <c r="C580" s="27">
        <v>7.5</v>
      </c>
      <c r="E580" s="18"/>
    </row>
    <row r="581" spans="1:5" ht="16.5" thickTop="1" thickBot="1" x14ac:dyDescent="0.3">
      <c r="A581" s="28">
        <v>10.349470995019423</v>
      </c>
      <c r="B581" s="27">
        <v>0</v>
      </c>
      <c r="C581" s="27">
        <v>7.5</v>
      </c>
      <c r="E581" s="18"/>
    </row>
    <row r="582" spans="1:5" ht="16.5" thickTop="1" thickBot="1" x14ac:dyDescent="0.3">
      <c r="A582" s="28">
        <v>4.7333412945266709</v>
      </c>
      <c r="B582" s="27">
        <v>0</v>
      </c>
      <c r="C582" s="27">
        <v>7.5</v>
      </c>
      <c r="E582" s="18"/>
    </row>
    <row r="583" spans="1:5" ht="16.5" thickTop="1" thickBot="1" x14ac:dyDescent="0.3">
      <c r="A583" s="28">
        <v>5.944316896209445E-2</v>
      </c>
      <c r="B583" s="27">
        <v>0</v>
      </c>
      <c r="C583" s="27">
        <v>7.5</v>
      </c>
      <c r="E583" s="18"/>
    </row>
    <row r="584" spans="1:5" ht="16.5" thickTop="1" thickBot="1" x14ac:dyDescent="0.3">
      <c r="A584" s="28">
        <v>2.8468324145296435</v>
      </c>
      <c r="B584" s="27">
        <v>0</v>
      </c>
      <c r="C584" s="27">
        <v>7.5</v>
      </c>
      <c r="E584" s="18"/>
    </row>
    <row r="585" spans="1:5" ht="16.5" thickTop="1" thickBot="1" x14ac:dyDescent="0.3">
      <c r="A585" s="28">
        <v>10.916871177080068</v>
      </c>
      <c r="B585" s="27">
        <v>0</v>
      </c>
      <c r="C585" s="27">
        <v>7.5</v>
      </c>
      <c r="E585" s="18"/>
    </row>
    <row r="586" spans="1:5" ht="16.5" thickTop="1" thickBot="1" x14ac:dyDescent="0.3">
      <c r="A586" s="28">
        <v>5.9857765437555246</v>
      </c>
      <c r="B586" s="27">
        <v>0</v>
      </c>
      <c r="C586" s="27">
        <v>7.5</v>
      </c>
      <c r="E586" s="18"/>
    </row>
    <row r="587" spans="1:5" ht="16.5" thickTop="1" thickBot="1" x14ac:dyDescent="0.3">
      <c r="A587" s="28">
        <v>4.0980623280471757</v>
      </c>
      <c r="B587" s="27">
        <v>0</v>
      </c>
      <c r="C587" s="27">
        <v>7.5</v>
      </c>
      <c r="E587" s="18"/>
    </row>
    <row r="588" spans="1:5" ht="16.5" thickTop="1" thickBot="1" x14ac:dyDescent="0.3">
      <c r="A588" s="28">
        <v>1.8583381775040451</v>
      </c>
      <c r="B588" s="27">
        <v>0</v>
      </c>
      <c r="C588" s="27">
        <v>7.5</v>
      </c>
      <c r="E588" s="18"/>
    </row>
    <row r="589" spans="1:5" ht="16.5" thickTop="1" thickBot="1" x14ac:dyDescent="0.3">
      <c r="A589" s="28">
        <v>7.7910870685018931</v>
      </c>
      <c r="B589" s="27">
        <v>0</v>
      </c>
      <c r="C589" s="27">
        <v>7.5</v>
      </c>
      <c r="E589" s="18"/>
    </row>
    <row r="590" spans="1:5" ht="16.5" thickTop="1" thickBot="1" x14ac:dyDescent="0.3">
      <c r="A590" s="28">
        <v>2.7177531651183289</v>
      </c>
      <c r="B590" s="27">
        <v>0</v>
      </c>
      <c r="C590" s="27">
        <v>14.3</v>
      </c>
      <c r="E590" s="18"/>
    </row>
    <row r="591" spans="1:5" ht="16.5" thickTop="1" thickBot="1" x14ac:dyDescent="0.3">
      <c r="A591" s="28">
        <v>11.735770502314017</v>
      </c>
      <c r="B591" s="27">
        <v>0</v>
      </c>
      <c r="C591" s="27">
        <v>14.3</v>
      </c>
      <c r="E591" s="18"/>
    </row>
    <row r="592" spans="1:5" ht="16.5" thickTop="1" thickBot="1" x14ac:dyDescent="0.3">
      <c r="A592" s="28">
        <v>3.3740699449406772</v>
      </c>
      <c r="B592" s="27">
        <v>0</v>
      </c>
      <c r="C592" s="27">
        <v>14.3</v>
      </c>
      <c r="E592" s="18"/>
    </row>
    <row r="593" spans="1:5" ht="16.5" thickTop="1" thickBot="1" x14ac:dyDescent="0.3">
      <c r="A593" s="28">
        <v>8.6128817970485496</v>
      </c>
      <c r="B593" s="27">
        <v>0</v>
      </c>
      <c r="C593" s="27">
        <v>14.3</v>
      </c>
      <c r="E593" s="18"/>
    </row>
    <row r="594" spans="1:5" ht="16.5" thickTop="1" thickBot="1" x14ac:dyDescent="0.3">
      <c r="A594" s="28">
        <v>3.6143459512389979</v>
      </c>
      <c r="B594" s="27">
        <v>0</v>
      </c>
      <c r="C594" s="27">
        <v>14.3</v>
      </c>
      <c r="E594" s="18"/>
    </row>
    <row r="595" spans="1:5" ht="16.5" thickTop="1" thickBot="1" x14ac:dyDescent="0.3">
      <c r="A595" s="28">
        <v>11.477515751334433</v>
      </c>
      <c r="B595" s="27">
        <v>0</v>
      </c>
      <c r="C595" s="27">
        <v>14.3</v>
      </c>
      <c r="E595" s="18"/>
    </row>
    <row r="596" spans="1:5" ht="16.5" thickTop="1" thickBot="1" x14ac:dyDescent="0.3">
      <c r="A596" s="28">
        <v>0.51089181686163831</v>
      </c>
      <c r="B596" s="27">
        <v>0</v>
      </c>
      <c r="C596" s="27">
        <v>14.3</v>
      </c>
      <c r="E596" s="18"/>
    </row>
    <row r="597" spans="1:5" ht="16.5" thickTop="1" thickBot="1" x14ac:dyDescent="0.3">
      <c r="A597" s="28">
        <v>9.720010447393518</v>
      </c>
      <c r="B597" s="27">
        <v>0</v>
      </c>
      <c r="C597" s="27">
        <v>14.3</v>
      </c>
      <c r="E597" s="18"/>
    </row>
    <row r="598" spans="1:5" ht="16.5" thickTop="1" thickBot="1" x14ac:dyDescent="0.3">
      <c r="A598" s="28">
        <v>3.7102619254357956</v>
      </c>
      <c r="B598" s="27">
        <v>0</v>
      </c>
      <c r="C598" s="27">
        <v>14.3</v>
      </c>
      <c r="E598" s="18"/>
    </row>
    <row r="599" spans="1:5" ht="16.5" thickTop="1" thickBot="1" x14ac:dyDescent="0.3">
      <c r="A599" s="28">
        <v>10.100310821135555</v>
      </c>
      <c r="B599" s="27">
        <v>0</v>
      </c>
      <c r="C599" s="27">
        <v>14.3</v>
      </c>
      <c r="E599" s="18"/>
    </row>
    <row r="600" spans="1:5" ht="16.5" thickTop="1" thickBot="1" x14ac:dyDescent="0.3">
      <c r="A600" s="28">
        <v>4.9417031467490649</v>
      </c>
      <c r="B600" s="27">
        <v>0</v>
      </c>
      <c r="C600" s="27">
        <v>14.3</v>
      </c>
      <c r="E600" s="18"/>
    </row>
    <row r="601" spans="1:5" ht="16.5" thickTop="1" thickBot="1" x14ac:dyDescent="0.3">
      <c r="A601" s="28">
        <v>11.189244236954579</v>
      </c>
      <c r="B601" s="27">
        <v>0</v>
      </c>
      <c r="C601" s="27">
        <v>14.3</v>
      </c>
      <c r="E601" s="18"/>
    </row>
    <row r="602" spans="1:5" ht="16.5" thickTop="1" thickBot="1" x14ac:dyDescent="0.3">
      <c r="A602" s="28">
        <v>3.3680885167670884</v>
      </c>
      <c r="B602" s="27">
        <v>0</v>
      </c>
      <c r="C602" s="27">
        <v>14.3</v>
      </c>
      <c r="E602" s="18"/>
    </row>
    <row r="603" spans="1:5" ht="16.5" thickTop="1" thickBot="1" x14ac:dyDescent="0.3">
      <c r="A603" s="28">
        <v>1.3524541467472075</v>
      </c>
      <c r="B603" s="27">
        <v>0</v>
      </c>
      <c r="C603" s="27">
        <v>14.3</v>
      </c>
      <c r="E603" s="18"/>
    </row>
    <row r="604" spans="1:5" ht="16.5" thickTop="1" thickBot="1" x14ac:dyDescent="0.3">
      <c r="A604" s="28">
        <v>1.6942069611139901</v>
      </c>
      <c r="B604" s="27">
        <v>0</v>
      </c>
      <c r="C604" s="27">
        <v>14.3</v>
      </c>
      <c r="E604" s="18"/>
    </row>
    <row r="605" spans="1:5" ht="16.5" thickTop="1" thickBot="1" x14ac:dyDescent="0.3">
      <c r="A605" s="28">
        <v>9.4164745519422262</v>
      </c>
      <c r="B605" s="27">
        <v>0</v>
      </c>
      <c r="C605" s="27">
        <v>14.3</v>
      </c>
      <c r="E605" s="18"/>
    </row>
    <row r="606" spans="1:5" ht="16.5" thickTop="1" thickBot="1" x14ac:dyDescent="0.3">
      <c r="A606" s="28">
        <v>5.3014909270214572</v>
      </c>
      <c r="B606" s="27">
        <v>0</v>
      </c>
      <c r="C606" s="27">
        <v>10.8</v>
      </c>
      <c r="E606" s="18"/>
    </row>
    <row r="607" spans="1:5" ht="16.5" thickTop="1" thickBot="1" x14ac:dyDescent="0.3">
      <c r="A607" s="28">
        <v>9.7868057422554102</v>
      </c>
      <c r="B607" s="27">
        <v>0</v>
      </c>
      <c r="C607" s="27">
        <v>10.8</v>
      </c>
      <c r="E607" s="18"/>
    </row>
    <row r="608" spans="1:5" ht="16.5" thickTop="1" thickBot="1" x14ac:dyDescent="0.3">
      <c r="A608" s="28">
        <v>4.572619882935177</v>
      </c>
      <c r="B608" s="27">
        <v>0</v>
      </c>
      <c r="C608" s="27">
        <v>10.8</v>
      </c>
      <c r="E608" s="18"/>
    </row>
    <row r="609" spans="1:5" ht="16.5" thickTop="1" thickBot="1" x14ac:dyDescent="0.3">
      <c r="A609" s="28">
        <v>9.7479847035826648</v>
      </c>
      <c r="B609" s="27">
        <v>0</v>
      </c>
      <c r="C609" s="27">
        <v>10.8</v>
      </c>
      <c r="E609" s="18"/>
    </row>
    <row r="610" spans="1:5" ht="16.5" thickTop="1" thickBot="1" x14ac:dyDescent="0.3">
      <c r="A610" s="28">
        <v>1.5760307059796705</v>
      </c>
      <c r="B610" s="27">
        <v>0</v>
      </c>
      <c r="C610" s="27">
        <v>10.8</v>
      </c>
      <c r="E610" s="18"/>
    </row>
    <row r="611" spans="1:5" ht="16.5" thickTop="1" thickBot="1" x14ac:dyDescent="0.3">
      <c r="A611" s="28">
        <v>7.5978526284145627</v>
      </c>
      <c r="B611" s="27">
        <v>0</v>
      </c>
      <c r="C611" s="27">
        <v>10.8</v>
      </c>
      <c r="E611" s="18"/>
    </row>
    <row r="612" spans="1:5" ht="16.5" thickTop="1" thickBot="1" x14ac:dyDescent="0.3">
      <c r="A612" s="28">
        <v>1.1818651539697331</v>
      </c>
      <c r="B612" s="27">
        <v>0</v>
      </c>
      <c r="C612" s="27">
        <v>10.8</v>
      </c>
      <c r="E612" s="18"/>
    </row>
    <row r="613" spans="1:5" ht="16.5" thickTop="1" thickBot="1" x14ac:dyDescent="0.3">
      <c r="A613" s="28">
        <v>11.248470192169222</v>
      </c>
      <c r="B613" s="27">
        <v>0</v>
      </c>
      <c r="C613" s="27">
        <v>10.8</v>
      </c>
      <c r="E613" s="18"/>
    </row>
    <row r="614" spans="1:5" ht="16.5" thickTop="1" thickBot="1" x14ac:dyDescent="0.3">
      <c r="A614" s="28">
        <v>2.2317808448984944</v>
      </c>
      <c r="B614" s="27">
        <v>0</v>
      </c>
      <c r="C614" s="27">
        <v>10.8</v>
      </c>
      <c r="E614" s="18"/>
    </row>
    <row r="615" spans="1:5" ht="16.5" thickTop="1" thickBot="1" x14ac:dyDescent="0.3">
      <c r="A615" s="28">
        <v>1.0324094134228194</v>
      </c>
      <c r="B615" s="27">
        <v>0</v>
      </c>
      <c r="C615" s="27">
        <v>10.8</v>
      </c>
      <c r="E615" s="18"/>
    </row>
    <row r="616" spans="1:5" ht="16.5" thickTop="1" thickBot="1" x14ac:dyDescent="0.3">
      <c r="A616" s="28">
        <v>1.1727043200877467</v>
      </c>
      <c r="B616" s="27">
        <v>0</v>
      </c>
      <c r="C616" s="27">
        <v>10.8</v>
      </c>
      <c r="E616" s="18"/>
    </row>
    <row r="617" spans="1:5" ht="16.5" thickTop="1" thickBot="1" x14ac:dyDescent="0.3">
      <c r="A617" s="28">
        <v>8.371670406503501</v>
      </c>
      <c r="B617" s="27">
        <v>0</v>
      </c>
      <c r="C617" s="27">
        <v>10.8</v>
      </c>
      <c r="E617" s="18"/>
    </row>
    <row r="618" spans="1:5" ht="16.5" thickTop="1" thickBot="1" x14ac:dyDescent="0.3">
      <c r="A618" s="28">
        <v>3.1696322839778457</v>
      </c>
      <c r="B618" s="27">
        <v>0</v>
      </c>
      <c r="C618" s="27">
        <v>10.8</v>
      </c>
      <c r="E618" s="18"/>
    </row>
    <row r="619" spans="1:5" ht="16.5" thickTop="1" thickBot="1" x14ac:dyDescent="0.3">
      <c r="A619" s="28">
        <v>0.42271880137278739</v>
      </c>
      <c r="B619" s="27">
        <v>0</v>
      </c>
      <c r="C619" s="27">
        <v>10.8</v>
      </c>
      <c r="E619" s="18"/>
    </row>
    <row r="620" spans="1:5" ht="16.5" thickTop="1" thickBot="1" x14ac:dyDescent="0.3">
      <c r="A620" s="28">
        <v>2.9503733295501959</v>
      </c>
      <c r="B620" s="27">
        <v>0</v>
      </c>
      <c r="C620" s="27">
        <v>10.8</v>
      </c>
      <c r="E620" s="18"/>
    </row>
    <row r="621" spans="1:5" ht="16.5" thickTop="1" thickBot="1" x14ac:dyDescent="0.3">
      <c r="A621" s="28">
        <v>1.1764765636675842</v>
      </c>
      <c r="B621" s="27">
        <v>0</v>
      </c>
      <c r="C621" s="27">
        <v>10.8</v>
      </c>
      <c r="E621" s="18"/>
    </row>
    <row r="622" spans="1:5" ht="16.5" thickTop="1" thickBot="1" x14ac:dyDescent="0.3">
      <c r="A622" s="28">
        <v>2.3880357739390901</v>
      </c>
      <c r="B622" s="27">
        <v>0</v>
      </c>
      <c r="C622" s="27">
        <v>12.2</v>
      </c>
      <c r="E622" s="18"/>
    </row>
    <row r="623" spans="1:5" ht="16.5" thickTop="1" thickBot="1" x14ac:dyDescent="0.3">
      <c r="A623" s="28">
        <v>2.6248040862911628</v>
      </c>
      <c r="B623" s="27">
        <v>0</v>
      </c>
      <c r="C623" s="27">
        <v>12.2</v>
      </c>
      <c r="E623" s="18"/>
    </row>
    <row r="624" spans="1:5" ht="16.5" thickTop="1" thickBot="1" x14ac:dyDescent="0.3">
      <c r="A624" s="28">
        <v>5.7906411443912793</v>
      </c>
      <c r="B624" s="27">
        <v>0</v>
      </c>
      <c r="C624" s="27">
        <v>12.2</v>
      </c>
      <c r="E624" s="18"/>
    </row>
    <row r="625" spans="1:5" ht="16.5" thickTop="1" thickBot="1" x14ac:dyDescent="0.3">
      <c r="A625" s="28">
        <v>3.4138958380496254</v>
      </c>
      <c r="B625" s="27">
        <v>0</v>
      </c>
      <c r="C625" s="27">
        <v>12.2</v>
      </c>
      <c r="E625" s="18"/>
    </row>
    <row r="626" spans="1:5" ht="16.5" thickTop="1" thickBot="1" x14ac:dyDescent="0.3">
      <c r="A626" s="28">
        <v>6.1796655779147116</v>
      </c>
      <c r="B626" s="27">
        <v>0</v>
      </c>
      <c r="C626" s="27">
        <v>12.2</v>
      </c>
      <c r="E626" s="18"/>
    </row>
    <row r="627" spans="1:5" ht="16.5" thickTop="1" thickBot="1" x14ac:dyDescent="0.3">
      <c r="A627" s="28">
        <v>11.807550179729803</v>
      </c>
      <c r="B627" s="27">
        <v>0</v>
      </c>
      <c r="C627" s="27">
        <v>12.2</v>
      </c>
      <c r="E627" s="18"/>
    </row>
    <row r="628" spans="1:5" ht="16.5" thickTop="1" thickBot="1" x14ac:dyDescent="0.3">
      <c r="A628" s="28">
        <v>1.249299701847665</v>
      </c>
      <c r="B628" s="27">
        <v>0</v>
      </c>
      <c r="C628" s="27">
        <v>12.2</v>
      </c>
      <c r="E628" s="18"/>
    </row>
    <row r="629" spans="1:5" ht="16.5" thickTop="1" thickBot="1" x14ac:dyDescent="0.3">
      <c r="A629" s="28">
        <v>0.60322916542866434</v>
      </c>
      <c r="B629" s="27">
        <v>0</v>
      </c>
      <c r="C629" s="27">
        <v>12.2</v>
      </c>
      <c r="E629" s="18"/>
    </row>
    <row r="630" spans="1:5" ht="16.5" thickTop="1" thickBot="1" x14ac:dyDescent="0.3">
      <c r="A630" s="28">
        <v>3.4391957048014912</v>
      </c>
      <c r="B630" s="27">
        <v>0</v>
      </c>
      <c r="C630" s="27">
        <v>12.2</v>
      </c>
      <c r="E630" s="18"/>
    </row>
    <row r="631" spans="1:5" ht="16.5" thickTop="1" thickBot="1" x14ac:dyDescent="0.3">
      <c r="A631" s="28">
        <v>2.4741897578461809</v>
      </c>
      <c r="B631" s="27">
        <v>0</v>
      </c>
      <c r="C631" s="27">
        <v>12.2</v>
      </c>
      <c r="E631" s="18"/>
    </row>
    <row r="632" spans="1:5" ht="16.5" thickTop="1" thickBot="1" x14ac:dyDescent="0.3">
      <c r="A632" s="28">
        <v>1.0101244995615177</v>
      </c>
      <c r="B632" s="27">
        <v>0</v>
      </c>
      <c r="C632" s="27">
        <v>12.2</v>
      </c>
      <c r="E632" s="18"/>
    </row>
    <row r="633" spans="1:5" ht="16.5" thickTop="1" thickBot="1" x14ac:dyDescent="0.3">
      <c r="A633" s="28">
        <v>2.2498051444359799</v>
      </c>
      <c r="B633" s="27">
        <v>0</v>
      </c>
      <c r="C633" s="27">
        <v>12.2</v>
      </c>
      <c r="E633" s="18"/>
    </row>
    <row r="634" spans="1:5" ht="16.5" thickTop="1" thickBot="1" x14ac:dyDescent="0.3">
      <c r="A634" s="28">
        <v>5.3739600677006454</v>
      </c>
      <c r="B634" s="27">
        <v>0</v>
      </c>
      <c r="C634" s="27">
        <v>12.2</v>
      </c>
      <c r="E634" s="18"/>
    </row>
    <row r="635" spans="1:5" ht="16.5" thickTop="1" thickBot="1" x14ac:dyDescent="0.3">
      <c r="A635" s="28">
        <v>6.5909799386947832</v>
      </c>
      <c r="B635" s="27">
        <v>0</v>
      </c>
      <c r="C635" s="27">
        <v>12.2</v>
      </c>
      <c r="E635" s="18"/>
    </row>
    <row r="636" spans="1:5" ht="16.5" thickTop="1" thickBot="1" x14ac:dyDescent="0.3">
      <c r="A636" s="28">
        <v>2.7751142757975984</v>
      </c>
      <c r="B636" s="27">
        <v>0</v>
      </c>
      <c r="C636" s="27">
        <v>12.2</v>
      </c>
      <c r="E636" s="18"/>
    </row>
    <row r="637" spans="1:5" ht="16.5" thickTop="1" thickBot="1" x14ac:dyDescent="0.3">
      <c r="A637" s="28">
        <v>5.9078309170852155</v>
      </c>
      <c r="B637" s="27">
        <v>0</v>
      </c>
      <c r="C637" s="27">
        <v>12.2</v>
      </c>
      <c r="E637" s="18"/>
    </row>
    <row r="638" spans="1:5" ht="16.5" thickTop="1" thickBot="1" x14ac:dyDescent="0.3">
      <c r="A638" s="28">
        <v>1.3659495204403571</v>
      </c>
      <c r="B638" s="27">
        <v>0</v>
      </c>
      <c r="C638" s="27">
        <v>10.9</v>
      </c>
      <c r="E638" s="18"/>
    </row>
    <row r="639" spans="1:5" ht="16.5" thickTop="1" thickBot="1" x14ac:dyDescent="0.3">
      <c r="A639" s="28">
        <v>4.6803784965496797</v>
      </c>
      <c r="B639" s="27">
        <v>0</v>
      </c>
      <c r="C639" s="27">
        <v>10.9</v>
      </c>
      <c r="E639" s="18"/>
    </row>
    <row r="640" spans="1:5" ht="16.5" thickTop="1" thickBot="1" x14ac:dyDescent="0.3">
      <c r="A640" s="28">
        <v>4.4809181517044578</v>
      </c>
      <c r="B640" s="27">
        <v>0</v>
      </c>
      <c r="C640" s="27">
        <v>10.9</v>
      </c>
      <c r="E640" s="18"/>
    </row>
    <row r="641" spans="1:5" ht="16.5" thickTop="1" thickBot="1" x14ac:dyDescent="0.3">
      <c r="A641" s="28">
        <v>2.4497386674004082</v>
      </c>
      <c r="B641" s="27">
        <v>0</v>
      </c>
      <c r="C641" s="27">
        <v>10.9</v>
      </c>
      <c r="E641" s="18"/>
    </row>
    <row r="642" spans="1:5" ht="16.5" thickTop="1" thickBot="1" x14ac:dyDescent="0.3">
      <c r="A642" s="28">
        <v>2.1646846541578846</v>
      </c>
      <c r="B642" s="27">
        <v>0</v>
      </c>
      <c r="C642" s="27">
        <v>10.9</v>
      </c>
      <c r="E642" s="18"/>
    </row>
    <row r="643" spans="1:5" ht="16.5" thickTop="1" thickBot="1" x14ac:dyDescent="0.3">
      <c r="A643" s="28">
        <v>10.293266405164568</v>
      </c>
      <c r="B643" s="27">
        <v>0</v>
      </c>
      <c r="C643" s="27">
        <v>10.9</v>
      </c>
      <c r="E643" s="18"/>
    </row>
    <row r="644" spans="1:5" ht="16.5" thickTop="1" thickBot="1" x14ac:dyDescent="0.3">
      <c r="A644" s="28">
        <v>3.8380448494367569</v>
      </c>
      <c r="B644" s="27">
        <v>0</v>
      </c>
      <c r="C644" s="27">
        <v>10.9</v>
      </c>
      <c r="E644" s="18"/>
    </row>
    <row r="645" spans="1:5" ht="16.5" thickTop="1" thickBot="1" x14ac:dyDescent="0.3">
      <c r="A645" s="28">
        <v>3.5450452738793961</v>
      </c>
      <c r="B645" s="27">
        <v>0</v>
      </c>
      <c r="C645" s="27">
        <v>10.9</v>
      </c>
      <c r="E645" s="18"/>
    </row>
    <row r="646" spans="1:5" ht="16.5" thickTop="1" thickBot="1" x14ac:dyDescent="0.3">
      <c r="A646" s="28">
        <v>2.0242306942964143</v>
      </c>
      <c r="B646" s="27">
        <v>0</v>
      </c>
      <c r="C646" s="27">
        <v>10.9</v>
      </c>
      <c r="E646" s="18"/>
    </row>
    <row r="647" spans="1:5" ht="16.5" thickTop="1" thickBot="1" x14ac:dyDescent="0.3">
      <c r="A647" s="28">
        <v>7.7705346254357845</v>
      </c>
      <c r="B647" s="27">
        <v>0</v>
      </c>
      <c r="C647" s="27">
        <v>10.9</v>
      </c>
      <c r="E647" s="18"/>
    </row>
    <row r="648" spans="1:5" ht="16.5" thickTop="1" thickBot="1" x14ac:dyDescent="0.3">
      <c r="A648" s="28">
        <v>4.5099522287506204</v>
      </c>
      <c r="B648" s="27">
        <v>0</v>
      </c>
      <c r="C648" s="27">
        <v>10.9</v>
      </c>
      <c r="E648" s="18"/>
    </row>
    <row r="649" spans="1:5" ht="16.5" thickTop="1" thickBot="1" x14ac:dyDescent="0.3">
      <c r="A649" s="28">
        <v>2.1988788185756891</v>
      </c>
      <c r="B649" s="27">
        <v>0</v>
      </c>
      <c r="C649" s="27">
        <v>10.9</v>
      </c>
      <c r="E649" s="18"/>
    </row>
    <row r="650" spans="1:5" ht="16.5" thickTop="1" thickBot="1" x14ac:dyDescent="0.3">
      <c r="A650" s="28">
        <v>3.6093675596301273</v>
      </c>
      <c r="B650" s="27">
        <v>0</v>
      </c>
      <c r="C650" s="27">
        <v>10.9</v>
      </c>
      <c r="E650" s="18"/>
    </row>
    <row r="651" spans="1:5" ht="16.5" thickTop="1" thickBot="1" x14ac:dyDescent="0.3">
      <c r="A651" s="28">
        <v>1.3343664443220074</v>
      </c>
      <c r="B651" s="27">
        <v>0</v>
      </c>
      <c r="C651" s="27">
        <v>10.9</v>
      </c>
      <c r="E651" s="18"/>
    </row>
    <row r="652" spans="1:5" ht="16.5" thickTop="1" thickBot="1" x14ac:dyDescent="0.3">
      <c r="A652" s="28">
        <v>1.6794121243334474</v>
      </c>
      <c r="B652" s="27">
        <v>0</v>
      </c>
      <c r="C652" s="27">
        <v>10.9</v>
      </c>
      <c r="E652" s="18"/>
    </row>
    <row r="653" spans="1:5" ht="16.5" thickTop="1" thickBot="1" x14ac:dyDescent="0.3">
      <c r="A653" s="28">
        <v>6.1807196881927888</v>
      </c>
      <c r="B653" s="27">
        <v>0</v>
      </c>
      <c r="C653" s="27">
        <v>10.9</v>
      </c>
      <c r="E653" s="18"/>
    </row>
    <row r="654" spans="1:5" ht="16.5" thickTop="1" thickBot="1" x14ac:dyDescent="0.3">
      <c r="A654" s="28">
        <v>1.2323998097537683</v>
      </c>
      <c r="B654" s="27">
        <v>0</v>
      </c>
      <c r="C654" s="27">
        <v>10.9</v>
      </c>
      <c r="E654" s="18"/>
    </row>
    <row r="655" spans="1:5" ht="16.5" thickTop="1" thickBot="1" x14ac:dyDescent="0.3">
      <c r="A655" s="28">
        <v>8.8999373710766729</v>
      </c>
      <c r="B655" s="27">
        <v>0</v>
      </c>
      <c r="C655" s="27">
        <v>23.7</v>
      </c>
      <c r="E655" s="18"/>
    </row>
    <row r="656" spans="1:5" ht="16.5" thickTop="1" thickBot="1" x14ac:dyDescent="0.3">
      <c r="A656" s="28">
        <v>4.3252702912156824</v>
      </c>
      <c r="B656" s="27">
        <v>0</v>
      </c>
      <c r="C656" s="27">
        <v>23.7</v>
      </c>
      <c r="E656" s="18"/>
    </row>
    <row r="657" spans="1:5" ht="16.5" thickTop="1" thickBot="1" x14ac:dyDescent="0.3">
      <c r="A657" s="28">
        <v>7.056563419774692</v>
      </c>
      <c r="B657" s="27">
        <v>0</v>
      </c>
      <c r="C657" s="27">
        <v>23.7</v>
      </c>
      <c r="E657" s="18"/>
    </row>
    <row r="658" spans="1:5" ht="16.5" thickTop="1" thickBot="1" x14ac:dyDescent="0.3">
      <c r="A658" s="28">
        <v>6.838001917021022</v>
      </c>
      <c r="B658" s="27">
        <v>0</v>
      </c>
      <c r="C658" s="27">
        <v>23.7</v>
      </c>
      <c r="E658" s="18"/>
    </row>
    <row r="659" spans="1:5" ht="16.5" thickTop="1" thickBot="1" x14ac:dyDescent="0.3">
      <c r="A659" s="28">
        <v>0.14192428684810698</v>
      </c>
      <c r="B659" s="27">
        <v>0</v>
      </c>
      <c r="C659" s="27">
        <v>23.7</v>
      </c>
      <c r="E659" s="18"/>
    </row>
    <row r="660" spans="1:5" ht="16.5" thickTop="1" thickBot="1" x14ac:dyDescent="0.3">
      <c r="A660" s="28">
        <v>3.2279634833993267</v>
      </c>
      <c r="B660" s="27">
        <v>0</v>
      </c>
      <c r="C660" s="27">
        <v>23.7</v>
      </c>
      <c r="E660" s="18"/>
    </row>
    <row r="661" spans="1:5" ht="16.5" thickTop="1" thickBot="1" x14ac:dyDescent="0.3">
      <c r="A661" s="28">
        <v>8.2965711736972647</v>
      </c>
      <c r="B661" s="27">
        <v>0</v>
      </c>
      <c r="C661" s="27">
        <v>23.7</v>
      </c>
      <c r="E661" s="18"/>
    </row>
    <row r="662" spans="1:5" ht="16.5" thickTop="1" thickBot="1" x14ac:dyDescent="0.3">
      <c r="A662" s="28">
        <v>5.9619783878841943</v>
      </c>
      <c r="B662" s="27">
        <v>0</v>
      </c>
      <c r="C662" s="27">
        <v>23.7</v>
      </c>
      <c r="E662" s="18"/>
    </row>
    <row r="663" spans="1:5" ht="16.5" thickTop="1" thickBot="1" x14ac:dyDescent="0.3">
      <c r="A663" s="28">
        <v>2.3731140678842553</v>
      </c>
      <c r="B663" s="27">
        <v>0</v>
      </c>
      <c r="C663" s="27">
        <v>23.7</v>
      </c>
      <c r="E663" s="18"/>
    </row>
    <row r="664" spans="1:5" ht="16.5" thickTop="1" thickBot="1" x14ac:dyDescent="0.3">
      <c r="A664" s="28">
        <v>4.274741313373978</v>
      </c>
      <c r="B664" s="27">
        <v>0</v>
      </c>
      <c r="C664" s="27">
        <v>23.7</v>
      </c>
      <c r="E664" s="18"/>
    </row>
    <row r="665" spans="1:5" ht="16.5" thickTop="1" thickBot="1" x14ac:dyDescent="0.3">
      <c r="A665" s="28">
        <v>9.9389206526575684</v>
      </c>
      <c r="B665" s="27">
        <v>0</v>
      </c>
      <c r="C665" s="27">
        <v>23.7</v>
      </c>
      <c r="E665" s="18"/>
    </row>
    <row r="666" spans="1:5" ht="16.5" thickTop="1" thickBot="1" x14ac:dyDescent="0.3">
      <c r="A666" s="28">
        <v>0.83917726869290243</v>
      </c>
      <c r="B666" s="27">
        <v>0</v>
      </c>
      <c r="C666" s="27">
        <v>23.7</v>
      </c>
      <c r="E666" s="18"/>
    </row>
    <row r="667" spans="1:5" ht="16.5" thickTop="1" thickBot="1" x14ac:dyDescent="0.3">
      <c r="A667" s="28">
        <v>7.5058320766475868</v>
      </c>
      <c r="B667" s="27">
        <v>0</v>
      </c>
      <c r="C667" s="27">
        <v>23.7</v>
      </c>
      <c r="E667" s="18"/>
    </row>
    <row r="668" spans="1:5" ht="16.5" thickTop="1" thickBot="1" x14ac:dyDescent="0.3">
      <c r="A668" s="28">
        <v>3.0394752838774459</v>
      </c>
      <c r="B668" s="27">
        <v>0</v>
      </c>
      <c r="C668" s="27">
        <v>23.7</v>
      </c>
      <c r="E668" s="18"/>
    </row>
    <row r="669" spans="1:5" ht="16.5" thickTop="1" thickBot="1" x14ac:dyDescent="0.3">
      <c r="A669" s="28">
        <v>9.2762882427598452</v>
      </c>
      <c r="B669" s="27">
        <v>0</v>
      </c>
      <c r="C669" s="27">
        <v>23.7</v>
      </c>
      <c r="E669" s="18"/>
    </row>
    <row r="670" spans="1:5" ht="16.5" thickTop="1" thickBot="1" x14ac:dyDescent="0.3">
      <c r="A670" s="28">
        <v>4.2634885003019356</v>
      </c>
      <c r="B670" s="27">
        <v>0</v>
      </c>
      <c r="C670" s="27">
        <v>23.7</v>
      </c>
      <c r="E670" s="18"/>
    </row>
    <row r="671" spans="1:5" ht="16.5" thickTop="1" thickBot="1" x14ac:dyDescent="0.3">
      <c r="A671" s="28">
        <v>8.3290250267949197</v>
      </c>
      <c r="B671" s="27">
        <v>0</v>
      </c>
      <c r="C671" s="27">
        <v>13.2</v>
      </c>
      <c r="E671" s="18"/>
    </row>
    <row r="672" spans="1:5" ht="16.5" thickTop="1" thickBot="1" x14ac:dyDescent="0.3">
      <c r="A672" s="28">
        <v>6.7448262567375217</v>
      </c>
      <c r="B672" s="27">
        <v>0</v>
      </c>
      <c r="C672" s="27">
        <v>13.2</v>
      </c>
      <c r="E672" s="18"/>
    </row>
    <row r="673" spans="1:5" ht="16.5" thickTop="1" thickBot="1" x14ac:dyDescent="0.3">
      <c r="A673" s="28">
        <v>5.5061822153421751</v>
      </c>
      <c r="B673" s="27">
        <v>0</v>
      </c>
      <c r="C673" s="27">
        <v>13.2</v>
      </c>
      <c r="E673" s="18"/>
    </row>
    <row r="674" spans="1:5" ht="16.5" thickTop="1" thickBot="1" x14ac:dyDescent="0.3">
      <c r="A674" s="28">
        <v>3.2094663701401713</v>
      </c>
      <c r="B674" s="27">
        <v>0</v>
      </c>
      <c r="C674" s="27">
        <v>13.2</v>
      </c>
      <c r="E674" s="18"/>
    </row>
    <row r="675" spans="1:5" ht="16.5" thickTop="1" thickBot="1" x14ac:dyDescent="0.3">
      <c r="A675" s="28">
        <v>0.3298348676631977</v>
      </c>
      <c r="B675" s="27">
        <v>0</v>
      </c>
      <c r="C675" s="27">
        <v>13.2</v>
      </c>
      <c r="E675" s="18"/>
    </row>
    <row r="676" spans="1:5" ht="16.5" thickTop="1" thickBot="1" x14ac:dyDescent="0.3">
      <c r="A676" s="28">
        <v>4.3906222605869871</v>
      </c>
      <c r="B676" s="27">
        <v>0</v>
      </c>
      <c r="C676" s="27">
        <v>13.2</v>
      </c>
      <c r="E676" s="18"/>
    </row>
    <row r="677" spans="1:5" ht="16.5" thickTop="1" thickBot="1" x14ac:dyDescent="0.3">
      <c r="A677" s="28">
        <v>9.9935197657039474</v>
      </c>
      <c r="B677" s="27">
        <v>0</v>
      </c>
      <c r="C677" s="27">
        <v>13.2</v>
      </c>
      <c r="E677" s="18"/>
    </row>
    <row r="678" spans="1:5" ht="16.5" thickTop="1" thickBot="1" x14ac:dyDescent="0.3">
      <c r="A678" s="28">
        <v>2.800478669165313</v>
      </c>
      <c r="B678" s="27">
        <v>0</v>
      </c>
      <c r="C678" s="27">
        <v>13.2</v>
      </c>
      <c r="E678" s="18"/>
    </row>
    <row r="679" spans="1:5" ht="16.5" thickTop="1" thickBot="1" x14ac:dyDescent="0.3">
      <c r="A679" s="28">
        <v>2.5811445634967103</v>
      </c>
      <c r="B679" s="27">
        <v>0</v>
      </c>
      <c r="C679" s="27">
        <v>13.2</v>
      </c>
      <c r="E679" s="18"/>
    </row>
    <row r="680" spans="1:5" ht="16.5" thickTop="1" thickBot="1" x14ac:dyDescent="0.3">
      <c r="A680" s="28">
        <v>1.4325800000280022</v>
      </c>
      <c r="B680" s="27">
        <v>0</v>
      </c>
      <c r="C680" s="27">
        <v>13.2</v>
      </c>
      <c r="E680" s="18"/>
    </row>
    <row r="681" spans="1:5" ht="16.5" thickTop="1" thickBot="1" x14ac:dyDescent="0.3">
      <c r="A681" s="28">
        <v>11.770123017040953</v>
      </c>
      <c r="B681" s="27">
        <v>0</v>
      </c>
      <c r="C681" s="27">
        <v>13.2</v>
      </c>
      <c r="E681" s="18"/>
    </row>
    <row r="682" spans="1:5" ht="16.5" thickTop="1" thickBot="1" x14ac:dyDescent="0.3">
      <c r="A682" s="28">
        <v>4.9841736878936702</v>
      </c>
      <c r="B682" s="27">
        <v>0</v>
      </c>
      <c r="C682" s="27">
        <v>13.2</v>
      </c>
      <c r="E682" s="18"/>
    </row>
    <row r="683" spans="1:5" ht="16.5" thickTop="1" thickBot="1" x14ac:dyDescent="0.3">
      <c r="A683" s="28">
        <v>7.2828105527304468</v>
      </c>
      <c r="B683" s="27">
        <v>0</v>
      </c>
      <c r="C683" s="27">
        <v>13.2</v>
      </c>
      <c r="E683" s="18"/>
    </row>
    <row r="684" spans="1:5" ht="16.5" thickTop="1" thickBot="1" x14ac:dyDescent="0.3">
      <c r="A684" s="28">
        <v>5.2869014272101964</v>
      </c>
      <c r="B684" s="27">
        <v>0</v>
      </c>
      <c r="C684" s="27">
        <v>13.2</v>
      </c>
      <c r="E684" s="18"/>
    </row>
    <row r="685" spans="1:5" ht="16.5" thickTop="1" thickBot="1" x14ac:dyDescent="0.3">
      <c r="A685" s="28">
        <v>2.783648797890812</v>
      </c>
      <c r="B685" s="27">
        <v>0</v>
      </c>
      <c r="C685" s="27">
        <v>13.2</v>
      </c>
      <c r="E685" s="18"/>
    </row>
    <row r="686" spans="1:5" ht="16.5" thickTop="1" thickBot="1" x14ac:dyDescent="0.3">
      <c r="A686" s="28">
        <v>1.5795378986061186</v>
      </c>
      <c r="B686" s="27">
        <v>0</v>
      </c>
      <c r="C686" s="27">
        <v>13.2</v>
      </c>
      <c r="E686" s="18"/>
    </row>
    <row r="687" spans="1:5" ht="16.5" thickTop="1" thickBot="1" x14ac:dyDescent="0.3">
      <c r="A687" s="28">
        <v>5.6531291680312883</v>
      </c>
      <c r="B687" s="27">
        <v>0</v>
      </c>
      <c r="C687" s="27">
        <v>13.2</v>
      </c>
      <c r="E687" s="18"/>
    </row>
    <row r="688" spans="1:5" ht="16.5" thickTop="1" thickBot="1" x14ac:dyDescent="0.3">
      <c r="A688" s="28">
        <v>1.6209538746233145</v>
      </c>
      <c r="B688" s="27">
        <v>0</v>
      </c>
      <c r="C688" s="27">
        <v>10.5</v>
      </c>
      <c r="E688" s="18"/>
    </row>
    <row r="689" spans="1:5" ht="16.5" thickTop="1" thickBot="1" x14ac:dyDescent="0.3">
      <c r="A689" s="28">
        <v>0.83269938639410013</v>
      </c>
      <c r="B689" s="27">
        <v>0</v>
      </c>
      <c r="C689" s="27">
        <v>10.5</v>
      </c>
      <c r="E689" s="18"/>
    </row>
    <row r="690" spans="1:5" ht="16.5" thickTop="1" thickBot="1" x14ac:dyDescent="0.3">
      <c r="A690" s="28">
        <v>5.1342830905854999</v>
      </c>
      <c r="B690" s="27">
        <v>0</v>
      </c>
      <c r="C690" s="27">
        <v>10.5</v>
      </c>
      <c r="E690" s="18"/>
    </row>
    <row r="691" spans="1:5" ht="16.5" thickTop="1" thickBot="1" x14ac:dyDescent="0.3">
      <c r="A691" s="28">
        <v>8.2023448868260012</v>
      </c>
      <c r="B691" s="27">
        <v>0</v>
      </c>
      <c r="C691" s="27">
        <v>10.5</v>
      </c>
      <c r="E691" s="18"/>
    </row>
    <row r="692" spans="1:5" ht="16.5" thickTop="1" thickBot="1" x14ac:dyDescent="0.3">
      <c r="A692" s="28">
        <v>2.5286871846865591</v>
      </c>
      <c r="B692" s="27">
        <v>0</v>
      </c>
      <c r="C692" s="27">
        <v>10.5</v>
      </c>
      <c r="E692" s="18"/>
    </row>
    <row r="693" spans="1:5" ht="16.5" thickTop="1" thickBot="1" x14ac:dyDescent="0.3">
      <c r="A693" s="28">
        <v>9.4678004200748127</v>
      </c>
      <c r="B693" s="27">
        <v>0</v>
      </c>
      <c r="C693" s="27">
        <v>10.5</v>
      </c>
      <c r="E693" s="18"/>
    </row>
    <row r="694" spans="1:5" ht="16.5" thickTop="1" thickBot="1" x14ac:dyDescent="0.3">
      <c r="A694" s="28">
        <v>2.9513880905787162</v>
      </c>
      <c r="B694" s="27">
        <v>0</v>
      </c>
      <c r="C694" s="27">
        <v>10.5</v>
      </c>
      <c r="E694" s="18"/>
    </row>
    <row r="695" spans="1:5" ht="16.5" thickTop="1" thickBot="1" x14ac:dyDescent="0.3">
      <c r="A695" s="28">
        <v>10.721047736611261</v>
      </c>
      <c r="B695" s="27">
        <v>0</v>
      </c>
      <c r="C695" s="27">
        <v>10.5</v>
      </c>
      <c r="E695" s="18"/>
    </row>
    <row r="696" spans="1:5" ht="16.5" thickTop="1" thickBot="1" x14ac:dyDescent="0.3">
      <c r="A696" s="28">
        <v>5.8099722528736679</v>
      </c>
      <c r="B696" s="27">
        <v>0</v>
      </c>
      <c r="C696" s="27">
        <v>10.5</v>
      </c>
      <c r="E696" s="18"/>
    </row>
    <row r="697" spans="1:5" ht="16.5" thickTop="1" thickBot="1" x14ac:dyDescent="0.3">
      <c r="A697" s="28">
        <v>6.0412572496188979</v>
      </c>
      <c r="B697" s="27">
        <v>0</v>
      </c>
      <c r="C697" s="27">
        <v>10.5</v>
      </c>
      <c r="E697" s="18"/>
    </row>
    <row r="698" spans="1:5" ht="16.5" thickTop="1" thickBot="1" x14ac:dyDescent="0.3">
      <c r="A698" s="28">
        <v>1.0220641632139196</v>
      </c>
      <c r="B698" s="27">
        <v>0</v>
      </c>
      <c r="C698" s="27">
        <v>10.5</v>
      </c>
      <c r="E698" s="18"/>
    </row>
    <row r="699" spans="1:5" ht="16.5" thickTop="1" thickBot="1" x14ac:dyDescent="0.3">
      <c r="A699" s="28">
        <v>3.3593652662028006</v>
      </c>
      <c r="B699" s="27">
        <v>0</v>
      </c>
      <c r="C699" s="27">
        <v>10.5</v>
      </c>
      <c r="E699" s="18"/>
    </row>
    <row r="700" spans="1:5" ht="16.5" thickTop="1" thickBot="1" x14ac:dyDescent="0.3">
      <c r="A700" s="28">
        <v>3.0028494349852126</v>
      </c>
      <c r="B700" s="27">
        <v>0</v>
      </c>
      <c r="C700" s="27">
        <v>10.5</v>
      </c>
      <c r="E700" s="18"/>
    </row>
    <row r="701" spans="1:5" ht="16.5" thickTop="1" thickBot="1" x14ac:dyDescent="0.3">
      <c r="A701" s="28">
        <v>5.5218931905328503</v>
      </c>
      <c r="B701" s="27">
        <v>0</v>
      </c>
      <c r="C701" s="27">
        <v>10.5</v>
      </c>
      <c r="E701" s="18"/>
    </row>
    <row r="702" spans="1:5" ht="16.5" thickTop="1" thickBot="1" x14ac:dyDescent="0.3">
      <c r="A702" s="28">
        <v>4.6222387663205424</v>
      </c>
      <c r="B702" s="27">
        <v>0</v>
      </c>
      <c r="C702" s="27">
        <v>10.5</v>
      </c>
      <c r="E702" s="18"/>
    </row>
    <row r="703" spans="1:5" ht="16.5" thickTop="1" thickBot="1" x14ac:dyDescent="0.3">
      <c r="A703" s="28">
        <v>6.894227780033626</v>
      </c>
      <c r="B703" s="27">
        <v>0</v>
      </c>
      <c r="C703" s="27">
        <v>9.5</v>
      </c>
      <c r="E703" s="18"/>
    </row>
    <row r="704" spans="1:5" ht="16.5" thickTop="1" thickBot="1" x14ac:dyDescent="0.3">
      <c r="A704" s="28">
        <v>2.3220261114901932</v>
      </c>
      <c r="B704" s="27">
        <v>0</v>
      </c>
      <c r="C704" s="27">
        <v>9.5</v>
      </c>
      <c r="E704" s="18"/>
    </row>
    <row r="705" spans="1:5" ht="16.5" thickTop="1" thickBot="1" x14ac:dyDescent="0.3">
      <c r="A705" s="28">
        <v>1.613085911069867</v>
      </c>
      <c r="B705" s="27">
        <v>0</v>
      </c>
      <c r="C705" s="27">
        <v>9.5</v>
      </c>
      <c r="E705" s="18"/>
    </row>
    <row r="706" spans="1:5" ht="16.5" thickTop="1" thickBot="1" x14ac:dyDescent="0.3">
      <c r="A706" s="28">
        <v>4.5178690501333572</v>
      </c>
      <c r="B706" s="27">
        <v>0</v>
      </c>
      <c r="C706" s="27">
        <v>9.5</v>
      </c>
      <c r="E706" s="18"/>
    </row>
    <row r="707" spans="1:5" ht="16.5" thickTop="1" thickBot="1" x14ac:dyDescent="0.3">
      <c r="A707" s="28">
        <v>5.2418647654357269</v>
      </c>
      <c r="B707" s="27">
        <v>0</v>
      </c>
      <c r="C707" s="27">
        <v>9.5</v>
      </c>
      <c r="E707" s="18"/>
    </row>
    <row r="708" spans="1:5" ht="16.5" thickTop="1" thickBot="1" x14ac:dyDescent="0.3">
      <c r="A708" s="28">
        <v>5.4790298876954395</v>
      </c>
      <c r="B708" s="27">
        <v>0</v>
      </c>
      <c r="C708" s="27">
        <v>9.5</v>
      </c>
      <c r="E708" s="18"/>
    </row>
    <row r="709" spans="1:5" ht="16.5" thickTop="1" thickBot="1" x14ac:dyDescent="0.3">
      <c r="A709" s="28">
        <v>11.088072549189913</v>
      </c>
      <c r="B709" s="27">
        <v>0</v>
      </c>
      <c r="C709" s="27">
        <v>9.5</v>
      </c>
      <c r="E709" s="18"/>
    </row>
    <row r="710" spans="1:5" ht="16.5" thickTop="1" thickBot="1" x14ac:dyDescent="0.3">
      <c r="A710" s="28">
        <v>4.3233612219118287</v>
      </c>
      <c r="B710" s="27">
        <v>0</v>
      </c>
      <c r="C710" s="27">
        <v>9.5</v>
      </c>
      <c r="E710" s="18"/>
    </row>
    <row r="711" spans="1:5" ht="16.5" thickTop="1" thickBot="1" x14ac:dyDescent="0.3">
      <c r="A711" s="28">
        <v>6.8050402776015559</v>
      </c>
      <c r="B711" s="27">
        <v>0</v>
      </c>
      <c r="C711" s="27">
        <v>9.5</v>
      </c>
      <c r="E711" s="18"/>
    </row>
    <row r="712" spans="1:5" ht="16.5" thickTop="1" thickBot="1" x14ac:dyDescent="0.3">
      <c r="A712" s="28">
        <v>2.9425428094773096</v>
      </c>
      <c r="B712" s="27">
        <v>0</v>
      </c>
      <c r="C712" s="27">
        <v>9.5</v>
      </c>
      <c r="E712" s="18"/>
    </row>
    <row r="713" spans="1:5" ht="16.5" thickTop="1" thickBot="1" x14ac:dyDescent="0.3">
      <c r="A713" s="28">
        <v>3.2586821766992888</v>
      </c>
      <c r="B713" s="27">
        <v>0</v>
      </c>
      <c r="C713" s="27">
        <v>9.5</v>
      </c>
      <c r="E713" s="18"/>
    </row>
    <row r="714" spans="1:5" ht="16.5" thickTop="1" thickBot="1" x14ac:dyDescent="0.3">
      <c r="A714" s="28">
        <v>2.1103111736225286</v>
      </c>
      <c r="B714" s="27">
        <v>0</v>
      </c>
      <c r="C714" s="27">
        <v>9.5</v>
      </c>
      <c r="E714" s="18"/>
    </row>
    <row r="715" spans="1:5" ht="16.5" thickTop="1" thickBot="1" x14ac:dyDescent="0.3">
      <c r="A715" s="28">
        <v>2.0287550773721215</v>
      </c>
      <c r="B715" s="27">
        <v>0</v>
      </c>
      <c r="C715" s="27">
        <v>9.5</v>
      </c>
      <c r="E715" s="18"/>
    </row>
    <row r="716" spans="1:5" ht="16.5" thickTop="1" thickBot="1" x14ac:dyDescent="0.3">
      <c r="A716" s="28">
        <v>2.7559975976257074</v>
      </c>
      <c r="B716" s="27">
        <v>0</v>
      </c>
      <c r="C716" s="27">
        <v>9.5</v>
      </c>
      <c r="E716" s="18"/>
    </row>
    <row r="717" spans="1:5" ht="16.5" thickTop="1" thickBot="1" x14ac:dyDescent="0.3">
      <c r="A717" s="28">
        <v>8.8853545817794881</v>
      </c>
      <c r="B717" s="27">
        <v>0</v>
      </c>
      <c r="C717" s="27">
        <v>9.5</v>
      </c>
      <c r="E717" s="18"/>
    </row>
    <row r="718" spans="1:5" ht="16.5" thickTop="1" thickBot="1" x14ac:dyDescent="0.3">
      <c r="A718" s="28">
        <v>1.982049091792343</v>
      </c>
      <c r="B718" s="27">
        <v>0</v>
      </c>
      <c r="C718" s="27">
        <v>9.5</v>
      </c>
      <c r="E718" s="18"/>
    </row>
    <row r="719" spans="1:5" ht="16.5" thickTop="1" thickBot="1" x14ac:dyDescent="0.3">
      <c r="A719" s="28">
        <v>7.3885037271872491</v>
      </c>
      <c r="B719" s="27">
        <v>0</v>
      </c>
      <c r="C719" s="27">
        <v>9.5</v>
      </c>
      <c r="E719" s="18"/>
    </row>
    <row r="720" spans="1:5" ht="16.5" thickTop="1" thickBot="1" x14ac:dyDescent="0.3">
      <c r="A720" s="28">
        <v>5.9373980761398366</v>
      </c>
      <c r="B720" s="27">
        <v>0</v>
      </c>
      <c r="C720" s="27">
        <v>15.9</v>
      </c>
      <c r="E720" s="18"/>
    </row>
    <row r="721" spans="1:5" ht="16.5" thickTop="1" thickBot="1" x14ac:dyDescent="0.3">
      <c r="A721" s="28">
        <v>6.4288922001671898</v>
      </c>
      <c r="B721" s="27">
        <v>0</v>
      </c>
      <c r="C721" s="27">
        <v>15.9</v>
      </c>
      <c r="E721" s="18"/>
    </row>
    <row r="722" spans="1:5" ht="16.5" thickTop="1" thickBot="1" x14ac:dyDescent="0.3">
      <c r="A722" s="28">
        <v>6.4321006172854887</v>
      </c>
      <c r="B722" s="27">
        <v>0</v>
      </c>
      <c r="C722" s="27">
        <v>15.9</v>
      </c>
      <c r="E722" s="18"/>
    </row>
    <row r="723" spans="1:5" ht="16.5" thickTop="1" thickBot="1" x14ac:dyDescent="0.3">
      <c r="A723" s="28">
        <v>7.8389218153100089</v>
      </c>
      <c r="B723" s="27">
        <v>0</v>
      </c>
      <c r="C723" s="27">
        <v>15.9</v>
      </c>
      <c r="E723" s="18"/>
    </row>
    <row r="724" spans="1:5" ht="16.5" thickTop="1" thickBot="1" x14ac:dyDescent="0.3">
      <c r="A724" s="28">
        <v>1.161812047045917</v>
      </c>
      <c r="B724" s="27">
        <v>0</v>
      </c>
      <c r="C724" s="27">
        <v>15.9</v>
      </c>
      <c r="E724" s="18"/>
    </row>
    <row r="725" spans="1:5" ht="16.5" thickTop="1" thickBot="1" x14ac:dyDescent="0.3">
      <c r="A725" s="28">
        <v>7.0299431398973828</v>
      </c>
      <c r="B725" s="27">
        <v>0</v>
      </c>
      <c r="C725" s="27">
        <v>15.9</v>
      </c>
      <c r="E725" s="18"/>
    </row>
    <row r="726" spans="1:5" ht="16.5" thickTop="1" thickBot="1" x14ac:dyDescent="0.3">
      <c r="A726" s="28">
        <v>0.28624273149418655</v>
      </c>
      <c r="B726" s="27">
        <v>0</v>
      </c>
      <c r="C726" s="27">
        <v>15.9</v>
      </c>
      <c r="E726" s="18"/>
    </row>
    <row r="727" spans="1:5" ht="16.5" thickTop="1" thickBot="1" x14ac:dyDescent="0.3">
      <c r="A727" s="28">
        <v>6.4714542167216376</v>
      </c>
      <c r="B727" s="27">
        <v>0</v>
      </c>
      <c r="C727" s="27">
        <v>15.9</v>
      </c>
      <c r="E727" s="18"/>
    </row>
    <row r="728" spans="1:5" ht="16.5" thickTop="1" thickBot="1" x14ac:dyDescent="0.3">
      <c r="A728" s="28">
        <v>4.0286602335372219</v>
      </c>
      <c r="B728" s="27">
        <v>0</v>
      </c>
      <c r="C728" s="27">
        <v>15.9</v>
      </c>
      <c r="E728" s="18"/>
    </row>
    <row r="729" spans="1:5" ht="16.5" thickTop="1" thickBot="1" x14ac:dyDescent="0.3">
      <c r="A729" s="28">
        <v>3.2305253932250979</v>
      </c>
      <c r="B729" s="27">
        <v>0</v>
      </c>
      <c r="C729" s="27">
        <v>15.9</v>
      </c>
      <c r="E729" s="18"/>
    </row>
    <row r="730" spans="1:5" ht="16.5" thickTop="1" thickBot="1" x14ac:dyDescent="0.3">
      <c r="A730" s="28">
        <v>5.1772353228961858</v>
      </c>
      <c r="B730" s="27">
        <v>0</v>
      </c>
      <c r="C730" s="27">
        <v>15.9</v>
      </c>
      <c r="E730" s="18"/>
    </row>
    <row r="731" spans="1:5" ht="16.5" thickTop="1" thickBot="1" x14ac:dyDescent="0.3">
      <c r="A731" s="28">
        <v>6.3687913972159116E-2</v>
      </c>
      <c r="B731" s="27">
        <v>0</v>
      </c>
      <c r="C731" s="27">
        <v>15.9</v>
      </c>
      <c r="E731" s="18"/>
    </row>
    <row r="732" spans="1:5" ht="16.5" thickTop="1" thickBot="1" x14ac:dyDescent="0.3">
      <c r="A732" s="28">
        <v>3.2837164939424452</v>
      </c>
      <c r="B732" s="27">
        <v>0</v>
      </c>
      <c r="C732" s="27">
        <v>15.9</v>
      </c>
      <c r="E732" s="18"/>
    </row>
    <row r="733" spans="1:5" ht="16.5" thickTop="1" thickBot="1" x14ac:dyDescent="0.3">
      <c r="A733" s="28">
        <v>3.7012444387741099</v>
      </c>
      <c r="B733" s="27">
        <v>0</v>
      </c>
      <c r="C733" s="27">
        <v>15.9</v>
      </c>
      <c r="E733" s="18"/>
    </row>
    <row r="734" spans="1:5" ht="16.5" thickTop="1" thickBot="1" x14ac:dyDescent="0.3">
      <c r="A734" s="28">
        <v>0.45997758469119043</v>
      </c>
      <c r="B734" s="27">
        <v>0</v>
      </c>
      <c r="C734" s="27">
        <v>15.9</v>
      </c>
      <c r="E734" s="18"/>
    </row>
    <row r="735" spans="1:5" ht="16.5" thickTop="1" thickBot="1" x14ac:dyDescent="0.3">
      <c r="A735" s="28">
        <v>10.57206947737841</v>
      </c>
      <c r="B735" s="27">
        <v>0</v>
      </c>
      <c r="C735" s="27">
        <v>15.9</v>
      </c>
      <c r="E735" s="18"/>
    </row>
    <row r="736" spans="1:5" ht="16.5" thickTop="1" thickBot="1" x14ac:dyDescent="0.3">
      <c r="A736" s="28">
        <v>4.275337641705617</v>
      </c>
      <c r="B736" s="27">
        <v>0</v>
      </c>
      <c r="C736" s="27">
        <v>9.6999999999999993</v>
      </c>
      <c r="E736" s="18"/>
    </row>
    <row r="737" spans="1:5" ht="16.5" thickTop="1" thickBot="1" x14ac:dyDescent="0.3">
      <c r="A737" s="28">
        <v>2.212054546039929</v>
      </c>
      <c r="B737" s="27">
        <v>0</v>
      </c>
      <c r="C737" s="27">
        <v>9.6999999999999993</v>
      </c>
      <c r="E737" s="18"/>
    </row>
    <row r="738" spans="1:5" ht="16.5" thickTop="1" thickBot="1" x14ac:dyDescent="0.3">
      <c r="A738" s="28">
        <v>1.2968154150588949</v>
      </c>
      <c r="B738" s="27">
        <v>0</v>
      </c>
      <c r="C738" s="27">
        <v>9.6999999999999993</v>
      </c>
      <c r="E738" s="18"/>
    </row>
    <row r="739" spans="1:5" ht="16.5" thickTop="1" thickBot="1" x14ac:dyDescent="0.3">
      <c r="A739" s="28">
        <v>3.798647696877413</v>
      </c>
      <c r="B739" s="27">
        <v>0</v>
      </c>
      <c r="C739" s="27">
        <v>9.6999999999999993</v>
      </c>
      <c r="E739" s="18"/>
    </row>
    <row r="740" spans="1:5" ht="16.5" thickTop="1" thickBot="1" x14ac:dyDescent="0.3">
      <c r="A740" s="28">
        <v>0.66813927760482628</v>
      </c>
      <c r="B740" s="27">
        <v>0</v>
      </c>
      <c r="C740" s="27">
        <v>9.6999999999999993</v>
      </c>
      <c r="E740" s="18"/>
    </row>
    <row r="741" spans="1:5" ht="16.5" thickTop="1" thickBot="1" x14ac:dyDescent="0.3">
      <c r="A741" s="28">
        <v>8.4486823337489749</v>
      </c>
      <c r="B741" s="27">
        <v>0</v>
      </c>
      <c r="C741" s="27">
        <v>9.6999999999999993</v>
      </c>
      <c r="E741" s="18"/>
    </row>
    <row r="742" spans="1:5" ht="16.5" thickTop="1" thickBot="1" x14ac:dyDescent="0.3">
      <c r="A742" s="28">
        <v>1.4607401719148854</v>
      </c>
      <c r="B742" s="27">
        <v>0</v>
      </c>
      <c r="C742" s="27">
        <v>9.6999999999999993</v>
      </c>
      <c r="E742" s="18"/>
    </row>
    <row r="743" spans="1:5" ht="16.5" thickTop="1" thickBot="1" x14ac:dyDescent="0.3">
      <c r="A743" s="28">
        <v>1.092923519152138</v>
      </c>
      <c r="B743" s="27">
        <v>0</v>
      </c>
      <c r="C743" s="27">
        <v>9.6999999999999993</v>
      </c>
      <c r="E743" s="18"/>
    </row>
    <row r="744" spans="1:5" ht="16.5" thickTop="1" thickBot="1" x14ac:dyDescent="0.3">
      <c r="A744" s="28">
        <v>1.8837100991962568</v>
      </c>
      <c r="B744" s="27">
        <v>0</v>
      </c>
      <c r="C744" s="27">
        <v>9.6999999999999993</v>
      </c>
      <c r="E744" s="18"/>
    </row>
    <row r="745" spans="1:5" ht="16.5" thickTop="1" thickBot="1" x14ac:dyDescent="0.3">
      <c r="A745" s="28">
        <v>8.4337241073799909</v>
      </c>
      <c r="B745" s="27">
        <v>0</v>
      </c>
      <c r="C745" s="27">
        <v>9.6999999999999993</v>
      </c>
      <c r="E745" s="18"/>
    </row>
    <row r="746" spans="1:5" ht="16.5" thickTop="1" thickBot="1" x14ac:dyDescent="0.3">
      <c r="A746" s="28">
        <v>6.4242549630666828</v>
      </c>
      <c r="B746" s="27">
        <v>0</v>
      </c>
      <c r="C746" s="27">
        <v>9.6999999999999993</v>
      </c>
      <c r="E746" s="18"/>
    </row>
    <row r="747" spans="1:5" ht="16.5" thickTop="1" thickBot="1" x14ac:dyDescent="0.3">
      <c r="A747" s="28">
        <v>2.9182305283326282</v>
      </c>
      <c r="B747" s="27">
        <v>0</v>
      </c>
      <c r="C747" s="27">
        <v>9.6999999999999993</v>
      </c>
      <c r="E747" s="18"/>
    </row>
    <row r="748" spans="1:5" ht="16.5" thickTop="1" thickBot="1" x14ac:dyDescent="0.3">
      <c r="A748" s="28">
        <v>4.0831581499950529</v>
      </c>
      <c r="B748" s="27">
        <v>0</v>
      </c>
      <c r="C748" s="27">
        <v>9.6999999999999993</v>
      </c>
      <c r="E748" s="18"/>
    </row>
    <row r="749" spans="1:5" ht="16.5" thickTop="1" thickBot="1" x14ac:dyDescent="0.3">
      <c r="A749" s="28">
        <v>0.62024049796890335</v>
      </c>
      <c r="B749" s="27">
        <v>0</v>
      </c>
      <c r="C749" s="27">
        <v>9.6999999999999993</v>
      </c>
      <c r="E749" s="18"/>
    </row>
    <row r="750" spans="1:5" ht="16.5" thickTop="1" thickBot="1" x14ac:dyDescent="0.3">
      <c r="A750" s="28">
        <v>2.9042335329070905</v>
      </c>
      <c r="B750" s="27">
        <v>0</v>
      </c>
      <c r="C750" s="27">
        <v>9.6999999999999993</v>
      </c>
      <c r="E750" s="18"/>
    </row>
    <row r="751" spans="1:5" ht="16.5" thickTop="1" thickBot="1" x14ac:dyDescent="0.3">
      <c r="A751" s="28">
        <v>10.271933038542388</v>
      </c>
      <c r="B751" s="27">
        <v>0</v>
      </c>
      <c r="C751" s="27">
        <v>9.6999999999999993</v>
      </c>
      <c r="E751" s="18"/>
    </row>
    <row r="752" spans="1:5" ht="16.5" thickTop="1" thickBot="1" x14ac:dyDescent="0.3">
      <c r="A752" s="28">
        <v>4.6461255282573344</v>
      </c>
      <c r="B752" s="27">
        <v>0</v>
      </c>
      <c r="C752" s="27">
        <v>8.3000000000000007</v>
      </c>
      <c r="E752" s="18"/>
    </row>
    <row r="753" spans="1:5" ht="16.5" thickTop="1" thickBot="1" x14ac:dyDescent="0.3">
      <c r="A753" s="28">
        <v>5.0638383653078751</v>
      </c>
      <c r="B753" s="27">
        <v>0</v>
      </c>
      <c r="C753" s="27">
        <v>8.3000000000000007</v>
      </c>
      <c r="E753" s="18"/>
    </row>
    <row r="754" spans="1:5" ht="16.5" thickTop="1" thickBot="1" x14ac:dyDescent="0.3">
      <c r="A754" s="28">
        <v>6.0896250834036669</v>
      </c>
      <c r="B754" s="27">
        <v>0</v>
      </c>
      <c r="C754" s="27">
        <v>8.3000000000000007</v>
      </c>
      <c r="E754" s="18"/>
    </row>
    <row r="755" spans="1:5" ht="16.5" thickTop="1" thickBot="1" x14ac:dyDescent="0.3">
      <c r="A755" s="28">
        <v>6.4677335770362667</v>
      </c>
      <c r="B755" s="27">
        <v>0</v>
      </c>
      <c r="C755" s="27">
        <v>8.3000000000000007</v>
      </c>
      <c r="E755" s="18"/>
    </row>
    <row r="756" spans="1:5" ht="16.5" thickTop="1" thickBot="1" x14ac:dyDescent="0.3">
      <c r="A756" s="28">
        <v>2.3765441565077543</v>
      </c>
      <c r="B756" s="27">
        <v>0</v>
      </c>
      <c r="C756" s="27">
        <v>8.3000000000000007</v>
      </c>
      <c r="E756" s="18"/>
    </row>
    <row r="757" spans="1:5" ht="16.5" thickTop="1" thickBot="1" x14ac:dyDescent="0.3">
      <c r="A757" s="28">
        <v>4.8336141040079035</v>
      </c>
      <c r="B757" s="27">
        <v>0</v>
      </c>
      <c r="C757" s="27">
        <v>8.3000000000000007</v>
      </c>
      <c r="E757" s="18"/>
    </row>
    <row r="758" spans="1:5" ht="16.5" thickTop="1" thickBot="1" x14ac:dyDescent="0.3">
      <c r="A758" s="28">
        <v>2.5341662083086285</v>
      </c>
      <c r="B758" s="27">
        <v>0</v>
      </c>
      <c r="C758" s="27">
        <v>8.3000000000000007</v>
      </c>
      <c r="E758" s="18"/>
    </row>
    <row r="759" spans="1:5" ht="16.5" thickTop="1" thickBot="1" x14ac:dyDescent="0.3">
      <c r="A759" s="28">
        <v>2.0014480703527511</v>
      </c>
      <c r="B759" s="27">
        <v>0</v>
      </c>
      <c r="C759" s="27">
        <v>8.3000000000000007</v>
      </c>
      <c r="E759" s="18"/>
    </row>
    <row r="760" spans="1:5" ht="16.5" thickTop="1" thickBot="1" x14ac:dyDescent="0.3">
      <c r="A760" s="28">
        <v>3.9781011190114159</v>
      </c>
      <c r="B760" s="27">
        <v>0</v>
      </c>
      <c r="C760" s="27">
        <v>8.3000000000000007</v>
      </c>
      <c r="E760" s="18"/>
    </row>
    <row r="761" spans="1:5" ht="16.5" thickTop="1" thickBot="1" x14ac:dyDescent="0.3">
      <c r="A761" s="28">
        <v>8.2266919029666568</v>
      </c>
      <c r="B761" s="27">
        <v>0</v>
      </c>
      <c r="C761" s="27">
        <v>8.3000000000000007</v>
      </c>
      <c r="E761" s="18"/>
    </row>
    <row r="762" spans="1:5" ht="16.5" thickTop="1" thickBot="1" x14ac:dyDescent="0.3">
      <c r="A762" s="28">
        <v>6.8461006324240614</v>
      </c>
      <c r="B762" s="27">
        <v>0</v>
      </c>
      <c r="C762" s="27">
        <v>8.3000000000000007</v>
      </c>
      <c r="E762" s="18"/>
    </row>
    <row r="763" spans="1:5" ht="16.5" thickTop="1" thickBot="1" x14ac:dyDescent="0.3">
      <c r="A763" s="28">
        <v>1.6369691039664973</v>
      </c>
      <c r="B763" s="27">
        <v>0</v>
      </c>
      <c r="C763" s="27">
        <v>8.3000000000000007</v>
      </c>
      <c r="E763" s="18"/>
    </row>
    <row r="764" spans="1:5" ht="16.5" thickTop="1" thickBot="1" x14ac:dyDescent="0.3">
      <c r="A764" s="28">
        <v>0.94597107476077669</v>
      </c>
      <c r="B764" s="27">
        <v>0</v>
      </c>
      <c r="C764" s="27">
        <v>8.3000000000000007</v>
      </c>
      <c r="E764" s="18"/>
    </row>
    <row r="765" spans="1:5" ht="16.5" thickTop="1" thickBot="1" x14ac:dyDescent="0.3">
      <c r="A765" s="28">
        <v>5.8835891896765791</v>
      </c>
      <c r="B765" s="27">
        <v>0</v>
      </c>
      <c r="C765" s="27">
        <v>8.3000000000000007</v>
      </c>
      <c r="E765" s="18"/>
    </row>
    <row r="766" spans="1:5" ht="16.5" thickTop="1" thickBot="1" x14ac:dyDescent="0.3">
      <c r="A766" s="28">
        <v>5.7061593269323154</v>
      </c>
      <c r="B766" s="27">
        <v>0</v>
      </c>
      <c r="C766" s="27">
        <v>8.3000000000000007</v>
      </c>
      <c r="E766" s="18"/>
    </row>
    <row r="767" spans="1:5" ht="16.5" thickTop="1" thickBot="1" x14ac:dyDescent="0.3">
      <c r="A767" s="28">
        <v>3.6329956298586867</v>
      </c>
      <c r="B767" s="27">
        <v>0</v>
      </c>
      <c r="C767" s="27">
        <v>8.3000000000000007</v>
      </c>
      <c r="E767" s="18"/>
    </row>
    <row r="768" spans="1:5" ht="16.5" thickTop="1" thickBot="1" x14ac:dyDescent="0.3">
      <c r="A768" s="28">
        <v>5.1922745963382715</v>
      </c>
      <c r="B768" s="27">
        <v>0</v>
      </c>
      <c r="C768" s="27">
        <v>17.8</v>
      </c>
      <c r="E768" s="18"/>
    </row>
    <row r="769" spans="1:5" ht="16.5" thickTop="1" thickBot="1" x14ac:dyDescent="0.3">
      <c r="A769" s="28">
        <v>6.1566886348185941</v>
      </c>
      <c r="B769" s="27">
        <v>0</v>
      </c>
      <c r="C769" s="27">
        <v>17.8</v>
      </c>
      <c r="E769" s="18"/>
    </row>
    <row r="770" spans="1:5" ht="16.5" thickTop="1" thickBot="1" x14ac:dyDescent="0.3">
      <c r="A770" s="28">
        <v>0.6473810529842805</v>
      </c>
      <c r="B770" s="27">
        <v>0</v>
      </c>
      <c r="C770" s="27">
        <v>17.8</v>
      </c>
      <c r="E770" s="18"/>
    </row>
    <row r="771" spans="1:5" ht="16.5" thickTop="1" thickBot="1" x14ac:dyDescent="0.3">
      <c r="A771" s="28">
        <v>2.0395847243710095</v>
      </c>
      <c r="B771" s="27">
        <v>0</v>
      </c>
      <c r="C771" s="27">
        <v>17.8</v>
      </c>
      <c r="E771" s="18"/>
    </row>
    <row r="772" spans="1:5" ht="16.5" thickTop="1" thickBot="1" x14ac:dyDescent="0.3">
      <c r="A772" s="28">
        <v>1.8130573917641442</v>
      </c>
      <c r="B772" s="27">
        <v>0</v>
      </c>
      <c r="C772" s="27">
        <v>17.8</v>
      </c>
      <c r="E772" s="18"/>
    </row>
    <row r="773" spans="1:5" ht="16.5" thickTop="1" thickBot="1" x14ac:dyDescent="0.3">
      <c r="A773" s="28">
        <v>0.65921958925876378</v>
      </c>
      <c r="B773" s="27">
        <v>0</v>
      </c>
      <c r="C773" s="27">
        <v>17.8</v>
      </c>
      <c r="E773" s="18"/>
    </row>
    <row r="774" spans="1:5" ht="16.5" thickTop="1" thickBot="1" x14ac:dyDescent="0.3">
      <c r="A774" s="28">
        <v>2.9535721377622015</v>
      </c>
      <c r="B774" s="27">
        <v>0</v>
      </c>
      <c r="C774" s="27">
        <v>17.8</v>
      </c>
      <c r="E774" s="18"/>
    </row>
    <row r="775" spans="1:5" ht="16.5" thickTop="1" thickBot="1" x14ac:dyDescent="0.3">
      <c r="A775" s="28">
        <v>8.1692910671877286</v>
      </c>
      <c r="B775" s="27">
        <v>0</v>
      </c>
      <c r="C775" s="27">
        <v>17.8</v>
      </c>
      <c r="E775" s="18"/>
    </row>
    <row r="776" spans="1:5" ht="16.5" thickTop="1" thickBot="1" x14ac:dyDescent="0.3">
      <c r="A776" s="28">
        <v>2.6993574184782148</v>
      </c>
      <c r="B776" s="27">
        <v>0</v>
      </c>
      <c r="C776" s="27">
        <v>17.8</v>
      </c>
      <c r="E776" s="18"/>
    </row>
    <row r="777" spans="1:5" ht="16.5" thickTop="1" thickBot="1" x14ac:dyDescent="0.3">
      <c r="A777" s="28">
        <v>0.58923935359240254</v>
      </c>
      <c r="B777" s="27">
        <v>0</v>
      </c>
      <c r="C777" s="27">
        <v>17.8</v>
      </c>
      <c r="E777" s="18"/>
    </row>
    <row r="778" spans="1:5" ht="16.5" thickTop="1" thickBot="1" x14ac:dyDescent="0.3">
      <c r="A778" s="28">
        <v>1.7070133962409293</v>
      </c>
      <c r="B778" s="27">
        <v>0</v>
      </c>
      <c r="C778" s="27">
        <v>17.8</v>
      </c>
      <c r="E778" s="18"/>
    </row>
    <row r="779" spans="1:5" ht="16.5" thickTop="1" thickBot="1" x14ac:dyDescent="0.3">
      <c r="A779" s="28">
        <v>2.4512283364531817</v>
      </c>
      <c r="B779" s="27">
        <v>0</v>
      </c>
      <c r="C779" s="27">
        <v>17.8</v>
      </c>
      <c r="E779" s="18"/>
    </row>
    <row r="780" spans="1:5" ht="16.5" thickTop="1" thickBot="1" x14ac:dyDescent="0.3">
      <c r="A780" s="28">
        <v>4.4454225395264428</v>
      </c>
      <c r="B780" s="27">
        <v>0</v>
      </c>
      <c r="C780" s="27">
        <v>17.8</v>
      </c>
      <c r="E780" s="18"/>
    </row>
    <row r="781" spans="1:5" ht="16.5" thickTop="1" thickBot="1" x14ac:dyDescent="0.3">
      <c r="A781" s="28">
        <v>4.0437259913962942</v>
      </c>
      <c r="B781" s="27">
        <v>0</v>
      </c>
      <c r="C781" s="27">
        <v>17.8</v>
      </c>
      <c r="E781" s="18"/>
    </row>
    <row r="782" spans="1:5" ht="16.5" thickTop="1" thickBot="1" x14ac:dyDescent="0.3">
      <c r="A782" s="28">
        <v>1.4009964657334333</v>
      </c>
      <c r="B782" s="27">
        <v>0</v>
      </c>
      <c r="C782" s="27">
        <v>17.8</v>
      </c>
      <c r="E782" s="18"/>
    </row>
    <row r="783" spans="1:5" ht="16.5" thickTop="1" thickBot="1" x14ac:dyDescent="0.3">
      <c r="A783" s="28">
        <v>0.13132474981987441</v>
      </c>
      <c r="B783" s="27">
        <v>0</v>
      </c>
      <c r="C783" s="27">
        <v>14.3</v>
      </c>
      <c r="E783" s="18"/>
    </row>
    <row r="784" spans="1:5" ht="16.5" thickTop="1" thickBot="1" x14ac:dyDescent="0.3">
      <c r="A784" s="28">
        <v>1.3004126108042495</v>
      </c>
      <c r="B784" s="27">
        <v>0</v>
      </c>
      <c r="C784" s="27">
        <v>14.3</v>
      </c>
      <c r="E784" s="18"/>
    </row>
    <row r="785" spans="1:7" ht="16.5" thickTop="1" thickBot="1" x14ac:dyDescent="0.3">
      <c r="A785" s="28">
        <v>11.570284993137919</v>
      </c>
      <c r="B785" s="27">
        <v>0</v>
      </c>
      <c r="C785" s="27">
        <v>14.3</v>
      </c>
      <c r="E785" s="18"/>
    </row>
    <row r="786" spans="1:7" ht="16.5" thickTop="1" thickBot="1" x14ac:dyDescent="0.3">
      <c r="A786" s="28">
        <v>4.5530729310152562</v>
      </c>
      <c r="B786" s="27">
        <v>0</v>
      </c>
      <c r="C786" s="27">
        <v>14.3</v>
      </c>
      <c r="E786" s="18"/>
    </row>
    <row r="787" spans="1:7" ht="16.5" thickTop="1" thickBot="1" x14ac:dyDescent="0.3">
      <c r="A787" s="28">
        <v>1.2234738554212106</v>
      </c>
      <c r="B787" s="27">
        <v>0</v>
      </c>
      <c r="C787" s="27">
        <v>14.3</v>
      </c>
      <c r="E787" s="18"/>
    </row>
    <row r="788" spans="1:7" ht="16.5" thickTop="1" thickBot="1" x14ac:dyDescent="0.3">
      <c r="A788" s="28">
        <v>4.8777002544440782</v>
      </c>
      <c r="B788" s="27">
        <v>0</v>
      </c>
      <c r="C788" s="27">
        <v>14.3</v>
      </c>
      <c r="E788" s="18"/>
    </row>
    <row r="789" spans="1:7" ht="16.5" thickTop="1" thickBot="1" x14ac:dyDescent="0.3">
      <c r="A789" s="28">
        <v>9.6897734233314683</v>
      </c>
      <c r="B789" s="27">
        <v>0</v>
      </c>
      <c r="C789" s="27">
        <v>14.3</v>
      </c>
      <c r="E789" s="18"/>
    </row>
    <row r="790" spans="1:7" ht="16.5" thickTop="1" thickBot="1" x14ac:dyDescent="0.3">
      <c r="A790" s="28">
        <v>3.4737088602099102</v>
      </c>
      <c r="B790" s="27">
        <v>0</v>
      </c>
      <c r="C790" s="27">
        <v>14.3</v>
      </c>
      <c r="E790" s="18"/>
    </row>
    <row r="791" spans="1:7" ht="16.5" thickTop="1" thickBot="1" x14ac:dyDescent="0.3">
      <c r="A791" s="28">
        <v>11.514347287314678</v>
      </c>
      <c r="B791" s="27">
        <v>0</v>
      </c>
      <c r="C791" s="27">
        <v>14.3</v>
      </c>
      <c r="E791" s="18"/>
    </row>
    <row r="792" spans="1:7" ht="16.5" thickTop="1" thickBot="1" x14ac:dyDescent="0.3">
      <c r="A792" s="28">
        <v>2.4146009971770672</v>
      </c>
      <c r="B792" s="27">
        <v>0</v>
      </c>
      <c r="C792" s="27">
        <v>14.3</v>
      </c>
      <c r="E792" s="18"/>
    </row>
    <row r="793" spans="1:7" ht="16.5" thickTop="1" thickBot="1" x14ac:dyDescent="0.3">
      <c r="A793" s="28">
        <v>1.1842233086177614</v>
      </c>
      <c r="B793" s="27">
        <v>0</v>
      </c>
      <c r="C793" s="27">
        <v>14.3</v>
      </c>
      <c r="E793" s="18"/>
    </row>
    <row r="794" spans="1:7" ht="16.5" thickTop="1" thickBot="1" x14ac:dyDescent="0.3">
      <c r="A794" s="28">
        <v>1.4979070040070588</v>
      </c>
      <c r="B794" s="27">
        <v>0</v>
      </c>
      <c r="C794" s="27">
        <v>14.3</v>
      </c>
      <c r="E794" s="18"/>
    </row>
    <row r="795" spans="1:7" ht="16.5" thickTop="1" thickBot="1" x14ac:dyDescent="0.3">
      <c r="A795" s="28">
        <v>3.6141387394673017</v>
      </c>
      <c r="B795" s="27">
        <v>0</v>
      </c>
      <c r="C795" s="27">
        <v>14.3</v>
      </c>
      <c r="E795" s="18"/>
    </row>
    <row r="796" spans="1:7" ht="16.5" thickTop="1" thickBot="1" x14ac:dyDescent="0.3">
      <c r="A796" s="28">
        <v>1.7745484361590589</v>
      </c>
      <c r="B796" s="27">
        <v>0</v>
      </c>
      <c r="C796" s="27">
        <v>14.3</v>
      </c>
      <c r="E796" s="18"/>
    </row>
    <row r="797" spans="1:7" ht="16.5" thickTop="1" thickBot="1" x14ac:dyDescent="0.3">
      <c r="A797" s="28">
        <v>7.6242778355710783</v>
      </c>
      <c r="B797" s="27">
        <v>0</v>
      </c>
      <c r="C797" s="27">
        <v>14.3</v>
      </c>
      <c r="E797" s="18"/>
    </row>
    <row r="798" spans="1:7" ht="16.5" thickTop="1" thickBot="1" x14ac:dyDescent="0.3">
      <c r="A798" s="28">
        <v>4.2350690669277071</v>
      </c>
      <c r="B798" s="27">
        <v>0</v>
      </c>
      <c r="C798" s="27">
        <v>14.3</v>
      </c>
      <c r="E798" s="18"/>
    </row>
    <row r="799" spans="1:7" ht="16.5" thickTop="1" thickBot="1" x14ac:dyDescent="0.3">
      <c r="A799" s="28">
        <v>10.193404866937438</v>
      </c>
      <c r="B799" s="27">
        <v>0</v>
      </c>
      <c r="C799" s="27">
        <v>7.7</v>
      </c>
      <c r="E799" s="18"/>
    </row>
    <row r="800" spans="1:7" ht="16.5" thickTop="1" thickBot="1" x14ac:dyDescent="0.3">
      <c r="A800" s="28">
        <v>1.8391456737531695</v>
      </c>
      <c r="B800" s="27">
        <v>0</v>
      </c>
      <c r="C800" s="27">
        <v>7.7</v>
      </c>
      <c r="D800" s="20"/>
      <c r="E800" s="19"/>
      <c r="F800" s="20"/>
      <c r="G800" s="20"/>
    </row>
    <row r="801" spans="1:5" ht="16.5" thickTop="1" thickBot="1" x14ac:dyDescent="0.3">
      <c r="A801" s="28">
        <v>0.27412413543572711</v>
      </c>
      <c r="B801" s="27">
        <v>0</v>
      </c>
      <c r="C801" s="27">
        <v>7.7</v>
      </c>
      <c r="E801" s="18"/>
    </row>
    <row r="802" spans="1:5" ht="16.5" thickTop="1" thickBot="1" x14ac:dyDescent="0.3">
      <c r="A802" s="28">
        <v>5.5885697492972763</v>
      </c>
      <c r="B802" s="27">
        <v>0</v>
      </c>
      <c r="C802" s="27">
        <v>7.7</v>
      </c>
      <c r="E802" s="18"/>
    </row>
    <row r="803" spans="1:5" ht="16.5" thickTop="1" thickBot="1" x14ac:dyDescent="0.3">
      <c r="A803" s="28">
        <v>1.3979049644757278</v>
      </c>
      <c r="B803" s="27">
        <v>0</v>
      </c>
      <c r="C803" s="27">
        <v>7.7</v>
      </c>
      <c r="E803" s="18"/>
    </row>
    <row r="804" spans="1:5" ht="16.5" thickTop="1" thickBot="1" x14ac:dyDescent="0.3">
      <c r="A804" s="28">
        <v>5.140090493908172</v>
      </c>
      <c r="B804" s="27">
        <v>0</v>
      </c>
      <c r="C804" s="27">
        <v>7.7</v>
      </c>
      <c r="E804" s="18"/>
    </row>
    <row r="805" spans="1:5" ht="16.5" thickTop="1" thickBot="1" x14ac:dyDescent="0.3">
      <c r="A805" s="28">
        <v>0.92374544010789927</v>
      </c>
      <c r="B805" s="27">
        <v>0</v>
      </c>
      <c r="C805" s="27">
        <v>7.7</v>
      </c>
      <c r="E805" s="18"/>
    </row>
    <row r="806" spans="1:5" ht="16.5" thickTop="1" thickBot="1" x14ac:dyDescent="0.3">
      <c r="A806" s="28">
        <v>2.0367411755416813</v>
      </c>
      <c r="B806" s="27">
        <v>0</v>
      </c>
      <c r="C806" s="27">
        <v>7.7</v>
      </c>
      <c r="E806" s="18"/>
    </row>
    <row r="807" spans="1:5" ht="16.5" thickTop="1" thickBot="1" x14ac:dyDescent="0.3">
      <c r="A807" s="28">
        <v>4.770772327479273</v>
      </c>
      <c r="B807" s="27">
        <v>0</v>
      </c>
      <c r="C807" s="27">
        <v>7.7</v>
      </c>
      <c r="E807" s="18"/>
    </row>
    <row r="808" spans="1:5" ht="16.5" thickTop="1" thickBot="1" x14ac:dyDescent="0.3">
      <c r="A808" s="28">
        <v>6.9703449580439507</v>
      </c>
      <c r="B808" s="27">
        <v>0</v>
      </c>
      <c r="C808" s="27">
        <v>7.7</v>
      </c>
      <c r="E808" s="18"/>
    </row>
    <row r="809" spans="1:5" ht="16.5" thickTop="1" thickBot="1" x14ac:dyDescent="0.3">
      <c r="A809" s="28">
        <v>1.6957690899951747</v>
      </c>
      <c r="B809" s="27">
        <v>0</v>
      </c>
      <c r="C809" s="27">
        <v>7.7</v>
      </c>
      <c r="E809" s="18"/>
    </row>
    <row r="810" spans="1:5" ht="16.5" thickTop="1" thickBot="1" x14ac:dyDescent="0.3">
      <c r="A810" s="28">
        <v>6.9913743888252524</v>
      </c>
      <c r="B810" s="27">
        <v>0</v>
      </c>
      <c r="C810" s="27">
        <v>7.7</v>
      </c>
      <c r="E810" s="18"/>
    </row>
    <row r="811" spans="1:5" ht="16.5" thickTop="1" thickBot="1" x14ac:dyDescent="0.3">
      <c r="A811" s="28">
        <v>1.5950007832636901</v>
      </c>
      <c r="B811" s="27">
        <v>0</v>
      </c>
      <c r="C811" s="27">
        <v>7.7</v>
      </c>
      <c r="E811" s="18"/>
    </row>
    <row r="812" spans="1:5" ht="16.5" thickTop="1" thickBot="1" x14ac:dyDescent="0.3">
      <c r="A812" s="28">
        <v>6.2383261941908765</v>
      </c>
      <c r="B812" s="27">
        <v>0</v>
      </c>
      <c r="C812" s="27">
        <v>7.7</v>
      </c>
      <c r="E812" s="18"/>
    </row>
    <row r="813" spans="1:5" ht="16.5" thickTop="1" thickBot="1" x14ac:dyDescent="0.3">
      <c r="A813" s="28">
        <v>8.5648573329946842</v>
      </c>
      <c r="B813" s="27">
        <v>0</v>
      </c>
      <c r="C813" s="27">
        <v>7.7</v>
      </c>
      <c r="E813" s="18"/>
    </row>
    <row r="814" spans="1:5" ht="16.5" thickTop="1" thickBot="1" x14ac:dyDescent="0.3">
      <c r="A814" s="28">
        <v>4.8933176035052623</v>
      </c>
      <c r="B814" s="27">
        <v>0</v>
      </c>
      <c r="C814" s="27">
        <v>7.7</v>
      </c>
      <c r="E814" s="18"/>
    </row>
    <row r="815" spans="1:5" ht="16.5" thickTop="1" thickBot="1" x14ac:dyDescent="0.3">
      <c r="A815" s="28">
        <v>0.32078167986140116</v>
      </c>
      <c r="B815" s="27">
        <v>0</v>
      </c>
      <c r="C815" s="27">
        <v>7.7</v>
      </c>
      <c r="E815" s="18"/>
    </row>
    <row r="816" spans="1:5" ht="16.5" thickTop="1" thickBot="1" x14ac:dyDescent="0.3">
      <c r="A816" s="28">
        <v>0.34705861939823601</v>
      </c>
      <c r="B816" s="27">
        <v>0</v>
      </c>
      <c r="C816" s="27">
        <v>14.7</v>
      </c>
      <c r="E816" s="18"/>
    </row>
    <row r="817" spans="1:5" ht="16.5" thickTop="1" thickBot="1" x14ac:dyDescent="0.3">
      <c r="A817" s="28">
        <v>7.97877194887519</v>
      </c>
      <c r="B817" s="27">
        <v>0</v>
      </c>
      <c r="C817" s="27">
        <v>14.7</v>
      </c>
      <c r="E817" s="18"/>
    </row>
    <row r="818" spans="1:5" ht="16.5" thickTop="1" thickBot="1" x14ac:dyDescent="0.3">
      <c r="A818" s="28">
        <v>6.2947854128320717</v>
      </c>
      <c r="B818" s="27">
        <v>0</v>
      </c>
      <c r="C818" s="27">
        <v>14.7</v>
      </c>
      <c r="E818" s="18"/>
    </row>
    <row r="819" spans="1:5" ht="16.5" thickTop="1" thickBot="1" x14ac:dyDescent="0.3">
      <c r="A819" s="28">
        <v>3.5299923300872886</v>
      </c>
      <c r="B819" s="27">
        <v>0</v>
      </c>
      <c r="C819" s="27">
        <v>14.7</v>
      </c>
      <c r="E819" s="18"/>
    </row>
    <row r="820" spans="1:5" ht="16.5" thickTop="1" thickBot="1" x14ac:dyDescent="0.3">
      <c r="A820" s="28">
        <v>1.4919908662303003</v>
      </c>
      <c r="B820" s="27">
        <v>0</v>
      </c>
      <c r="C820" s="27">
        <v>14.7</v>
      </c>
      <c r="E820" s="18"/>
    </row>
    <row r="821" spans="1:5" ht="16.5" thickTop="1" thickBot="1" x14ac:dyDescent="0.3">
      <c r="A821" s="28">
        <v>1.4177990024848826</v>
      </c>
      <c r="B821" s="27">
        <v>0</v>
      </c>
      <c r="C821" s="27">
        <v>14.7</v>
      </c>
      <c r="E821" s="18"/>
    </row>
    <row r="822" spans="1:5" ht="16.5" thickTop="1" thickBot="1" x14ac:dyDescent="0.3">
      <c r="A822" s="28">
        <v>3.1968738651450996</v>
      </c>
      <c r="B822" s="27">
        <v>0</v>
      </c>
      <c r="C822" s="27">
        <v>14.7</v>
      </c>
      <c r="E822" s="18"/>
    </row>
    <row r="823" spans="1:5" ht="16.5" thickTop="1" thickBot="1" x14ac:dyDescent="0.3">
      <c r="A823" s="28">
        <v>1.4304546935236617</v>
      </c>
      <c r="B823" s="27">
        <v>0</v>
      </c>
      <c r="C823" s="27">
        <v>14.7</v>
      </c>
      <c r="E823" s="18"/>
    </row>
    <row r="824" spans="1:5" ht="16.5" thickTop="1" thickBot="1" x14ac:dyDescent="0.3">
      <c r="A824" s="28">
        <v>1.9870887266712181</v>
      </c>
      <c r="B824" s="27">
        <v>0</v>
      </c>
      <c r="C824" s="27">
        <v>14.7</v>
      </c>
      <c r="E824" s="18"/>
    </row>
    <row r="825" spans="1:5" ht="16.5" thickTop="1" thickBot="1" x14ac:dyDescent="0.3">
      <c r="A825" s="28">
        <v>6.8670016428634781</v>
      </c>
      <c r="B825" s="27">
        <v>0</v>
      </c>
      <c r="C825" s="27">
        <v>14.7</v>
      </c>
      <c r="E825" s="18"/>
    </row>
    <row r="826" spans="1:5" ht="16.5" thickTop="1" thickBot="1" x14ac:dyDescent="0.3">
      <c r="A826" s="28">
        <v>2.0632674149803205</v>
      </c>
      <c r="B826" s="27">
        <v>0</v>
      </c>
      <c r="C826" s="27">
        <v>14.7</v>
      </c>
      <c r="E826" s="18"/>
    </row>
    <row r="827" spans="1:5" ht="16.5" thickTop="1" thickBot="1" x14ac:dyDescent="0.3">
      <c r="A827" s="28">
        <v>1.4211900620510036</v>
      </c>
      <c r="B827" s="27">
        <v>0</v>
      </c>
      <c r="C827" s="27">
        <v>14.7</v>
      </c>
      <c r="E827" s="18"/>
    </row>
    <row r="828" spans="1:5" ht="16.5" thickTop="1" thickBot="1" x14ac:dyDescent="0.3">
      <c r="A828" s="28">
        <v>2.989467885213001</v>
      </c>
      <c r="B828" s="27">
        <v>0</v>
      </c>
      <c r="C828" s="27">
        <v>14.7</v>
      </c>
      <c r="E828" s="18"/>
    </row>
    <row r="829" spans="1:5" ht="16.5" thickTop="1" thickBot="1" x14ac:dyDescent="0.3">
      <c r="A829" s="28">
        <v>1.203955517189359</v>
      </c>
      <c r="B829" s="27">
        <v>0</v>
      </c>
      <c r="C829" s="27">
        <v>14.7</v>
      </c>
      <c r="E829" s="18"/>
    </row>
    <row r="830" spans="1:5" ht="16.5" thickTop="1" thickBot="1" x14ac:dyDescent="0.3">
      <c r="A830" s="28">
        <v>1.5734143087199999</v>
      </c>
      <c r="B830" s="27">
        <v>0</v>
      </c>
      <c r="C830" s="27">
        <v>14.7</v>
      </c>
      <c r="E830" s="18"/>
    </row>
    <row r="831" spans="1:5" ht="16.5" thickTop="1" thickBot="1" x14ac:dyDescent="0.3">
      <c r="A831" s="28">
        <v>5.2653011635775346</v>
      </c>
      <c r="B831" s="27">
        <v>0</v>
      </c>
      <c r="C831" s="27">
        <v>14.7</v>
      </c>
      <c r="E831" s="18"/>
    </row>
    <row r="832" spans="1:5" ht="16.5" thickTop="1" thickBot="1" x14ac:dyDescent="0.3">
      <c r="A832" s="28">
        <v>5.0322622464177291E-2</v>
      </c>
      <c r="B832" s="27">
        <v>0</v>
      </c>
      <c r="C832" s="27">
        <v>22</v>
      </c>
      <c r="E832" s="18"/>
    </row>
    <row r="833" spans="1:5" ht="16.5" thickTop="1" thickBot="1" x14ac:dyDescent="0.3">
      <c r="A833" s="28">
        <v>11.795716577802482</v>
      </c>
      <c r="B833" s="27">
        <v>0</v>
      </c>
      <c r="C833" s="27">
        <v>22</v>
      </c>
      <c r="E833" s="18"/>
    </row>
    <row r="834" spans="1:5" ht="16.5" thickTop="1" thickBot="1" x14ac:dyDescent="0.3">
      <c r="A834" s="28">
        <v>5.0261520446320009</v>
      </c>
      <c r="B834" s="27">
        <v>0</v>
      </c>
      <c r="C834" s="27">
        <v>22</v>
      </c>
      <c r="E834" s="18"/>
    </row>
    <row r="835" spans="1:5" ht="16.5" thickTop="1" thickBot="1" x14ac:dyDescent="0.3">
      <c r="A835" s="28">
        <v>2.427065199245988</v>
      </c>
      <c r="B835" s="27">
        <v>0</v>
      </c>
      <c r="C835" s="27">
        <v>22</v>
      </c>
      <c r="E835" s="18"/>
    </row>
    <row r="836" spans="1:5" ht="16.5" thickTop="1" thickBot="1" x14ac:dyDescent="0.3">
      <c r="A836" s="28">
        <v>1.6392002875687288</v>
      </c>
      <c r="B836" s="27">
        <v>0</v>
      </c>
      <c r="C836" s="27">
        <v>22</v>
      </c>
      <c r="E836" s="18"/>
    </row>
    <row r="837" spans="1:5" ht="16.5" thickTop="1" thickBot="1" x14ac:dyDescent="0.3">
      <c r="A837" s="28">
        <v>10.399054008828603</v>
      </c>
      <c r="B837" s="27">
        <v>0</v>
      </c>
      <c r="C837" s="27">
        <v>22</v>
      </c>
      <c r="E837" s="18"/>
    </row>
    <row r="838" spans="1:5" ht="16.5" thickTop="1" thickBot="1" x14ac:dyDescent="0.3">
      <c r="A838" s="28">
        <v>6.6703317562813318</v>
      </c>
      <c r="B838" s="27">
        <v>0</v>
      </c>
      <c r="C838" s="27">
        <v>22</v>
      </c>
      <c r="E838" s="18"/>
    </row>
    <row r="839" spans="1:5" ht="16.5" thickTop="1" thickBot="1" x14ac:dyDescent="0.3">
      <c r="A839" s="28">
        <v>7.6322801375475837</v>
      </c>
      <c r="B839" s="27">
        <v>0</v>
      </c>
      <c r="C839" s="27">
        <v>22</v>
      </c>
      <c r="E839" s="18"/>
    </row>
    <row r="840" spans="1:5" ht="16.5" thickTop="1" thickBot="1" x14ac:dyDescent="0.3">
      <c r="A840" s="28">
        <v>3.9286810115673609</v>
      </c>
      <c r="B840" s="27">
        <v>0</v>
      </c>
      <c r="C840" s="27">
        <v>22</v>
      </c>
      <c r="E840" s="18"/>
    </row>
    <row r="841" spans="1:5" ht="16.5" thickTop="1" thickBot="1" x14ac:dyDescent="0.3">
      <c r="A841" s="28">
        <v>2.1346230606122658</v>
      </c>
      <c r="B841" s="27">
        <v>0</v>
      </c>
      <c r="C841" s="27">
        <v>22</v>
      </c>
      <c r="E841" s="18"/>
    </row>
    <row r="842" spans="1:5" ht="16.5" thickTop="1" thickBot="1" x14ac:dyDescent="0.3">
      <c r="A842" s="28">
        <v>0.34961797054776111</v>
      </c>
      <c r="B842" s="27">
        <v>0</v>
      </c>
      <c r="C842" s="27">
        <v>22</v>
      </c>
      <c r="E842" s="18"/>
    </row>
    <row r="843" spans="1:5" ht="16.5" thickTop="1" thickBot="1" x14ac:dyDescent="0.3">
      <c r="A843" s="28">
        <v>10.678409855885969</v>
      </c>
      <c r="B843" s="27">
        <v>0</v>
      </c>
      <c r="C843" s="27">
        <v>22</v>
      </c>
      <c r="E843" s="18"/>
    </row>
    <row r="844" spans="1:5" ht="16.5" thickTop="1" thickBot="1" x14ac:dyDescent="0.3">
      <c r="A844" s="28">
        <v>2.5385403645324853</v>
      </c>
      <c r="B844" s="27">
        <v>0</v>
      </c>
      <c r="C844" s="27">
        <v>22</v>
      </c>
      <c r="E844" s="18"/>
    </row>
    <row r="845" spans="1:5" ht="16.5" thickTop="1" thickBot="1" x14ac:dyDescent="0.3">
      <c r="A845" s="28">
        <v>10.667900122301214</v>
      </c>
      <c r="B845" s="27">
        <v>0</v>
      </c>
      <c r="C845" s="27">
        <v>22</v>
      </c>
      <c r="E845" s="18"/>
    </row>
    <row r="846" spans="1:5" ht="16.5" thickTop="1" thickBot="1" x14ac:dyDescent="0.3">
      <c r="A846" s="28">
        <v>0.84018424462490515</v>
      </c>
      <c r="B846" s="27">
        <v>0</v>
      </c>
      <c r="C846" s="27">
        <v>22</v>
      </c>
      <c r="E846" s="18"/>
    </row>
    <row r="847" spans="1:5" ht="16.5" thickTop="1" thickBot="1" x14ac:dyDescent="0.3">
      <c r="A847" s="28">
        <v>0.60285243482444528</v>
      </c>
      <c r="B847" s="27">
        <v>0</v>
      </c>
      <c r="C847" s="27">
        <v>22</v>
      </c>
      <c r="E847" s="18"/>
    </row>
    <row r="848" spans="1:5" ht="16.5" thickTop="1" thickBot="1" x14ac:dyDescent="0.3">
      <c r="A848" s="28">
        <v>6.0925026424857904</v>
      </c>
      <c r="B848" s="27">
        <v>0</v>
      </c>
      <c r="C848" s="27">
        <v>22</v>
      </c>
      <c r="E848" s="18"/>
    </row>
    <row r="849" spans="1:5" ht="16.5" thickTop="1" thickBot="1" x14ac:dyDescent="0.3">
      <c r="A849" s="28">
        <v>4.0684181974978602</v>
      </c>
      <c r="B849" s="27">
        <v>0</v>
      </c>
      <c r="C849" s="27">
        <v>14.6</v>
      </c>
      <c r="E849" s="18"/>
    </row>
    <row r="850" spans="1:5" ht="16.5" thickTop="1" thickBot="1" x14ac:dyDescent="0.3">
      <c r="A850" s="28">
        <v>0.9684531532821643</v>
      </c>
      <c r="B850" s="27">
        <v>0</v>
      </c>
      <c r="C850" s="27">
        <v>14.6</v>
      </c>
      <c r="E850" s="18"/>
    </row>
    <row r="851" spans="1:5" ht="16.5" thickTop="1" thickBot="1" x14ac:dyDescent="0.3">
      <c r="A851" s="28">
        <v>9.8289533829283613</v>
      </c>
      <c r="B851" s="27">
        <v>0</v>
      </c>
      <c r="C851" s="27">
        <v>14.6</v>
      </c>
      <c r="E851" s="18"/>
    </row>
    <row r="852" spans="1:5" ht="16.5" thickTop="1" thickBot="1" x14ac:dyDescent="0.3">
      <c r="A852" s="28">
        <v>1.9986983177829769</v>
      </c>
      <c r="B852" s="27">
        <v>0</v>
      </c>
      <c r="C852" s="27">
        <v>14.6</v>
      </c>
      <c r="E852" s="18"/>
    </row>
    <row r="853" spans="1:5" ht="16.5" thickTop="1" thickBot="1" x14ac:dyDescent="0.3">
      <c r="A853" s="28">
        <v>11.476600791754077</v>
      </c>
      <c r="B853" s="27">
        <v>0</v>
      </c>
      <c r="C853" s="27">
        <v>14.6</v>
      </c>
      <c r="E853" s="18"/>
    </row>
    <row r="854" spans="1:5" ht="16.5" thickTop="1" thickBot="1" x14ac:dyDescent="0.3">
      <c r="A854" s="28">
        <v>1.5904092970699826</v>
      </c>
      <c r="B854" s="27">
        <v>0</v>
      </c>
      <c r="C854" s="27">
        <v>14.6</v>
      </c>
      <c r="E854" s="18"/>
    </row>
    <row r="855" spans="1:5" ht="16.5" thickTop="1" thickBot="1" x14ac:dyDescent="0.3">
      <c r="A855" s="28">
        <v>10.215295260943073</v>
      </c>
      <c r="B855" s="27">
        <v>0</v>
      </c>
      <c r="C855" s="27">
        <v>14.6</v>
      </c>
      <c r="E855" s="18"/>
    </row>
    <row r="856" spans="1:5" ht="16.5" thickTop="1" thickBot="1" x14ac:dyDescent="0.3">
      <c r="A856" s="28">
        <v>2.4473186063657262</v>
      </c>
      <c r="B856" s="27">
        <v>0</v>
      </c>
      <c r="C856" s="27">
        <v>14.6</v>
      </c>
      <c r="E856" s="18"/>
    </row>
    <row r="857" spans="1:5" ht="16.5" thickTop="1" thickBot="1" x14ac:dyDescent="0.3">
      <c r="A857" s="28">
        <v>5.0105794410038103</v>
      </c>
      <c r="B857" s="27">
        <v>0</v>
      </c>
      <c r="C857" s="27">
        <v>14.6</v>
      </c>
      <c r="E857" s="18"/>
    </row>
    <row r="858" spans="1:5" ht="16.5" thickTop="1" thickBot="1" x14ac:dyDescent="0.3">
      <c r="A858" s="28">
        <v>2.8425867988276825</v>
      </c>
      <c r="B858" s="27">
        <v>0</v>
      </c>
      <c r="C858" s="27">
        <v>14.6</v>
      </c>
      <c r="E858" s="18"/>
    </row>
    <row r="859" spans="1:5" ht="16.5" thickTop="1" thickBot="1" x14ac:dyDescent="0.3">
      <c r="A859" s="28">
        <v>11.218834447366952</v>
      </c>
      <c r="B859" s="27">
        <v>0</v>
      </c>
      <c r="C859" s="27">
        <v>14.6</v>
      </c>
      <c r="E859" s="18"/>
    </row>
    <row r="860" spans="1:5" ht="16.5" thickTop="1" thickBot="1" x14ac:dyDescent="0.3">
      <c r="A860" s="28">
        <v>1.0079875901834423</v>
      </c>
      <c r="B860" s="27">
        <v>0</v>
      </c>
      <c r="C860" s="27">
        <v>14.6</v>
      </c>
      <c r="E860" s="18"/>
    </row>
    <row r="861" spans="1:5" ht="16.5" thickTop="1" thickBot="1" x14ac:dyDescent="0.3">
      <c r="A861" s="28">
        <v>11.416998167529739</v>
      </c>
      <c r="B861" s="27">
        <v>0</v>
      </c>
      <c r="C861" s="27">
        <v>14.6</v>
      </c>
      <c r="E861" s="18"/>
    </row>
    <row r="862" spans="1:5" ht="16.5" thickTop="1" thickBot="1" x14ac:dyDescent="0.3">
      <c r="A862" s="28">
        <v>5.6767220288814251</v>
      </c>
      <c r="B862" s="27">
        <v>0</v>
      </c>
      <c r="C862" s="27">
        <v>14.6</v>
      </c>
      <c r="E862" s="18"/>
    </row>
    <row r="863" spans="1:5" ht="16.5" thickTop="1" thickBot="1" x14ac:dyDescent="0.3">
      <c r="A863" s="28">
        <v>6.3783427651425075</v>
      </c>
      <c r="B863" s="27">
        <v>0</v>
      </c>
      <c r="C863" s="27">
        <v>14.6</v>
      </c>
      <c r="E863" s="18"/>
    </row>
    <row r="864" spans="1:5" ht="16.5" thickTop="1" thickBot="1" x14ac:dyDescent="0.3">
      <c r="A864" s="28">
        <v>0.90979864207650163</v>
      </c>
      <c r="B864" s="27">
        <v>0</v>
      </c>
      <c r="C864" s="27">
        <v>17</v>
      </c>
      <c r="E864" s="18"/>
    </row>
    <row r="865" spans="1:5" ht="16.5" thickTop="1" thickBot="1" x14ac:dyDescent="0.3">
      <c r="A865" s="28">
        <v>0.7215552511827541</v>
      </c>
      <c r="B865" s="27">
        <v>0</v>
      </c>
      <c r="C865" s="27">
        <v>17</v>
      </c>
      <c r="E865" s="18"/>
    </row>
    <row r="866" spans="1:5" ht="16.5" thickTop="1" thickBot="1" x14ac:dyDescent="0.3">
      <c r="A866" s="28">
        <v>1.8396198035699816</v>
      </c>
      <c r="B866" s="27">
        <v>0</v>
      </c>
      <c r="C866" s="27">
        <v>17</v>
      </c>
      <c r="E866" s="18"/>
    </row>
    <row r="867" spans="1:5" ht="16.5" thickTop="1" thickBot="1" x14ac:dyDescent="0.3">
      <c r="A867" s="28">
        <v>5.8280257242253928</v>
      </c>
      <c r="B867" s="27">
        <v>0</v>
      </c>
      <c r="C867" s="27">
        <v>17</v>
      </c>
      <c r="E867" s="18"/>
    </row>
    <row r="868" spans="1:5" ht="16.5" thickTop="1" thickBot="1" x14ac:dyDescent="0.3">
      <c r="A868" s="28">
        <v>2.9591130781184019</v>
      </c>
      <c r="B868" s="27">
        <v>0</v>
      </c>
      <c r="C868" s="27">
        <v>17</v>
      </c>
      <c r="E868" s="18"/>
    </row>
    <row r="869" spans="1:5" ht="16.5" thickTop="1" thickBot="1" x14ac:dyDescent="0.3">
      <c r="A869" s="28">
        <v>3.6355192355969246</v>
      </c>
      <c r="B869" s="27">
        <v>0</v>
      </c>
      <c r="C869" s="27">
        <v>17</v>
      </c>
      <c r="E869" s="18"/>
    </row>
    <row r="870" spans="1:5" ht="16.5" thickTop="1" thickBot="1" x14ac:dyDescent="0.3">
      <c r="A870" s="28">
        <v>0.61979203893841672</v>
      </c>
      <c r="B870" s="27">
        <v>0</v>
      </c>
      <c r="C870" s="27">
        <v>17</v>
      </c>
      <c r="E870" s="18"/>
    </row>
    <row r="871" spans="1:5" ht="16.5" thickTop="1" thickBot="1" x14ac:dyDescent="0.3">
      <c r="A871" s="28">
        <v>6.4479910500159239</v>
      </c>
      <c r="B871" s="27">
        <v>0</v>
      </c>
      <c r="C871" s="27">
        <v>17</v>
      </c>
      <c r="E871" s="18"/>
    </row>
    <row r="872" spans="1:5" ht="16.5" thickTop="1" thickBot="1" x14ac:dyDescent="0.3">
      <c r="A872" s="28">
        <v>5.0742102376268932</v>
      </c>
      <c r="B872" s="27">
        <v>0</v>
      </c>
      <c r="C872" s="27">
        <v>17</v>
      </c>
      <c r="E872" s="18"/>
    </row>
    <row r="873" spans="1:5" ht="16.5" thickTop="1" thickBot="1" x14ac:dyDescent="0.3">
      <c r="A873" s="28">
        <v>11.675902684405598</v>
      </c>
      <c r="B873" s="27">
        <v>0</v>
      </c>
      <c r="C873" s="27">
        <v>17</v>
      </c>
      <c r="E873" s="18"/>
    </row>
    <row r="874" spans="1:5" ht="16.5" thickTop="1" thickBot="1" x14ac:dyDescent="0.3">
      <c r="A874" s="28">
        <v>3.4952928852052469</v>
      </c>
      <c r="B874" s="27">
        <v>0</v>
      </c>
      <c r="C874" s="27">
        <v>17</v>
      </c>
      <c r="E874" s="18"/>
    </row>
    <row r="875" spans="1:5" ht="16.5" thickTop="1" thickBot="1" x14ac:dyDescent="0.3">
      <c r="A875" s="28">
        <v>8.6964572742830484</v>
      </c>
      <c r="B875" s="27">
        <v>0</v>
      </c>
      <c r="C875" s="27">
        <v>17</v>
      </c>
      <c r="E875" s="18"/>
    </row>
    <row r="876" spans="1:5" ht="16.5" thickTop="1" thickBot="1" x14ac:dyDescent="0.3">
      <c r="A876" s="28">
        <v>6.6373460939097857</v>
      </c>
      <c r="B876" s="27">
        <v>0</v>
      </c>
      <c r="C876" s="27">
        <v>17</v>
      </c>
      <c r="E876" s="18"/>
    </row>
    <row r="877" spans="1:5" ht="16.5" thickTop="1" thickBot="1" x14ac:dyDescent="0.3">
      <c r="A877" s="28">
        <v>5.1791108985128114</v>
      </c>
      <c r="B877" s="27">
        <v>0</v>
      </c>
      <c r="C877" s="27">
        <v>17</v>
      </c>
      <c r="E877" s="18"/>
    </row>
    <row r="878" spans="1:5" ht="16.5" thickTop="1" thickBot="1" x14ac:dyDescent="0.3">
      <c r="A878" s="28">
        <v>1.4783162106811218</v>
      </c>
      <c r="B878" s="27">
        <v>0</v>
      </c>
      <c r="C878" s="27">
        <v>17</v>
      </c>
      <c r="E878" s="18"/>
    </row>
    <row r="879" spans="1:5" ht="16.5" thickTop="1" thickBot="1" x14ac:dyDescent="0.3">
      <c r="A879" s="28">
        <v>1.7262797008460953</v>
      </c>
      <c r="B879" s="27">
        <v>0</v>
      </c>
      <c r="C879" s="27">
        <v>17</v>
      </c>
      <c r="E879" s="18"/>
    </row>
    <row r="880" spans="1:5" ht="16.5" thickTop="1" thickBot="1" x14ac:dyDescent="0.3">
      <c r="A880" s="28">
        <v>6.8037327342419243</v>
      </c>
      <c r="B880" s="27">
        <v>0</v>
      </c>
      <c r="C880" s="27">
        <v>27.1</v>
      </c>
      <c r="E880" s="18"/>
    </row>
    <row r="881" spans="1:5" ht="16.5" thickTop="1" thickBot="1" x14ac:dyDescent="0.3">
      <c r="A881" s="28">
        <v>7.3800617438744069</v>
      </c>
      <c r="B881" s="27">
        <v>0</v>
      </c>
      <c r="C881" s="27">
        <v>27.1</v>
      </c>
      <c r="E881" s="18"/>
    </row>
    <row r="882" spans="1:5" ht="16.5" thickTop="1" thickBot="1" x14ac:dyDescent="0.3">
      <c r="A882" s="28">
        <v>2.473531548773849</v>
      </c>
      <c r="B882" s="27">
        <v>0</v>
      </c>
      <c r="C882" s="27">
        <v>27.1</v>
      </c>
      <c r="E882" s="18"/>
    </row>
    <row r="883" spans="1:5" ht="16.5" thickTop="1" thickBot="1" x14ac:dyDescent="0.3">
      <c r="A883" s="28">
        <v>2.1364557097073771</v>
      </c>
      <c r="B883" s="27">
        <v>0</v>
      </c>
      <c r="C883" s="27">
        <v>27.1</v>
      </c>
      <c r="E883" s="18"/>
    </row>
    <row r="884" spans="1:5" ht="16.5" thickTop="1" thickBot="1" x14ac:dyDescent="0.3">
      <c r="A884" s="28">
        <v>3.3022827703025563</v>
      </c>
      <c r="B884" s="27">
        <v>0</v>
      </c>
      <c r="C884" s="27">
        <v>27.1</v>
      </c>
      <c r="E884" s="18"/>
    </row>
    <row r="885" spans="1:5" ht="16.5" thickTop="1" thickBot="1" x14ac:dyDescent="0.3">
      <c r="A885" s="28">
        <v>9.2119341824947174</v>
      </c>
      <c r="B885" s="27">
        <v>0</v>
      </c>
      <c r="C885" s="27">
        <v>27.1</v>
      </c>
      <c r="E885" s="18"/>
    </row>
    <row r="886" spans="1:5" ht="16.5" thickTop="1" thickBot="1" x14ac:dyDescent="0.3">
      <c r="A886" s="28">
        <v>5.6685780252553952</v>
      </c>
      <c r="B886" s="27">
        <v>0</v>
      </c>
      <c r="C886" s="27">
        <v>27.1</v>
      </c>
      <c r="E886" s="18"/>
    </row>
    <row r="887" spans="1:5" ht="16.5" thickTop="1" thickBot="1" x14ac:dyDescent="0.3">
      <c r="A887" s="28">
        <v>5.1955144877995094</v>
      </c>
      <c r="B887" s="27">
        <v>0</v>
      </c>
      <c r="C887" s="27">
        <v>27.1</v>
      </c>
      <c r="E887" s="18"/>
    </row>
    <row r="888" spans="1:5" ht="16.5" thickTop="1" thickBot="1" x14ac:dyDescent="0.3">
      <c r="A888" s="28">
        <v>4.0225700729124521</v>
      </c>
      <c r="B888" s="27">
        <v>0</v>
      </c>
      <c r="C888" s="27">
        <v>27.1</v>
      </c>
      <c r="E888" s="18"/>
    </row>
    <row r="889" spans="1:5" ht="16.5" thickTop="1" thickBot="1" x14ac:dyDescent="0.3">
      <c r="A889" s="28">
        <v>0.54611661285481095</v>
      </c>
      <c r="B889" s="27">
        <v>0</v>
      </c>
      <c r="C889" s="27">
        <v>27.1</v>
      </c>
      <c r="E889" s="18"/>
    </row>
    <row r="890" spans="1:5" ht="16.5" thickTop="1" thickBot="1" x14ac:dyDescent="0.3">
      <c r="A890" s="28">
        <v>6.4167964643900257</v>
      </c>
      <c r="B890" s="27">
        <v>0</v>
      </c>
      <c r="C890" s="27">
        <v>27.1</v>
      </c>
      <c r="E890" s="18"/>
    </row>
    <row r="891" spans="1:5" ht="16.5" thickTop="1" thickBot="1" x14ac:dyDescent="0.3">
      <c r="A891" s="28">
        <v>10.776188147886179</v>
      </c>
      <c r="B891" s="27">
        <v>0</v>
      </c>
      <c r="C891" s="27">
        <v>27.1</v>
      </c>
      <c r="E891" s="18"/>
    </row>
    <row r="892" spans="1:5" ht="16.5" thickTop="1" thickBot="1" x14ac:dyDescent="0.3">
      <c r="A892" s="28">
        <v>3.0838763917723631</v>
      </c>
      <c r="B892" s="27">
        <v>0</v>
      </c>
      <c r="C892" s="27">
        <v>27.1</v>
      </c>
      <c r="E892" s="18"/>
    </row>
    <row r="893" spans="1:5" ht="16.5" thickTop="1" thickBot="1" x14ac:dyDescent="0.3">
      <c r="A893" s="28">
        <v>11.046591629617689</v>
      </c>
      <c r="B893" s="27">
        <v>0</v>
      </c>
      <c r="C893" s="27">
        <v>27.1</v>
      </c>
      <c r="E893" s="18"/>
    </row>
    <row r="894" spans="1:5" ht="16.5" thickTop="1" thickBot="1" x14ac:dyDescent="0.3">
      <c r="A894" s="28">
        <v>2.4642364819691469</v>
      </c>
      <c r="B894" s="27">
        <v>0</v>
      </c>
      <c r="C894" s="27">
        <v>27.1</v>
      </c>
      <c r="E894" s="18"/>
    </row>
    <row r="895" spans="1:5" ht="16.5" thickTop="1" thickBot="1" x14ac:dyDescent="0.3">
      <c r="A895" s="28">
        <v>4.2928694331600683</v>
      </c>
      <c r="B895" s="27">
        <v>0</v>
      </c>
      <c r="C895" s="27">
        <v>27.1</v>
      </c>
      <c r="E895" s="18"/>
    </row>
    <row r="896" spans="1:5" ht="16.5" thickTop="1" thickBot="1" x14ac:dyDescent="0.3">
      <c r="A896" s="28">
        <v>4.599935096093466</v>
      </c>
      <c r="B896" s="27">
        <v>0</v>
      </c>
      <c r="C896" s="27">
        <v>28.3</v>
      </c>
      <c r="E896" s="18"/>
    </row>
    <row r="897" spans="1:5" ht="16.5" thickTop="1" thickBot="1" x14ac:dyDescent="0.3">
      <c r="A897" s="28">
        <v>7.01186652738566</v>
      </c>
      <c r="B897" s="27">
        <v>0</v>
      </c>
      <c r="C897" s="27">
        <v>28.3</v>
      </c>
      <c r="E897" s="18"/>
    </row>
    <row r="898" spans="1:5" ht="16.5" thickTop="1" thickBot="1" x14ac:dyDescent="0.3">
      <c r="A898" s="28">
        <v>1.1646126487927435</v>
      </c>
      <c r="B898" s="27">
        <v>0</v>
      </c>
      <c r="C898" s="27">
        <v>28.3</v>
      </c>
      <c r="E898" s="18"/>
    </row>
    <row r="899" spans="1:5" ht="16.5" thickTop="1" thickBot="1" x14ac:dyDescent="0.3">
      <c r="A899" s="28">
        <v>7.7128820158511147</v>
      </c>
      <c r="B899" s="27">
        <v>0</v>
      </c>
      <c r="C899" s="27">
        <v>28.3</v>
      </c>
      <c r="E899" s="18"/>
    </row>
    <row r="900" spans="1:5" ht="16.5" thickTop="1" thickBot="1" x14ac:dyDescent="0.3">
      <c r="A900" s="28">
        <v>3.8547321607913965</v>
      </c>
      <c r="B900" s="27">
        <v>0</v>
      </c>
      <c r="C900" s="27">
        <v>28.3</v>
      </c>
      <c r="E900" s="18"/>
    </row>
    <row r="901" spans="1:5" ht="16.5" thickTop="1" thickBot="1" x14ac:dyDescent="0.3">
      <c r="A901" s="28">
        <v>9.7836846411130658</v>
      </c>
      <c r="B901" s="27">
        <v>0</v>
      </c>
      <c r="C901" s="27">
        <v>28.3</v>
      </c>
      <c r="E901" s="18"/>
    </row>
    <row r="902" spans="1:5" ht="16.5" thickTop="1" thickBot="1" x14ac:dyDescent="0.3">
      <c r="A902" s="28">
        <v>5.6832624385430455</v>
      </c>
      <c r="B902" s="27">
        <v>0</v>
      </c>
      <c r="C902" s="27">
        <v>28.3</v>
      </c>
      <c r="E902" s="18"/>
    </row>
    <row r="903" spans="1:5" ht="16.5" thickTop="1" thickBot="1" x14ac:dyDescent="0.3">
      <c r="A903" s="28">
        <v>5.3960401864775083</v>
      </c>
      <c r="B903" s="27">
        <v>0</v>
      </c>
      <c r="C903" s="27">
        <v>28.3</v>
      </c>
      <c r="E903" s="18"/>
    </row>
    <row r="904" spans="1:5" ht="16.5" thickTop="1" thickBot="1" x14ac:dyDescent="0.3">
      <c r="A904" s="28">
        <v>5.9267916480733183</v>
      </c>
      <c r="B904" s="27">
        <v>0</v>
      </c>
      <c r="C904" s="27">
        <v>28.3</v>
      </c>
      <c r="E904" s="18"/>
    </row>
    <row r="905" spans="1:5" ht="16.5" thickTop="1" thickBot="1" x14ac:dyDescent="0.3">
      <c r="A905" s="28">
        <v>5.1686193556749558</v>
      </c>
      <c r="B905" s="27">
        <v>0</v>
      </c>
      <c r="C905" s="27">
        <v>28.3</v>
      </c>
      <c r="E905" s="18"/>
    </row>
    <row r="906" spans="1:5" ht="16.5" thickTop="1" thickBot="1" x14ac:dyDescent="0.3">
      <c r="A906" s="28">
        <v>0.48162298636522038</v>
      </c>
      <c r="B906" s="27">
        <v>0</v>
      </c>
      <c r="C906" s="27">
        <v>28.3</v>
      </c>
      <c r="E906" s="18"/>
    </row>
    <row r="907" spans="1:5" ht="16.5" thickTop="1" thickBot="1" x14ac:dyDescent="0.3">
      <c r="A907" s="28">
        <v>9.8592544623493783</v>
      </c>
      <c r="B907" s="27">
        <v>0</v>
      </c>
      <c r="C907" s="27">
        <v>28.3</v>
      </c>
      <c r="E907" s="18"/>
    </row>
    <row r="908" spans="1:5" ht="16.5" thickTop="1" thickBot="1" x14ac:dyDescent="0.3">
      <c r="A908" s="28">
        <v>0.54735386151171295</v>
      </c>
      <c r="B908" s="27">
        <v>0</v>
      </c>
      <c r="C908" s="27">
        <v>28.3</v>
      </c>
      <c r="E908" s="18"/>
    </row>
    <row r="909" spans="1:5" ht="16.5" thickTop="1" thickBot="1" x14ac:dyDescent="0.3">
      <c r="A909" s="28">
        <v>6.5596138824508898</v>
      </c>
      <c r="B909" s="27">
        <v>0</v>
      </c>
      <c r="C909" s="27">
        <v>28.3</v>
      </c>
      <c r="E909" s="18"/>
    </row>
    <row r="910" spans="1:5" ht="16.5" thickTop="1" thickBot="1" x14ac:dyDescent="0.3">
      <c r="A910" s="28">
        <v>3.8612477275676365</v>
      </c>
      <c r="B910" s="27">
        <v>0</v>
      </c>
      <c r="C910" s="27">
        <v>28.3</v>
      </c>
      <c r="E910" s="18"/>
    </row>
    <row r="911" spans="1:5" ht="16.5" thickTop="1" thickBot="1" x14ac:dyDescent="0.3">
      <c r="A911" s="28">
        <v>6.5483390393717329</v>
      </c>
      <c r="B911" s="27">
        <v>0</v>
      </c>
      <c r="C911" s="27">
        <v>28.3</v>
      </c>
      <c r="E911" s="18"/>
    </row>
    <row r="912" spans="1:5" ht="16.5" thickTop="1" thickBot="1" x14ac:dyDescent="0.3">
      <c r="A912" s="28">
        <v>6.8275038500222287</v>
      </c>
      <c r="B912" s="27">
        <v>0</v>
      </c>
      <c r="C912" s="27">
        <v>28.3</v>
      </c>
      <c r="E912" s="18"/>
    </row>
    <row r="913" spans="1:5" ht="16.5" thickTop="1" thickBot="1" x14ac:dyDescent="0.3">
      <c r="A913" s="28">
        <v>0.68352656983061699</v>
      </c>
      <c r="B913" s="27">
        <v>0</v>
      </c>
      <c r="C913" s="27">
        <v>23</v>
      </c>
      <c r="E913" s="18"/>
    </row>
    <row r="914" spans="1:5" ht="16.5" thickTop="1" thickBot="1" x14ac:dyDescent="0.3">
      <c r="A914" s="28">
        <v>2.7663887711004453</v>
      </c>
      <c r="B914" s="27">
        <v>0</v>
      </c>
      <c r="C914" s="27">
        <v>23</v>
      </c>
      <c r="E914" s="18"/>
    </row>
    <row r="915" spans="1:5" ht="16.5" thickTop="1" thickBot="1" x14ac:dyDescent="0.3">
      <c r="A915" s="28">
        <v>5.461419595796662</v>
      </c>
      <c r="B915" s="27">
        <v>0</v>
      </c>
      <c r="C915" s="27">
        <v>23</v>
      </c>
      <c r="E915" s="18"/>
    </row>
    <row r="916" spans="1:5" ht="16.5" thickTop="1" thickBot="1" x14ac:dyDescent="0.3">
      <c r="A916" s="28">
        <v>3.242860995810898</v>
      </c>
      <c r="B916" s="27">
        <v>0</v>
      </c>
      <c r="C916" s="27">
        <v>23</v>
      </c>
      <c r="E916" s="18"/>
    </row>
    <row r="917" spans="1:5" ht="16.5" thickTop="1" thickBot="1" x14ac:dyDescent="0.3">
      <c r="A917" s="28">
        <v>9.8366891390834521</v>
      </c>
      <c r="B917" s="27">
        <v>0</v>
      </c>
      <c r="C917" s="27">
        <v>23</v>
      </c>
      <c r="E917" s="18"/>
    </row>
    <row r="918" spans="1:5" ht="16.5" thickTop="1" thickBot="1" x14ac:dyDescent="0.3">
      <c r="A918" s="28">
        <v>5.5345776013709864</v>
      </c>
      <c r="B918" s="27">
        <v>0</v>
      </c>
      <c r="C918" s="27">
        <v>23</v>
      </c>
      <c r="E918" s="18"/>
    </row>
    <row r="919" spans="1:5" ht="16.5" thickTop="1" thickBot="1" x14ac:dyDescent="0.3">
      <c r="A919" s="28">
        <v>6.8727783303828671</v>
      </c>
      <c r="B919" s="27">
        <v>0</v>
      </c>
      <c r="C919" s="27">
        <v>23</v>
      </c>
      <c r="E919" s="18"/>
    </row>
    <row r="920" spans="1:5" ht="16.5" thickTop="1" thickBot="1" x14ac:dyDescent="0.3">
      <c r="A920" s="28">
        <v>6.1426758016342244</v>
      </c>
      <c r="B920" s="27">
        <v>0</v>
      </c>
      <c r="C920" s="27">
        <v>23</v>
      </c>
      <c r="E920" s="18"/>
    </row>
    <row r="921" spans="1:5" ht="16.5" thickTop="1" thickBot="1" x14ac:dyDescent="0.3">
      <c r="A921" s="28">
        <v>9.0273907144309611</v>
      </c>
      <c r="B921" s="27">
        <v>0</v>
      </c>
      <c r="C921" s="27">
        <v>23</v>
      </c>
      <c r="E921" s="18"/>
    </row>
    <row r="922" spans="1:5" ht="16.5" thickTop="1" thickBot="1" x14ac:dyDescent="0.3">
      <c r="A922" s="28">
        <v>0.52788000763386622</v>
      </c>
      <c r="B922" s="27">
        <v>0</v>
      </c>
      <c r="C922" s="27">
        <v>23</v>
      </c>
      <c r="E922" s="18"/>
    </row>
    <row r="923" spans="1:5" ht="16.5" thickTop="1" thickBot="1" x14ac:dyDescent="0.3">
      <c r="A923" s="28">
        <v>0.88723051948538645</v>
      </c>
      <c r="B923" s="27">
        <v>0</v>
      </c>
      <c r="C923" s="27">
        <v>23</v>
      </c>
      <c r="E923" s="18"/>
    </row>
    <row r="924" spans="1:5" ht="16.5" thickTop="1" thickBot="1" x14ac:dyDescent="0.3">
      <c r="A924" s="28">
        <v>4.7737333547016476</v>
      </c>
      <c r="B924" s="27">
        <v>0</v>
      </c>
      <c r="C924" s="27">
        <v>23</v>
      </c>
      <c r="E924" s="18"/>
    </row>
    <row r="925" spans="1:5" ht="16.5" thickTop="1" thickBot="1" x14ac:dyDescent="0.3">
      <c r="A925" s="28">
        <v>7.9916268939931854</v>
      </c>
      <c r="B925" s="27">
        <v>0</v>
      </c>
      <c r="C925" s="27">
        <v>23</v>
      </c>
      <c r="E925" s="18"/>
    </row>
    <row r="926" spans="1:5" ht="16.5" thickTop="1" thickBot="1" x14ac:dyDescent="0.3">
      <c r="A926" s="28">
        <v>4.8830923717481038</v>
      </c>
      <c r="B926" s="27">
        <v>0</v>
      </c>
      <c r="C926" s="27">
        <v>23</v>
      </c>
      <c r="E926" s="18"/>
    </row>
    <row r="927" spans="1:5" ht="16.5" thickTop="1" thickBot="1" x14ac:dyDescent="0.3">
      <c r="A927" s="28">
        <v>6.6334836697555595</v>
      </c>
      <c r="B927" s="27">
        <v>0</v>
      </c>
      <c r="C927" s="27">
        <v>23</v>
      </c>
      <c r="E927" s="18"/>
    </row>
    <row r="928" spans="1:5" ht="16.5" thickTop="1" thickBot="1" x14ac:dyDescent="0.3">
      <c r="A928" s="28">
        <v>3.2109012660690284</v>
      </c>
      <c r="B928" s="27">
        <v>0</v>
      </c>
      <c r="C928" s="27">
        <v>23</v>
      </c>
      <c r="E928" s="18"/>
    </row>
    <row r="929" spans="1:5" ht="16.5" thickTop="1" thickBot="1" x14ac:dyDescent="0.3">
      <c r="A929" s="28">
        <v>3.8637027435035538</v>
      </c>
      <c r="B929" s="27">
        <v>0</v>
      </c>
      <c r="C929" s="27">
        <v>23</v>
      </c>
      <c r="E929" s="18"/>
    </row>
    <row r="930" spans="1:5" ht="16.5" thickTop="1" thickBot="1" x14ac:dyDescent="0.3">
      <c r="A930" s="28">
        <v>3.6247891198875908</v>
      </c>
      <c r="B930" s="27">
        <v>0</v>
      </c>
      <c r="C930" s="27">
        <v>19.899999999999999</v>
      </c>
      <c r="E930" s="18"/>
    </row>
    <row r="931" spans="1:5" ht="16.5" thickTop="1" thickBot="1" x14ac:dyDescent="0.3">
      <c r="A931" s="28">
        <v>8.6712835881267196</v>
      </c>
      <c r="B931" s="27">
        <v>0</v>
      </c>
      <c r="C931" s="27">
        <v>19.899999999999999</v>
      </c>
      <c r="E931" s="18"/>
    </row>
    <row r="932" spans="1:5" ht="16.5" thickTop="1" thickBot="1" x14ac:dyDescent="0.3">
      <c r="A932" s="28">
        <v>6.7888432494908049</v>
      </c>
      <c r="B932" s="27">
        <v>0</v>
      </c>
      <c r="C932" s="27">
        <v>19.899999999999999</v>
      </c>
      <c r="E932" s="18"/>
    </row>
    <row r="933" spans="1:5" ht="16.5" thickTop="1" thickBot="1" x14ac:dyDescent="0.3">
      <c r="A933" s="28">
        <v>11.630707217824375</v>
      </c>
      <c r="B933" s="27">
        <v>0</v>
      </c>
      <c r="C933" s="27">
        <v>19.899999999999999</v>
      </c>
      <c r="E933" s="18"/>
    </row>
    <row r="934" spans="1:5" ht="16.5" thickTop="1" thickBot="1" x14ac:dyDescent="0.3">
      <c r="A934" s="28">
        <v>3.730417183025541</v>
      </c>
      <c r="B934" s="27">
        <v>0</v>
      </c>
      <c r="C934" s="27">
        <v>19.899999999999999</v>
      </c>
      <c r="E934" s="18"/>
    </row>
    <row r="935" spans="1:5" ht="16.5" thickTop="1" thickBot="1" x14ac:dyDescent="0.3">
      <c r="A935" s="28">
        <v>6.2786309355250909</v>
      </c>
      <c r="B935" s="27">
        <v>0</v>
      </c>
      <c r="C935" s="27">
        <v>19.899999999999999</v>
      </c>
      <c r="E935" s="18"/>
    </row>
    <row r="936" spans="1:5" ht="16.5" thickTop="1" thickBot="1" x14ac:dyDescent="0.3">
      <c r="A936" s="28">
        <v>2.0855227061211687</v>
      </c>
      <c r="B936" s="27">
        <v>0</v>
      </c>
      <c r="C936" s="27">
        <v>19.899999999999999</v>
      </c>
      <c r="E936" s="18"/>
    </row>
    <row r="937" spans="1:5" ht="16.5" thickTop="1" thickBot="1" x14ac:dyDescent="0.3">
      <c r="A937" s="28">
        <v>0.52620848407149667</v>
      </c>
      <c r="B937" s="27">
        <v>0</v>
      </c>
      <c r="C937" s="27">
        <v>19.899999999999999</v>
      </c>
      <c r="E937" s="18"/>
    </row>
    <row r="938" spans="1:5" ht="16.5" thickTop="1" thickBot="1" x14ac:dyDescent="0.3">
      <c r="A938" s="28">
        <v>6.9565040007261185</v>
      </c>
      <c r="B938" s="27">
        <v>0</v>
      </c>
      <c r="C938" s="27">
        <v>19.899999999999999</v>
      </c>
      <c r="E938" s="18"/>
    </row>
    <row r="939" spans="1:5" ht="16.5" thickTop="1" thickBot="1" x14ac:dyDescent="0.3">
      <c r="A939" s="28">
        <v>9.4226488770148453</v>
      </c>
      <c r="B939" s="27">
        <v>0</v>
      </c>
      <c r="C939" s="27">
        <v>19.899999999999999</v>
      </c>
      <c r="E939" s="18"/>
    </row>
    <row r="940" spans="1:5" ht="16.5" thickTop="1" thickBot="1" x14ac:dyDescent="0.3">
      <c r="A940" s="28">
        <v>4.3581050929450678</v>
      </c>
      <c r="B940" s="27">
        <v>0</v>
      </c>
      <c r="C940" s="27">
        <v>19.899999999999999</v>
      </c>
      <c r="E940" s="18"/>
    </row>
    <row r="941" spans="1:5" ht="16.5" thickTop="1" thickBot="1" x14ac:dyDescent="0.3">
      <c r="A941" s="28">
        <v>9.1502437128679759</v>
      </c>
      <c r="B941" s="27">
        <v>0</v>
      </c>
      <c r="C941" s="27">
        <v>19.899999999999999</v>
      </c>
      <c r="E941" s="18"/>
    </row>
    <row r="942" spans="1:5" ht="16.5" thickTop="1" thickBot="1" x14ac:dyDescent="0.3">
      <c r="A942" s="28">
        <v>5.3864026497728519</v>
      </c>
      <c r="B942" s="27">
        <v>0</v>
      </c>
      <c r="C942" s="27">
        <v>19.899999999999999</v>
      </c>
      <c r="E942" s="18"/>
    </row>
    <row r="943" spans="1:5" ht="16.5" thickTop="1" thickBot="1" x14ac:dyDescent="0.3">
      <c r="A943" s="28">
        <v>11.941727558926974</v>
      </c>
      <c r="B943" s="27">
        <v>0</v>
      </c>
      <c r="C943" s="27">
        <v>19.899999999999999</v>
      </c>
      <c r="E943" s="18"/>
    </row>
    <row r="944" spans="1:5" ht="16.5" thickTop="1" thickBot="1" x14ac:dyDescent="0.3">
      <c r="A944" s="28">
        <v>1.0915895921952856</v>
      </c>
      <c r="B944" s="27">
        <v>0</v>
      </c>
      <c r="C944" s="27">
        <v>19.899999999999999</v>
      </c>
      <c r="E944" s="18"/>
    </row>
    <row r="945" spans="1:5" ht="16.5" thickTop="1" thickBot="1" x14ac:dyDescent="0.3">
      <c r="A945" s="28">
        <v>0.20455158602846835</v>
      </c>
      <c r="B945" s="27">
        <v>0</v>
      </c>
      <c r="C945" s="27">
        <v>19.899999999999999</v>
      </c>
      <c r="E945" s="18"/>
    </row>
    <row r="946" spans="1:5" ht="16.5" thickTop="1" thickBot="1" x14ac:dyDescent="0.3">
      <c r="A946" s="28">
        <v>5.9666114286122145</v>
      </c>
      <c r="B946" s="27">
        <v>0</v>
      </c>
      <c r="C946" s="27">
        <v>19.899999999999999</v>
      </c>
      <c r="E946" s="18"/>
    </row>
    <row r="947" spans="1:5" ht="16.5" thickTop="1" thickBot="1" x14ac:dyDescent="0.3">
      <c r="A947" s="28">
        <v>6.226953721135752</v>
      </c>
      <c r="B947" s="27">
        <v>0</v>
      </c>
      <c r="C947" s="27">
        <v>24.1</v>
      </c>
      <c r="E947" s="18"/>
    </row>
    <row r="948" spans="1:5" ht="16.5" thickTop="1" thickBot="1" x14ac:dyDescent="0.3">
      <c r="A948" s="28">
        <v>2.1352033045205459</v>
      </c>
      <c r="B948" s="27">
        <v>0</v>
      </c>
      <c r="C948" s="27">
        <v>24.1</v>
      </c>
      <c r="E948" s="18"/>
    </row>
    <row r="949" spans="1:5" ht="16.5" thickTop="1" thickBot="1" x14ac:dyDescent="0.3">
      <c r="A949" s="28">
        <v>7.6537250447792049</v>
      </c>
      <c r="B949" s="27">
        <v>0</v>
      </c>
      <c r="C949" s="27">
        <v>24.1</v>
      </c>
      <c r="E949" s="18"/>
    </row>
    <row r="950" spans="1:5" ht="16.5" thickTop="1" thickBot="1" x14ac:dyDescent="0.3">
      <c r="A950" s="28">
        <v>4.4636790346287611</v>
      </c>
      <c r="B950" s="27">
        <v>0</v>
      </c>
      <c r="C950" s="27">
        <v>24.1</v>
      </c>
      <c r="E950" s="18"/>
    </row>
    <row r="951" spans="1:5" ht="16.5" thickTop="1" thickBot="1" x14ac:dyDescent="0.3">
      <c r="A951" s="28">
        <v>10.781622406074963</v>
      </c>
      <c r="B951" s="27">
        <v>0</v>
      </c>
      <c r="C951" s="27">
        <v>24.1</v>
      </c>
      <c r="E951" s="18"/>
    </row>
    <row r="952" spans="1:5" ht="16.5" thickTop="1" thickBot="1" x14ac:dyDescent="0.3">
      <c r="A952" s="28">
        <v>3.4174717052546022</v>
      </c>
      <c r="B952" s="27">
        <v>0</v>
      </c>
      <c r="C952" s="27">
        <v>24.1</v>
      </c>
      <c r="E952" s="18"/>
    </row>
    <row r="953" spans="1:5" ht="16.5" thickTop="1" thickBot="1" x14ac:dyDescent="0.3">
      <c r="A953" s="28">
        <v>2.5468527025884926</v>
      </c>
      <c r="B953" s="27">
        <v>0</v>
      </c>
      <c r="C953" s="27">
        <v>24.1</v>
      </c>
      <c r="E953" s="18"/>
    </row>
    <row r="954" spans="1:5" ht="16.5" thickTop="1" thickBot="1" x14ac:dyDescent="0.3">
      <c r="A954" s="28">
        <v>3.159244098203057</v>
      </c>
      <c r="B954" s="27">
        <v>0</v>
      </c>
      <c r="C954" s="27">
        <v>24.1</v>
      </c>
      <c r="E954" s="18"/>
    </row>
    <row r="955" spans="1:5" ht="16.5" thickTop="1" thickBot="1" x14ac:dyDescent="0.3">
      <c r="A955" s="28">
        <v>1.7947860868019911</v>
      </c>
      <c r="B955" s="27">
        <v>0</v>
      </c>
      <c r="C955" s="27">
        <v>24.1</v>
      </c>
      <c r="E955" s="18"/>
    </row>
    <row r="956" spans="1:5" ht="16.5" thickTop="1" thickBot="1" x14ac:dyDescent="0.3">
      <c r="A956" s="28">
        <v>6.3800969343482432</v>
      </c>
      <c r="B956" s="27">
        <v>0</v>
      </c>
      <c r="C956" s="27">
        <v>24.1</v>
      </c>
      <c r="E956" s="18"/>
    </row>
    <row r="957" spans="1:5" ht="16.5" thickTop="1" thickBot="1" x14ac:dyDescent="0.3">
      <c r="A957" s="28">
        <v>8.4827321672779377</v>
      </c>
      <c r="B957" s="27">
        <v>0</v>
      </c>
      <c r="C957" s="27">
        <v>24.1</v>
      </c>
      <c r="E957" s="18"/>
    </row>
    <row r="958" spans="1:5" ht="16.5" thickTop="1" thickBot="1" x14ac:dyDescent="0.3">
      <c r="A958" s="28">
        <v>4.4260079928686951</v>
      </c>
      <c r="B958" s="27">
        <v>0</v>
      </c>
      <c r="C958" s="27">
        <v>24.1</v>
      </c>
      <c r="E958" s="18"/>
    </row>
    <row r="959" spans="1:5" ht="16.5" thickTop="1" thickBot="1" x14ac:dyDescent="0.3">
      <c r="A959" s="28">
        <v>11.406598062174179</v>
      </c>
      <c r="B959" s="27">
        <v>0</v>
      </c>
      <c r="C959" s="27">
        <v>24.1</v>
      </c>
      <c r="E959" s="18"/>
    </row>
    <row r="960" spans="1:5" ht="16.5" thickTop="1" thickBot="1" x14ac:dyDescent="0.3">
      <c r="A960" s="28">
        <v>1.6020978103068053</v>
      </c>
      <c r="B960" s="27">
        <v>0</v>
      </c>
      <c r="C960" s="27">
        <v>24.1</v>
      </c>
      <c r="E960" s="18"/>
    </row>
    <row r="961" spans="1:5" ht="16.5" thickTop="1" thickBot="1" x14ac:dyDescent="0.3">
      <c r="A961" s="28">
        <v>8.0311750632313057</v>
      </c>
      <c r="B961" s="27">
        <v>0</v>
      </c>
      <c r="C961" s="27">
        <v>24.1</v>
      </c>
      <c r="E961" s="18"/>
    </row>
    <row r="962" spans="1:5" ht="16.5" thickTop="1" thickBot="1" x14ac:dyDescent="0.3">
      <c r="A962" s="28">
        <v>2.0141516379637507</v>
      </c>
      <c r="B962" s="27">
        <v>0</v>
      </c>
      <c r="C962" s="27">
        <v>24.1</v>
      </c>
      <c r="E962" s="18"/>
    </row>
    <row r="963" spans="1:5" ht="16.5" thickTop="1" thickBot="1" x14ac:dyDescent="0.3">
      <c r="A963" s="28">
        <v>7.5808103180330288</v>
      </c>
      <c r="B963" s="27">
        <v>0</v>
      </c>
      <c r="C963" s="27">
        <v>8.9</v>
      </c>
      <c r="E963" s="18"/>
    </row>
    <row r="964" spans="1:5" ht="16.5" thickTop="1" thickBot="1" x14ac:dyDescent="0.3">
      <c r="A964" s="28">
        <v>2.8422545810694384</v>
      </c>
      <c r="B964" s="27">
        <v>0</v>
      </c>
      <c r="C964" s="27">
        <v>8.9</v>
      </c>
      <c r="E964" s="18"/>
    </row>
    <row r="965" spans="1:5" ht="16.5" thickTop="1" thickBot="1" x14ac:dyDescent="0.3">
      <c r="A965" s="28">
        <v>1.7459726942158804</v>
      </c>
      <c r="B965" s="27">
        <v>0</v>
      </c>
      <c r="C965" s="27">
        <v>8.9</v>
      </c>
      <c r="E965" s="18"/>
    </row>
    <row r="966" spans="1:5" ht="16.5" thickTop="1" thickBot="1" x14ac:dyDescent="0.3">
      <c r="A966" s="28">
        <v>1.5325941270466841</v>
      </c>
      <c r="B966" s="27">
        <v>0</v>
      </c>
      <c r="C966" s="27">
        <v>8.9</v>
      </c>
      <c r="E966" s="18"/>
    </row>
    <row r="967" spans="1:5" ht="16.5" thickTop="1" thickBot="1" x14ac:dyDescent="0.3">
      <c r="A967" s="28">
        <v>3.9984891793176565</v>
      </c>
      <c r="B967" s="27">
        <v>0</v>
      </c>
      <c r="C967" s="27">
        <v>8.9</v>
      </c>
      <c r="E967" s="18"/>
    </row>
    <row r="968" spans="1:5" ht="16.5" thickTop="1" thickBot="1" x14ac:dyDescent="0.3">
      <c r="A968" s="28">
        <v>5.7483853914712766</v>
      </c>
      <c r="B968" s="27">
        <v>0</v>
      </c>
      <c r="C968" s="27">
        <v>8.9</v>
      </c>
      <c r="E968" s="18"/>
    </row>
    <row r="969" spans="1:5" ht="16.5" thickTop="1" thickBot="1" x14ac:dyDescent="0.3">
      <c r="A969" s="28">
        <v>6.5318558332307752</v>
      </c>
      <c r="B969" s="27">
        <v>0</v>
      </c>
      <c r="C969" s="27">
        <v>8.9</v>
      </c>
      <c r="E969" s="18"/>
    </row>
    <row r="970" spans="1:5" ht="16.5" thickTop="1" thickBot="1" x14ac:dyDescent="0.3">
      <c r="A970" s="28">
        <v>3.5370250049139171</v>
      </c>
      <c r="B970" s="27">
        <v>0</v>
      </c>
      <c r="C970" s="27">
        <v>8.9</v>
      </c>
      <c r="E970" s="18"/>
    </row>
    <row r="971" spans="1:5" ht="16.5" thickTop="1" thickBot="1" x14ac:dyDescent="0.3">
      <c r="A971" s="28">
        <v>4.0576887176852097</v>
      </c>
      <c r="B971" s="27">
        <v>0</v>
      </c>
      <c r="C971" s="27">
        <v>8.9</v>
      </c>
      <c r="E971" s="18"/>
    </row>
    <row r="972" spans="1:5" ht="16.5" thickTop="1" thickBot="1" x14ac:dyDescent="0.3">
      <c r="A972" s="28">
        <v>6.7191006198288559</v>
      </c>
      <c r="B972" s="27">
        <v>0</v>
      </c>
      <c r="C972" s="27">
        <v>8.9</v>
      </c>
      <c r="E972" s="18"/>
    </row>
    <row r="973" spans="1:5" ht="16.5" thickTop="1" thickBot="1" x14ac:dyDescent="0.3">
      <c r="A973" s="28">
        <v>7.5726470360459581</v>
      </c>
      <c r="B973" s="27">
        <v>0</v>
      </c>
      <c r="C973" s="27">
        <v>8.9</v>
      </c>
      <c r="E973" s="18"/>
    </row>
    <row r="974" spans="1:5" ht="16.5" thickTop="1" thickBot="1" x14ac:dyDescent="0.3">
      <c r="A974" s="28">
        <v>3.1051596422847134</v>
      </c>
      <c r="B974" s="27">
        <v>0</v>
      </c>
      <c r="C974" s="27">
        <v>8.9</v>
      </c>
      <c r="E974" s="18"/>
    </row>
    <row r="975" spans="1:5" ht="16.5" thickTop="1" thickBot="1" x14ac:dyDescent="0.3">
      <c r="A975" s="28">
        <v>3.5946325490400657</v>
      </c>
      <c r="B975" s="27">
        <v>0</v>
      </c>
      <c r="C975" s="27">
        <v>8.9</v>
      </c>
      <c r="E975" s="18"/>
    </row>
    <row r="976" spans="1:5" ht="16.5" thickTop="1" thickBot="1" x14ac:dyDescent="0.3">
      <c r="A976" s="28">
        <v>4.1293685152732369</v>
      </c>
      <c r="B976" s="27">
        <v>0</v>
      </c>
      <c r="C976" s="27">
        <v>8.9</v>
      </c>
      <c r="E976" s="18"/>
    </row>
    <row r="977" spans="1:5" ht="16.5" thickTop="1" thickBot="1" x14ac:dyDescent="0.3">
      <c r="A977" s="28">
        <v>1.0464201067689545</v>
      </c>
      <c r="B977" s="27">
        <v>0</v>
      </c>
      <c r="C977" s="27">
        <v>8.9</v>
      </c>
      <c r="E977" s="18"/>
    </row>
    <row r="978" spans="1:5" ht="16.5" thickTop="1" thickBot="1" x14ac:dyDescent="0.3">
      <c r="A978" s="28">
        <v>1.8561430688614682</v>
      </c>
      <c r="B978" s="27">
        <v>0</v>
      </c>
      <c r="C978" s="27">
        <v>8.9</v>
      </c>
      <c r="E978" s="18"/>
    </row>
    <row r="979" spans="1:5" ht="16.5" thickTop="1" thickBot="1" x14ac:dyDescent="0.3">
      <c r="A979" s="28">
        <v>5.2182911622509902</v>
      </c>
      <c r="B979" s="27">
        <v>0</v>
      </c>
      <c r="C979" s="27">
        <v>8.9</v>
      </c>
      <c r="E979" s="18"/>
    </row>
    <row r="980" spans="1:5" ht="16.5" thickTop="1" thickBot="1" x14ac:dyDescent="0.3">
      <c r="A980" s="28">
        <v>4.1850713082363296</v>
      </c>
      <c r="B980" s="27">
        <v>0</v>
      </c>
      <c r="C980" s="27">
        <v>7.8</v>
      </c>
      <c r="E980" s="18"/>
    </row>
    <row r="981" spans="1:5" ht="16.5" thickTop="1" thickBot="1" x14ac:dyDescent="0.3">
      <c r="A981" s="28">
        <v>11.782345869161421</v>
      </c>
      <c r="B981" s="27">
        <v>0</v>
      </c>
      <c r="C981" s="27">
        <v>7.8</v>
      </c>
      <c r="E981" s="18"/>
    </row>
    <row r="982" spans="1:5" ht="16.5" thickTop="1" thickBot="1" x14ac:dyDescent="0.3">
      <c r="A982" s="28">
        <v>1.5554814841062383</v>
      </c>
      <c r="B982" s="27">
        <v>0</v>
      </c>
      <c r="C982" s="27">
        <v>7.8</v>
      </c>
      <c r="E982" s="18"/>
    </row>
    <row r="983" spans="1:5" ht="16.5" thickTop="1" thickBot="1" x14ac:dyDescent="0.3">
      <c r="A983" s="28">
        <v>2.5992544985959949</v>
      </c>
      <c r="B983" s="27">
        <v>0</v>
      </c>
      <c r="C983" s="27">
        <v>7.8</v>
      </c>
      <c r="E983" s="18"/>
    </row>
    <row r="984" spans="1:5" ht="16.5" thickTop="1" thickBot="1" x14ac:dyDescent="0.3">
      <c r="A984" s="28">
        <v>6.0345679351032535</v>
      </c>
      <c r="B984" s="27">
        <v>0</v>
      </c>
      <c r="C984" s="27">
        <v>7.8</v>
      </c>
      <c r="E984" s="18"/>
    </row>
    <row r="985" spans="1:5" ht="16.5" thickTop="1" thickBot="1" x14ac:dyDescent="0.3">
      <c r="A985" s="28">
        <v>3.4538411302715559</v>
      </c>
      <c r="B985" s="27">
        <v>0</v>
      </c>
      <c r="C985" s="27">
        <v>7.8</v>
      </c>
      <c r="E985" s="18"/>
    </row>
    <row r="986" spans="1:5" ht="16.5" thickTop="1" thickBot="1" x14ac:dyDescent="0.3">
      <c r="A986" s="28">
        <v>1.7559996388676566</v>
      </c>
      <c r="B986" s="27">
        <v>0</v>
      </c>
      <c r="C986" s="27">
        <v>7.8</v>
      </c>
      <c r="E986" s="18"/>
    </row>
    <row r="987" spans="1:5" ht="16.5" thickTop="1" thickBot="1" x14ac:dyDescent="0.3">
      <c r="A987" s="28">
        <v>4.6514804893494821</v>
      </c>
      <c r="B987" s="27">
        <v>0</v>
      </c>
      <c r="C987" s="27">
        <v>7.8</v>
      </c>
      <c r="E987" s="18"/>
    </row>
    <row r="988" spans="1:5" ht="16.5" thickTop="1" thickBot="1" x14ac:dyDescent="0.3">
      <c r="A988" s="28">
        <v>6.578291875405478</v>
      </c>
      <c r="B988" s="27">
        <v>0</v>
      </c>
      <c r="C988" s="27">
        <v>7.8</v>
      </c>
      <c r="E988" s="18"/>
    </row>
    <row r="989" spans="1:5" ht="16.5" thickTop="1" thickBot="1" x14ac:dyDescent="0.3">
      <c r="A989" s="28">
        <v>10.090548788328343</v>
      </c>
      <c r="B989" s="27">
        <v>0</v>
      </c>
      <c r="C989" s="27">
        <v>7.8</v>
      </c>
      <c r="E989" s="18"/>
    </row>
    <row r="990" spans="1:5" ht="16.5" thickTop="1" thickBot="1" x14ac:dyDescent="0.3">
      <c r="A990" s="28">
        <v>5.3745802809384511</v>
      </c>
      <c r="B990" s="27">
        <v>0</v>
      </c>
      <c r="C990" s="27">
        <v>7.8</v>
      </c>
      <c r="E990" s="18"/>
    </row>
    <row r="991" spans="1:5" ht="16.5" thickTop="1" thickBot="1" x14ac:dyDescent="0.3">
      <c r="A991" s="28">
        <v>7.3135923624575128</v>
      </c>
      <c r="B991" s="27">
        <v>0</v>
      </c>
      <c r="C991" s="27">
        <v>7.8</v>
      </c>
      <c r="E991" s="18"/>
    </row>
    <row r="992" spans="1:5" ht="16.5" thickTop="1" thickBot="1" x14ac:dyDescent="0.3">
      <c r="A992" s="28">
        <v>2.9126632069002754</v>
      </c>
      <c r="B992" s="27">
        <v>0</v>
      </c>
      <c r="C992" s="27">
        <v>7.8</v>
      </c>
      <c r="E992" s="18"/>
    </row>
    <row r="993" spans="1:5" ht="16.5" thickTop="1" thickBot="1" x14ac:dyDescent="0.3">
      <c r="A993" s="28">
        <v>7.4912050419009635</v>
      </c>
      <c r="B993" s="27">
        <v>0</v>
      </c>
      <c r="C993" s="27">
        <v>7.8</v>
      </c>
      <c r="E993" s="18"/>
    </row>
    <row r="994" spans="1:5" ht="16.5" thickTop="1" thickBot="1" x14ac:dyDescent="0.3">
      <c r="A994" s="28">
        <v>8.7252366608452481E-2</v>
      </c>
      <c r="B994" s="27">
        <v>0</v>
      </c>
      <c r="C994" s="27">
        <v>7.8</v>
      </c>
      <c r="E994" s="18"/>
    </row>
    <row r="995" spans="1:5" ht="16.5" thickTop="1" thickBot="1" x14ac:dyDescent="0.3">
      <c r="A995" s="28">
        <v>6.7417219488505911</v>
      </c>
      <c r="B995" s="27">
        <v>0</v>
      </c>
      <c r="C995" s="27">
        <v>7.8</v>
      </c>
      <c r="E995" s="18"/>
    </row>
    <row r="996" spans="1:5" ht="16.5" thickTop="1" thickBot="1" x14ac:dyDescent="0.3">
      <c r="A996" s="28">
        <v>2.101032149276965</v>
      </c>
      <c r="B996" s="27">
        <v>0</v>
      </c>
      <c r="C996" s="27">
        <v>7.8</v>
      </c>
      <c r="E996" s="18"/>
    </row>
    <row r="997" spans="1:5" ht="16.5" thickTop="1" thickBot="1" x14ac:dyDescent="0.3">
      <c r="A997" s="28">
        <v>4.0096401246683318</v>
      </c>
      <c r="B997" s="27">
        <v>0</v>
      </c>
      <c r="C997" s="27">
        <v>22.4</v>
      </c>
      <c r="E997" s="18"/>
    </row>
    <row r="998" spans="1:5" ht="16.5" thickTop="1" thickBot="1" x14ac:dyDescent="0.3">
      <c r="A998" s="28">
        <v>4.1997690905174041</v>
      </c>
      <c r="B998" s="27">
        <v>0</v>
      </c>
      <c r="C998" s="27">
        <v>22.4</v>
      </c>
      <c r="E998" s="18"/>
    </row>
    <row r="999" spans="1:5" ht="16.5" thickTop="1" thickBot="1" x14ac:dyDescent="0.3">
      <c r="A999" s="28">
        <v>1.6932742193093158</v>
      </c>
      <c r="B999" s="27">
        <v>0</v>
      </c>
      <c r="C999" s="27">
        <v>22.4</v>
      </c>
      <c r="E999" s="18"/>
    </row>
    <row r="1000" spans="1:5" ht="16.5" thickTop="1" thickBot="1" x14ac:dyDescent="0.3">
      <c r="A1000" s="28">
        <v>4.1539858206453273</v>
      </c>
      <c r="B1000" s="27">
        <v>0</v>
      </c>
      <c r="C1000" s="27">
        <v>22.4</v>
      </c>
      <c r="E1000" s="18"/>
    </row>
    <row r="1001" spans="1:5" ht="16.5" thickTop="1" thickBot="1" x14ac:dyDescent="0.3">
      <c r="A1001" s="28">
        <v>5.820904679812136</v>
      </c>
      <c r="B1001" s="27">
        <v>0</v>
      </c>
      <c r="C1001" s="27">
        <v>22.4</v>
      </c>
      <c r="E1001" s="18"/>
    </row>
    <row r="1002" spans="1:5" ht="16.5" thickTop="1" thickBot="1" x14ac:dyDescent="0.3">
      <c r="A1002" s="28">
        <v>6.421502854618069</v>
      </c>
      <c r="B1002" s="27">
        <v>0</v>
      </c>
      <c r="C1002" s="27">
        <v>22.4</v>
      </c>
      <c r="E1002" s="18"/>
    </row>
    <row r="1003" spans="1:5" ht="16.5" thickTop="1" thickBot="1" x14ac:dyDescent="0.3">
      <c r="A1003" s="28">
        <v>5.067888638451115</v>
      </c>
      <c r="B1003" s="27">
        <v>0</v>
      </c>
      <c r="C1003" s="27">
        <v>22.4</v>
      </c>
      <c r="E1003" s="18"/>
    </row>
    <row r="1004" spans="1:5" ht="16.5" thickTop="1" thickBot="1" x14ac:dyDescent="0.3">
      <c r="A1004" s="28">
        <v>2.7050529120138203</v>
      </c>
      <c r="B1004" s="27">
        <v>0</v>
      </c>
      <c r="C1004" s="27">
        <v>22.4</v>
      </c>
      <c r="E1004" s="18"/>
    </row>
    <row r="1005" spans="1:5" ht="16.5" thickTop="1" thickBot="1" x14ac:dyDescent="0.3">
      <c r="A1005" s="28">
        <v>9.9467314262479434</v>
      </c>
      <c r="B1005" s="27">
        <v>0</v>
      </c>
      <c r="C1005" s="27">
        <v>22.4</v>
      </c>
      <c r="E1005" s="18"/>
    </row>
    <row r="1006" spans="1:5" ht="16.5" thickTop="1" thickBot="1" x14ac:dyDescent="0.3">
      <c r="A1006" s="28">
        <v>4.1283944326410804</v>
      </c>
      <c r="B1006" s="27">
        <v>0</v>
      </c>
      <c r="C1006" s="27">
        <v>22.4</v>
      </c>
      <c r="E1006" s="18"/>
    </row>
    <row r="1007" spans="1:5" ht="16.5" thickTop="1" thickBot="1" x14ac:dyDescent="0.3">
      <c r="A1007" s="28">
        <v>10.152093146292939</v>
      </c>
      <c r="B1007" s="27">
        <v>0</v>
      </c>
      <c r="C1007" s="27">
        <v>22.4</v>
      </c>
      <c r="E1007" s="18"/>
    </row>
    <row r="1008" spans="1:5" ht="16.5" thickTop="1" thickBot="1" x14ac:dyDescent="0.3">
      <c r="A1008" s="28">
        <v>2.9962959844610602</v>
      </c>
      <c r="B1008" s="27">
        <v>0</v>
      </c>
      <c r="C1008" s="27">
        <v>22.4</v>
      </c>
      <c r="E1008" s="18"/>
    </row>
    <row r="1009" spans="1:5" ht="16.5" thickTop="1" thickBot="1" x14ac:dyDescent="0.3">
      <c r="A1009" s="28">
        <v>2.8054824914669028</v>
      </c>
      <c r="B1009" s="27">
        <v>0</v>
      </c>
      <c r="C1009" s="27">
        <v>22.4</v>
      </c>
      <c r="E1009" s="18"/>
    </row>
    <row r="1010" spans="1:5" ht="16.5" thickTop="1" thickBot="1" x14ac:dyDescent="0.3">
      <c r="A1010" s="28">
        <v>1.4717028773304426</v>
      </c>
      <c r="B1010" s="27">
        <v>0</v>
      </c>
      <c r="C1010" s="27">
        <v>22.4</v>
      </c>
      <c r="E1010" s="18"/>
    </row>
    <row r="1011" spans="1:5" ht="16.5" thickTop="1" thickBot="1" x14ac:dyDescent="0.3">
      <c r="A1011" s="28">
        <v>10.551372536852822</v>
      </c>
      <c r="B1011" s="27">
        <v>0</v>
      </c>
      <c r="C1011" s="27">
        <v>22.4</v>
      </c>
      <c r="E1011" s="18"/>
    </row>
    <row r="1012" spans="1:5" ht="16.5" thickTop="1" thickBot="1" x14ac:dyDescent="0.3">
      <c r="A1012" s="28">
        <v>6.7153004809687733</v>
      </c>
      <c r="B1012" s="27">
        <v>0</v>
      </c>
      <c r="C1012" s="27">
        <v>22.4</v>
      </c>
      <c r="E1012" s="18"/>
    </row>
    <row r="1013" spans="1:5" ht="16.5" thickTop="1" thickBot="1" x14ac:dyDescent="0.3">
      <c r="A1013" s="28">
        <v>9.4197546768573552</v>
      </c>
      <c r="B1013" s="27">
        <v>0</v>
      </c>
      <c r="C1013" s="27">
        <v>22.4</v>
      </c>
      <c r="E1013" s="18"/>
    </row>
    <row r="1014" spans="1:5" ht="16.5" thickTop="1" thickBot="1" x14ac:dyDescent="0.3">
      <c r="A1014" s="28">
        <v>1.6573300740162793</v>
      </c>
      <c r="B1014" s="27">
        <v>0</v>
      </c>
      <c r="C1014" s="27">
        <v>19.100000000000001</v>
      </c>
      <c r="E1014" s="18"/>
    </row>
    <row r="1015" spans="1:5" ht="16.5" thickTop="1" thickBot="1" x14ac:dyDescent="0.3">
      <c r="A1015" s="28">
        <v>0.91228326753978539</v>
      </c>
      <c r="B1015" s="27">
        <v>0</v>
      </c>
      <c r="C1015" s="27">
        <v>19.100000000000001</v>
      </c>
      <c r="E1015" s="18"/>
    </row>
    <row r="1016" spans="1:5" ht="16.5" thickTop="1" thickBot="1" x14ac:dyDescent="0.3">
      <c r="A1016" s="28">
        <v>3.0808930020534877</v>
      </c>
      <c r="B1016" s="27">
        <v>0</v>
      </c>
      <c r="C1016" s="27">
        <v>19.100000000000001</v>
      </c>
      <c r="E1016" s="18"/>
    </row>
    <row r="1017" spans="1:5" ht="16.5" thickTop="1" thickBot="1" x14ac:dyDescent="0.3">
      <c r="A1017" s="28">
        <v>11.532293766601407</v>
      </c>
      <c r="B1017" s="27">
        <v>0</v>
      </c>
      <c r="C1017" s="27">
        <v>19.100000000000001</v>
      </c>
      <c r="E1017" s="18"/>
    </row>
    <row r="1018" spans="1:5" ht="16.5" thickTop="1" thickBot="1" x14ac:dyDescent="0.3">
      <c r="A1018" s="28">
        <v>6.477098128806773</v>
      </c>
      <c r="B1018" s="27">
        <v>0</v>
      </c>
      <c r="C1018" s="27">
        <v>19.100000000000001</v>
      </c>
      <c r="E1018" s="18"/>
    </row>
    <row r="1019" spans="1:5" ht="16.5" thickTop="1" thickBot="1" x14ac:dyDescent="0.3">
      <c r="A1019" s="28">
        <v>11.868956751913334</v>
      </c>
      <c r="B1019" s="27">
        <v>0</v>
      </c>
      <c r="C1019" s="27">
        <v>19.100000000000001</v>
      </c>
      <c r="E1019" s="18"/>
    </row>
    <row r="1020" spans="1:5" ht="16.5" thickTop="1" thickBot="1" x14ac:dyDescent="0.3">
      <c r="A1020" s="28">
        <v>5.2728351730884109</v>
      </c>
      <c r="B1020" s="27">
        <v>0</v>
      </c>
      <c r="C1020" s="27">
        <v>19.100000000000001</v>
      </c>
      <c r="E1020" s="18"/>
    </row>
    <row r="1021" spans="1:5" ht="16.5" thickTop="1" thickBot="1" x14ac:dyDescent="0.3">
      <c r="A1021" s="28">
        <v>8.8561813950556267</v>
      </c>
      <c r="B1021" s="27">
        <v>0</v>
      </c>
      <c r="C1021" s="27">
        <v>19.100000000000001</v>
      </c>
      <c r="E1021" s="18"/>
    </row>
    <row r="1022" spans="1:5" ht="16.5" thickTop="1" thickBot="1" x14ac:dyDescent="0.3">
      <c r="A1022" s="28">
        <v>0.29736640294154548</v>
      </c>
      <c r="B1022" s="27">
        <v>0</v>
      </c>
      <c r="C1022" s="27">
        <v>19.100000000000001</v>
      </c>
      <c r="E1022" s="18"/>
    </row>
    <row r="1023" spans="1:5" ht="16.5" thickTop="1" thickBot="1" x14ac:dyDescent="0.3">
      <c r="A1023" s="28">
        <v>4.761901505354837</v>
      </c>
      <c r="B1023" s="27">
        <v>0</v>
      </c>
      <c r="C1023" s="27">
        <v>19.100000000000001</v>
      </c>
      <c r="E1023" s="18"/>
    </row>
    <row r="1024" spans="1:5" ht="16.5" thickTop="1" thickBot="1" x14ac:dyDescent="0.3">
      <c r="A1024" s="28">
        <v>6.4720593839592961</v>
      </c>
      <c r="B1024" s="27">
        <v>0</v>
      </c>
      <c r="C1024" s="27">
        <v>19.100000000000001</v>
      </c>
      <c r="E1024" s="18"/>
    </row>
    <row r="1025" spans="1:5" ht="16.5" thickTop="1" thickBot="1" x14ac:dyDescent="0.3">
      <c r="A1025" s="28">
        <v>2.5838672902975293</v>
      </c>
      <c r="B1025" s="27">
        <v>0</v>
      </c>
      <c r="C1025" s="27">
        <v>19.100000000000001</v>
      </c>
      <c r="E1025" s="18"/>
    </row>
    <row r="1026" spans="1:5" ht="16.5" thickTop="1" thickBot="1" x14ac:dyDescent="0.3">
      <c r="A1026" s="28">
        <v>1.0708191332270314</v>
      </c>
      <c r="B1026" s="27">
        <v>0</v>
      </c>
      <c r="C1026" s="27">
        <v>19.100000000000001</v>
      </c>
      <c r="E1026" s="18"/>
    </row>
    <row r="1027" spans="1:5" ht="16.5" thickTop="1" thickBot="1" x14ac:dyDescent="0.3">
      <c r="A1027" s="28">
        <v>0.76415308411458049</v>
      </c>
      <c r="B1027" s="27">
        <v>0</v>
      </c>
      <c r="C1027" s="27">
        <v>19.100000000000001</v>
      </c>
      <c r="E1027" s="18"/>
    </row>
    <row r="1028" spans="1:5" ht="16.5" thickTop="1" thickBot="1" x14ac:dyDescent="0.3">
      <c r="A1028" s="28">
        <v>0.65493758454071949</v>
      </c>
      <c r="B1028" s="27">
        <v>0</v>
      </c>
      <c r="C1028" s="27">
        <v>19.100000000000001</v>
      </c>
      <c r="E1028" s="18"/>
    </row>
    <row r="1029" spans="1:5" ht="16.5" thickTop="1" thickBot="1" x14ac:dyDescent="0.3">
      <c r="A1029" s="28">
        <v>6.5451316173646745</v>
      </c>
      <c r="B1029" s="27">
        <v>0</v>
      </c>
      <c r="C1029" s="27">
        <v>19.100000000000001</v>
      </c>
      <c r="E1029" s="18"/>
    </row>
    <row r="1030" spans="1:5" ht="16.5" thickTop="1" thickBot="1" x14ac:dyDescent="0.3">
      <c r="A1030" s="28">
        <v>4.3621039298526973</v>
      </c>
      <c r="B1030" s="27">
        <v>0</v>
      </c>
      <c r="C1030" s="27">
        <v>8.5</v>
      </c>
      <c r="E1030" s="18"/>
    </row>
    <row r="1031" spans="1:5" ht="16.5" thickTop="1" thickBot="1" x14ac:dyDescent="0.3">
      <c r="A1031" s="28">
        <v>3.0975286759242344</v>
      </c>
      <c r="B1031" s="27">
        <v>0</v>
      </c>
      <c r="C1031" s="27">
        <v>8.5</v>
      </c>
      <c r="E1031" s="18"/>
    </row>
    <row r="1032" spans="1:5" ht="16.5" thickTop="1" thickBot="1" x14ac:dyDescent="0.3">
      <c r="A1032" s="28">
        <v>0.13562710157604063</v>
      </c>
      <c r="B1032" s="27">
        <v>0</v>
      </c>
      <c r="C1032" s="27">
        <v>8.5</v>
      </c>
      <c r="E1032" s="18"/>
    </row>
    <row r="1033" spans="1:5" ht="16.5" thickTop="1" thickBot="1" x14ac:dyDescent="0.3">
      <c r="A1033" s="28">
        <v>10.490921888427462</v>
      </c>
      <c r="B1033" s="27">
        <v>0</v>
      </c>
      <c r="C1033" s="27">
        <v>8.5</v>
      </c>
      <c r="E1033" s="18"/>
    </row>
    <row r="1034" spans="1:5" ht="16.5" thickTop="1" thickBot="1" x14ac:dyDescent="0.3">
      <c r="A1034" s="28">
        <v>4.450460416055968</v>
      </c>
      <c r="B1034" s="27">
        <v>0</v>
      </c>
      <c r="C1034" s="27">
        <v>8.5</v>
      </c>
      <c r="E1034" s="18"/>
    </row>
    <row r="1035" spans="1:5" ht="16.5" thickTop="1" thickBot="1" x14ac:dyDescent="0.3">
      <c r="A1035" s="28">
        <v>6.2338953499597451</v>
      </c>
      <c r="B1035" s="27">
        <v>0</v>
      </c>
      <c r="C1035" s="27">
        <v>8.5</v>
      </c>
      <c r="E1035" s="18"/>
    </row>
    <row r="1036" spans="1:5" ht="16.5" thickTop="1" thickBot="1" x14ac:dyDescent="0.3">
      <c r="A1036" s="28">
        <v>3.6130698236149312</v>
      </c>
      <c r="B1036" s="27">
        <v>0</v>
      </c>
      <c r="C1036" s="27">
        <v>8.5</v>
      </c>
      <c r="E1036" s="18"/>
    </row>
    <row r="1037" spans="1:5" ht="16.5" thickTop="1" thickBot="1" x14ac:dyDescent="0.3">
      <c r="A1037" s="28">
        <v>2.3303041101663484</v>
      </c>
      <c r="B1037" s="27">
        <v>0</v>
      </c>
      <c r="C1037" s="27">
        <v>8.5</v>
      </c>
      <c r="E1037" s="18"/>
    </row>
    <row r="1038" spans="1:5" ht="16.5" thickTop="1" thickBot="1" x14ac:dyDescent="0.3">
      <c r="A1038" s="28">
        <v>5.8397337394559203</v>
      </c>
      <c r="B1038" s="27">
        <v>0</v>
      </c>
      <c r="C1038" s="27">
        <v>8.5</v>
      </c>
      <c r="E1038" s="18"/>
    </row>
    <row r="1039" spans="1:5" ht="16.5" thickTop="1" thickBot="1" x14ac:dyDescent="0.3">
      <c r="A1039" s="28">
        <v>7.8669222154349265</v>
      </c>
      <c r="B1039" s="27">
        <v>0</v>
      </c>
      <c r="C1039" s="27">
        <v>8.5</v>
      </c>
      <c r="E1039" s="18"/>
    </row>
    <row r="1040" spans="1:5" ht="16.5" thickTop="1" thickBot="1" x14ac:dyDescent="0.3">
      <c r="A1040" s="28">
        <v>4.7749145873711454</v>
      </c>
      <c r="B1040" s="27">
        <v>0</v>
      </c>
      <c r="C1040" s="27">
        <v>8.5</v>
      </c>
      <c r="E1040" s="18"/>
    </row>
    <row r="1041" spans="1:5" ht="16.5" thickTop="1" thickBot="1" x14ac:dyDescent="0.3">
      <c r="A1041" s="28">
        <v>9.6955436430680084</v>
      </c>
      <c r="B1041" s="27">
        <v>0</v>
      </c>
      <c r="C1041" s="27">
        <v>8.5</v>
      </c>
      <c r="E1041" s="18"/>
    </row>
    <row r="1042" spans="1:5" ht="16.5" thickTop="1" thickBot="1" x14ac:dyDescent="0.3">
      <c r="A1042" s="28">
        <v>6.7303788052154632</v>
      </c>
      <c r="B1042" s="27">
        <v>0</v>
      </c>
      <c r="C1042" s="27">
        <v>8.5</v>
      </c>
      <c r="E1042" s="18"/>
    </row>
    <row r="1043" spans="1:5" ht="16.5" thickTop="1" thickBot="1" x14ac:dyDescent="0.3">
      <c r="A1043" s="28">
        <v>9.0354975899217873</v>
      </c>
      <c r="B1043" s="27">
        <v>0</v>
      </c>
      <c r="C1043" s="27">
        <v>8.5</v>
      </c>
      <c r="E1043" s="18"/>
    </row>
    <row r="1044" spans="1:5" ht="16.5" thickTop="1" thickBot="1" x14ac:dyDescent="0.3">
      <c r="A1044" s="28">
        <v>1.9810371360609462</v>
      </c>
      <c r="B1044" s="27">
        <v>0</v>
      </c>
      <c r="C1044" s="27">
        <v>8.5</v>
      </c>
      <c r="E1044" s="18"/>
    </row>
    <row r="1045" spans="1:5" ht="16.5" thickTop="1" thickBot="1" x14ac:dyDescent="0.3">
      <c r="A1045" s="28">
        <v>4.7638336782880932</v>
      </c>
      <c r="B1045" s="27">
        <v>0</v>
      </c>
      <c r="C1045" s="27">
        <v>8.5</v>
      </c>
      <c r="E1045" s="18"/>
    </row>
    <row r="1046" spans="1:5" ht="16.5" thickTop="1" thickBot="1" x14ac:dyDescent="0.3">
      <c r="A1046" s="28">
        <v>3.3148197188943334</v>
      </c>
      <c r="B1046" s="27">
        <v>0</v>
      </c>
      <c r="C1046" s="27">
        <v>18.399999999999999</v>
      </c>
      <c r="E1046" s="18"/>
    </row>
    <row r="1047" spans="1:5" ht="16.5" thickTop="1" thickBot="1" x14ac:dyDescent="0.3">
      <c r="A1047" s="28">
        <v>1.2775843092657979</v>
      </c>
      <c r="B1047" s="27">
        <v>0</v>
      </c>
      <c r="C1047" s="27">
        <v>18.399999999999999</v>
      </c>
      <c r="E1047" s="18"/>
    </row>
    <row r="1048" spans="1:5" ht="16.5" thickTop="1" thickBot="1" x14ac:dyDescent="0.3">
      <c r="A1048" s="28">
        <v>1.8432141367060186</v>
      </c>
      <c r="B1048" s="27">
        <v>0</v>
      </c>
      <c r="C1048" s="27">
        <v>18.399999999999999</v>
      </c>
      <c r="E1048" s="18"/>
    </row>
    <row r="1049" spans="1:5" ht="16.5" thickTop="1" thickBot="1" x14ac:dyDescent="0.3">
      <c r="A1049" s="28">
        <v>8.5078106139148097</v>
      </c>
      <c r="B1049" s="27">
        <v>0</v>
      </c>
      <c r="C1049" s="27">
        <v>18.399999999999999</v>
      </c>
      <c r="E1049" s="18"/>
    </row>
    <row r="1050" spans="1:5" ht="16.5" thickTop="1" thickBot="1" x14ac:dyDescent="0.3">
      <c r="A1050" s="28">
        <v>0.25187974530652124</v>
      </c>
      <c r="B1050" s="27">
        <v>0</v>
      </c>
      <c r="C1050" s="27">
        <v>18.399999999999999</v>
      </c>
      <c r="E1050" s="18"/>
    </row>
    <row r="1051" spans="1:5" ht="16.5" thickTop="1" thickBot="1" x14ac:dyDescent="0.3">
      <c r="A1051" s="28">
        <v>8.277386977220818</v>
      </c>
      <c r="B1051" s="27">
        <v>0</v>
      </c>
      <c r="C1051" s="27">
        <v>18.399999999999999</v>
      </c>
      <c r="E1051" s="18"/>
    </row>
    <row r="1052" spans="1:5" ht="16.5" thickTop="1" thickBot="1" x14ac:dyDescent="0.3">
      <c r="A1052" s="28">
        <v>6.3199574761532773</v>
      </c>
      <c r="B1052" s="27">
        <v>0</v>
      </c>
      <c r="C1052" s="27">
        <v>18.399999999999999</v>
      </c>
      <c r="E1052" s="18"/>
    </row>
    <row r="1053" spans="1:5" ht="16.5" thickTop="1" thickBot="1" x14ac:dyDescent="0.3">
      <c r="A1053" s="28">
        <v>9.1104670302094863</v>
      </c>
      <c r="B1053" s="27">
        <v>0</v>
      </c>
      <c r="C1053" s="27">
        <v>18.399999999999999</v>
      </c>
      <c r="E1053" s="18"/>
    </row>
    <row r="1054" spans="1:5" ht="16.5" thickTop="1" thickBot="1" x14ac:dyDescent="0.3">
      <c r="A1054" s="28">
        <v>2.964487409463644</v>
      </c>
      <c r="B1054" s="27">
        <v>0</v>
      </c>
      <c r="C1054" s="27">
        <v>18.399999999999999</v>
      </c>
      <c r="E1054" s="18"/>
    </row>
    <row r="1055" spans="1:5" ht="16.5" thickTop="1" thickBot="1" x14ac:dyDescent="0.3">
      <c r="A1055" s="28">
        <v>8.7889114211850234</v>
      </c>
      <c r="B1055" s="27">
        <v>0</v>
      </c>
      <c r="C1055" s="27">
        <v>18.399999999999999</v>
      </c>
      <c r="E1055" s="18"/>
    </row>
    <row r="1056" spans="1:5" ht="16.5" thickTop="1" thickBot="1" x14ac:dyDescent="0.3">
      <c r="A1056" s="28">
        <v>3.9069473046899343</v>
      </c>
      <c r="B1056" s="27">
        <v>0</v>
      </c>
      <c r="C1056" s="27">
        <v>18.399999999999999</v>
      </c>
      <c r="E1056" s="18"/>
    </row>
    <row r="1057" spans="1:5" ht="16.5" thickTop="1" thickBot="1" x14ac:dyDescent="0.3">
      <c r="A1057" s="28">
        <v>2.7853984609426887</v>
      </c>
      <c r="B1057" s="27">
        <v>0</v>
      </c>
      <c r="C1057" s="27">
        <v>18.399999999999999</v>
      </c>
      <c r="E1057" s="18"/>
    </row>
    <row r="1058" spans="1:5" ht="16.5" thickTop="1" thickBot="1" x14ac:dyDescent="0.3">
      <c r="A1058" s="28">
        <v>6.300156361430294</v>
      </c>
      <c r="B1058" s="27">
        <v>0</v>
      </c>
      <c r="C1058" s="27">
        <v>18.399999999999999</v>
      </c>
      <c r="E1058" s="18"/>
    </row>
    <row r="1059" spans="1:5" ht="16.5" thickTop="1" thickBot="1" x14ac:dyDescent="0.3">
      <c r="A1059" s="28">
        <v>9.0754456976188056</v>
      </c>
      <c r="B1059" s="27">
        <v>0</v>
      </c>
      <c r="C1059" s="27">
        <v>18.399999999999999</v>
      </c>
      <c r="E1059" s="18"/>
    </row>
    <row r="1060" spans="1:5" ht="16.5" thickTop="1" thickBot="1" x14ac:dyDescent="0.3">
      <c r="A1060" s="28">
        <v>3.985963956118252</v>
      </c>
      <c r="B1060" s="27">
        <v>0</v>
      </c>
      <c r="C1060" s="27">
        <v>18.399999999999999</v>
      </c>
      <c r="E1060" s="18"/>
    </row>
    <row r="1061" spans="1:5" ht="16.5" thickTop="1" thickBot="1" x14ac:dyDescent="0.3">
      <c r="A1061" s="28">
        <v>4.861105529717765</v>
      </c>
      <c r="B1061" s="27">
        <v>0</v>
      </c>
      <c r="C1061" s="27">
        <v>18.399999999999999</v>
      </c>
      <c r="E1061" s="18"/>
    </row>
    <row r="1062" spans="1:5" ht="16.5" thickTop="1" thickBot="1" x14ac:dyDescent="0.3">
      <c r="A1062" s="28">
        <v>6.9659860496016268</v>
      </c>
      <c r="B1062" s="27">
        <v>0</v>
      </c>
      <c r="C1062" s="27">
        <v>18.399999999999999</v>
      </c>
      <c r="E1062" s="18"/>
    </row>
    <row r="1063" spans="1:5" ht="16.5" thickTop="1" thickBot="1" x14ac:dyDescent="0.3">
      <c r="A1063" s="28">
        <v>9.6063227291071129</v>
      </c>
      <c r="B1063" s="27">
        <v>0</v>
      </c>
      <c r="C1063" s="27">
        <v>34.799999999999997</v>
      </c>
      <c r="E1063" s="18"/>
    </row>
    <row r="1064" spans="1:5" ht="16.5" thickTop="1" thickBot="1" x14ac:dyDescent="0.3">
      <c r="A1064" s="28">
        <v>0.4629757411391956</v>
      </c>
      <c r="B1064" s="27">
        <v>0</v>
      </c>
      <c r="C1064" s="27">
        <v>34.799999999999997</v>
      </c>
      <c r="E1064" s="18"/>
    </row>
    <row r="1065" spans="1:5" ht="16.5" thickTop="1" thickBot="1" x14ac:dyDescent="0.3">
      <c r="A1065" s="28">
        <v>11.823182499469114</v>
      </c>
      <c r="B1065" s="27">
        <v>0</v>
      </c>
      <c r="C1065" s="27">
        <v>34.799999999999997</v>
      </c>
      <c r="E1065" s="18"/>
    </row>
    <row r="1066" spans="1:5" ht="16.5" thickTop="1" thickBot="1" x14ac:dyDescent="0.3">
      <c r="A1066" s="28">
        <v>6.1188799015466211</v>
      </c>
      <c r="B1066" s="27">
        <v>0</v>
      </c>
      <c r="C1066" s="27">
        <v>34.799999999999997</v>
      </c>
      <c r="E1066" s="18"/>
    </row>
    <row r="1067" spans="1:5" ht="16.5" thickTop="1" thickBot="1" x14ac:dyDescent="0.3">
      <c r="A1067" s="28">
        <v>1.9389909435470347</v>
      </c>
      <c r="B1067" s="27">
        <v>0</v>
      </c>
      <c r="C1067" s="27">
        <v>34.799999999999997</v>
      </c>
      <c r="E1067" s="18"/>
    </row>
    <row r="1068" spans="1:5" ht="16.5" thickTop="1" thickBot="1" x14ac:dyDescent="0.3">
      <c r="A1068" s="28">
        <v>6.3725227507922471</v>
      </c>
      <c r="B1068" s="27">
        <v>0</v>
      </c>
      <c r="C1068" s="27">
        <v>34.799999999999997</v>
      </c>
      <c r="E1068" s="18"/>
    </row>
    <row r="1069" spans="1:5" ht="16.5" thickTop="1" thickBot="1" x14ac:dyDescent="0.3">
      <c r="A1069" s="28">
        <v>4.5581412966521695</v>
      </c>
      <c r="B1069" s="27">
        <v>0</v>
      </c>
      <c r="C1069" s="27">
        <v>34.799999999999997</v>
      </c>
      <c r="E1069" s="18"/>
    </row>
    <row r="1070" spans="1:5" ht="16.5" thickTop="1" thickBot="1" x14ac:dyDescent="0.3">
      <c r="A1070" s="28">
        <v>6.8964528541958074</v>
      </c>
      <c r="B1070" s="27">
        <v>0</v>
      </c>
      <c r="C1070" s="27">
        <v>34.799999999999997</v>
      </c>
      <c r="E1070" s="18"/>
    </row>
    <row r="1071" spans="1:5" ht="16.5" thickTop="1" thickBot="1" x14ac:dyDescent="0.3">
      <c r="A1071" s="28">
        <v>5.3027469411980146</v>
      </c>
      <c r="B1071" s="27">
        <v>0</v>
      </c>
      <c r="C1071" s="27">
        <v>34.799999999999997</v>
      </c>
      <c r="E1071" s="18"/>
    </row>
    <row r="1072" spans="1:5" ht="16.5" thickTop="1" thickBot="1" x14ac:dyDescent="0.3">
      <c r="A1072" s="28">
        <v>5.6342128318330547</v>
      </c>
      <c r="B1072" s="27">
        <v>0</v>
      </c>
      <c r="C1072" s="27">
        <v>34.799999999999997</v>
      </c>
      <c r="E1072" s="18"/>
    </row>
    <row r="1073" spans="1:5" ht="16.5" thickTop="1" thickBot="1" x14ac:dyDescent="0.3">
      <c r="A1073" s="28">
        <v>6.9693464770077735</v>
      </c>
      <c r="B1073" s="27">
        <v>0</v>
      </c>
      <c r="C1073" s="27">
        <v>34.799999999999997</v>
      </c>
      <c r="E1073" s="18"/>
    </row>
    <row r="1074" spans="1:5" ht="16.5" thickTop="1" thickBot="1" x14ac:dyDescent="0.3">
      <c r="A1074" s="28">
        <v>2.1800090372733907</v>
      </c>
      <c r="B1074" s="27">
        <v>0</v>
      </c>
      <c r="C1074" s="27">
        <v>34.799999999999997</v>
      </c>
      <c r="E1074" s="18"/>
    </row>
    <row r="1075" spans="1:5" ht="16.5" thickTop="1" thickBot="1" x14ac:dyDescent="0.3">
      <c r="A1075" s="28">
        <v>9.4630729212132678</v>
      </c>
      <c r="B1075" s="27">
        <v>0</v>
      </c>
      <c r="C1075" s="27">
        <v>34.799999999999997</v>
      </c>
      <c r="E1075" s="18"/>
    </row>
    <row r="1076" spans="1:5" ht="16.5" thickTop="1" thickBot="1" x14ac:dyDescent="0.3">
      <c r="A1076" s="28">
        <v>6.0811347541346281</v>
      </c>
      <c r="B1076" s="27">
        <v>0</v>
      </c>
      <c r="C1076" s="27">
        <v>34.799999999999997</v>
      </c>
      <c r="E1076" s="18"/>
    </row>
    <row r="1077" spans="1:5" ht="16.5" thickTop="1" thickBot="1" x14ac:dyDescent="0.3">
      <c r="A1077" s="28">
        <v>7.8972996469094205</v>
      </c>
      <c r="B1077" s="27">
        <v>0</v>
      </c>
      <c r="C1077" s="27">
        <v>34.799999999999997</v>
      </c>
      <c r="E1077" s="18"/>
    </row>
    <row r="1078" spans="1:5" ht="16.5" thickTop="1" thickBot="1" x14ac:dyDescent="0.3">
      <c r="A1078" s="28">
        <v>5.4128444392392061E-2</v>
      </c>
      <c r="B1078" s="27">
        <v>0</v>
      </c>
      <c r="C1078" s="27">
        <v>34.799999999999997</v>
      </c>
      <c r="E1078" s="18"/>
    </row>
    <row r="1079" spans="1:5" ht="16.5" thickTop="1" thickBot="1" x14ac:dyDescent="0.3">
      <c r="A1079" s="28">
        <v>6.0145423982293424</v>
      </c>
      <c r="B1079" s="27">
        <v>0</v>
      </c>
      <c r="C1079" s="27">
        <v>34.799999999999997</v>
      </c>
      <c r="E1079" s="18"/>
    </row>
    <row r="1080" spans="1:5" ht="16.5" thickTop="1" thickBot="1" x14ac:dyDescent="0.3">
      <c r="A1080" s="28">
        <v>2.5224561481800656</v>
      </c>
      <c r="B1080" s="27">
        <v>0</v>
      </c>
      <c r="C1080" s="27">
        <v>12.4</v>
      </c>
      <c r="E1080" s="18"/>
    </row>
    <row r="1081" spans="1:5" ht="16.5" thickTop="1" thickBot="1" x14ac:dyDescent="0.3">
      <c r="A1081" s="28">
        <v>3.0707103483562954</v>
      </c>
      <c r="B1081" s="27">
        <v>0</v>
      </c>
      <c r="C1081" s="27">
        <v>12.4</v>
      </c>
      <c r="E1081" s="18"/>
    </row>
    <row r="1082" spans="1:5" ht="16.5" thickTop="1" thickBot="1" x14ac:dyDescent="0.3">
      <c r="A1082" s="28">
        <v>6.7991754914307485</v>
      </c>
      <c r="B1082" s="27">
        <v>0</v>
      </c>
      <c r="C1082" s="27">
        <v>12.4</v>
      </c>
      <c r="E1082" s="18"/>
    </row>
    <row r="1083" spans="1:5" ht="16.5" thickTop="1" thickBot="1" x14ac:dyDescent="0.3">
      <c r="A1083" s="28">
        <v>10.699220192000569</v>
      </c>
      <c r="B1083" s="27">
        <v>0</v>
      </c>
      <c r="C1083" s="27">
        <v>12.4</v>
      </c>
      <c r="E1083" s="18"/>
    </row>
    <row r="1084" spans="1:5" ht="16.5" thickTop="1" thickBot="1" x14ac:dyDescent="0.3">
      <c r="A1084" s="28">
        <v>3.2724717728407007</v>
      </c>
      <c r="B1084" s="27">
        <v>0</v>
      </c>
      <c r="C1084" s="27">
        <v>12.4</v>
      </c>
      <c r="E1084" s="18"/>
    </row>
    <row r="1085" spans="1:5" ht="16.5" thickTop="1" thickBot="1" x14ac:dyDescent="0.3">
      <c r="A1085" s="28">
        <v>1.1815229731229024</v>
      </c>
      <c r="B1085" s="27">
        <v>0</v>
      </c>
      <c r="C1085" s="27">
        <v>12.4</v>
      </c>
      <c r="E1085" s="18"/>
    </row>
    <row r="1086" spans="1:5" ht="16.5" thickTop="1" thickBot="1" x14ac:dyDescent="0.3">
      <c r="A1086" s="28">
        <v>4.9459553182515057</v>
      </c>
      <c r="B1086" s="27">
        <v>0</v>
      </c>
      <c r="C1086" s="27">
        <v>12.4</v>
      </c>
      <c r="E1086" s="18"/>
    </row>
    <row r="1087" spans="1:5" ht="16.5" thickTop="1" thickBot="1" x14ac:dyDescent="0.3">
      <c r="A1087" s="28">
        <v>6.0966089453518872</v>
      </c>
      <c r="B1087" s="27">
        <v>0</v>
      </c>
      <c r="C1087" s="27">
        <v>12.4</v>
      </c>
      <c r="E1087" s="18"/>
    </row>
    <row r="1088" spans="1:5" ht="16.5" thickTop="1" thickBot="1" x14ac:dyDescent="0.3">
      <c r="A1088" s="28">
        <v>0.54794583797029028</v>
      </c>
      <c r="B1088" s="27">
        <v>0</v>
      </c>
      <c r="C1088" s="27">
        <v>12.4</v>
      </c>
      <c r="E1088" s="18"/>
    </row>
    <row r="1089" spans="1:5" ht="16.5" thickTop="1" thickBot="1" x14ac:dyDescent="0.3">
      <c r="A1089" s="28">
        <v>11.058781800749431</v>
      </c>
      <c r="B1089" s="27">
        <v>0</v>
      </c>
      <c r="C1089" s="27">
        <v>12.4</v>
      </c>
      <c r="E1089" s="18"/>
    </row>
    <row r="1090" spans="1:5" ht="16.5" thickTop="1" thickBot="1" x14ac:dyDescent="0.3">
      <c r="A1090" s="28">
        <v>5.1322077685423917</v>
      </c>
      <c r="B1090" s="27">
        <v>0</v>
      </c>
      <c r="C1090" s="27">
        <v>12.4</v>
      </c>
      <c r="E1090" s="18"/>
    </row>
    <row r="1091" spans="1:5" ht="16.5" thickTop="1" thickBot="1" x14ac:dyDescent="0.3">
      <c r="A1091" s="28">
        <v>2.0683947302078121E-2</v>
      </c>
      <c r="B1091" s="27">
        <v>0</v>
      </c>
      <c r="C1091" s="27">
        <v>12.4</v>
      </c>
      <c r="E1091" s="18"/>
    </row>
    <row r="1092" spans="1:5" ht="16.5" thickTop="1" thickBot="1" x14ac:dyDescent="0.3">
      <c r="A1092" s="28">
        <v>6.4748978368849999</v>
      </c>
      <c r="B1092" s="27">
        <v>0</v>
      </c>
      <c r="C1092" s="27">
        <v>12.4</v>
      </c>
      <c r="E1092" s="18"/>
    </row>
    <row r="1093" spans="1:5" ht="16.5" thickTop="1" thickBot="1" x14ac:dyDescent="0.3">
      <c r="A1093" s="28">
        <v>4.0465385510067842</v>
      </c>
      <c r="B1093" s="27">
        <v>0</v>
      </c>
      <c r="C1093" s="27">
        <v>12.4</v>
      </c>
      <c r="E1093" s="18"/>
    </row>
    <row r="1094" spans="1:5" ht="16.5" thickTop="1" thickBot="1" x14ac:dyDescent="0.3">
      <c r="A1094" s="28">
        <v>6.4283366689785053</v>
      </c>
      <c r="B1094" s="27">
        <v>0</v>
      </c>
      <c r="C1094" s="27">
        <v>12.4</v>
      </c>
      <c r="E1094" s="18"/>
    </row>
    <row r="1095" spans="1:5" ht="16.5" thickTop="1" thickBot="1" x14ac:dyDescent="0.3">
      <c r="A1095" s="28">
        <v>5.8789103013209338</v>
      </c>
      <c r="B1095" s="27">
        <v>0</v>
      </c>
      <c r="C1095" s="27">
        <v>12.4</v>
      </c>
      <c r="E1095" s="18"/>
    </row>
    <row r="1096" spans="1:5" ht="16.5" thickTop="1" thickBot="1" x14ac:dyDescent="0.3">
      <c r="A1096" s="28">
        <v>1.2488556151136785</v>
      </c>
      <c r="B1096" s="27">
        <v>0</v>
      </c>
      <c r="C1096" s="27">
        <v>10.4</v>
      </c>
      <c r="E1096" s="18"/>
    </row>
    <row r="1097" spans="1:5" ht="16.5" thickTop="1" thickBot="1" x14ac:dyDescent="0.3">
      <c r="A1097" s="28">
        <v>2.0807800315380707</v>
      </c>
      <c r="B1097" s="27">
        <v>0</v>
      </c>
      <c r="C1097" s="27">
        <v>10.4</v>
      </c>
      <c r="E1097" s="18"/>
    </row>
    <row r="1098" spans="1:5" ht="16.5" thickTop="1" thickBot="1" x14ac:dyDescent="0.3">
      <c r="A1098" s="28">
        <v>0.39746836004195307</v>
      </c>
      <c r="B1098" s="27">
        <v>0</v>
      </c>
      <c r="C1098" s="27">
        <v>10.4</v>
      </c>
      <c r="E1098" s="18"/>
    </row>
    <row r="1099" spans="1:5" ht="16.5" thickTop="1" thickBot="1" x14ac:dyDescent="0.3">
      <c r="A1099" s="28">
        <v>9.7814097686904535</v>
      </c>
      <c r="B1099" s="27">
        <v>0</v>
      </c>
      <c r="C1099" s="27">
        <v>10.4</v>
      </c>
      <c r="E1099" s="18"/>
    </row>
    <row r="1100" spans="1:5" ht="16.5" thickTop="1" thickBot="1" x14ac:dyDescent="0.3">
      <c r="A1100" s="28">
        <v>0.4077832430614019</v>
      </c>
      <c r="B1100" s="27">
        <v>0</v>
      </c>
      <c r="C1100" s="27">
        <v>10.4</v>
      </c>
      <c r="E1100" s="18"/>
    </row>
    <row r="1101" spans="1:5" ht="16.5" thickTop="1" thickBot="1" x14ac:dyDescent="0.3">
      <c r="A1101" s="28">
        <v>9.6447254951627865</v>
      </c>
      <c r="B1101" s="27">
        <v>0</v>
      </c>
      <c r="C1101" s="27">
        <v>10.4</v>
      </c>
      <c r="E1101" s="18"/>
    </row>
    <row r="1102" spans="1:5" ht="16.5" thickTop="1" thickBot="1" x14ac:dyDescent="0.3">
      <c r="A1102" s="28">
        <v>1.6544171824922316</v>
      </c>
      <c r="B1102" s="27">
        <v>0</v>
      </c>
      <c r="C1102" s="27">
        <v>10.4</v>
      </c>
      <c r="E1102" s="18"/>
    </row>
    <row r="1103" spans="1:5" ht="16.5" thickTop="1" thickBot="1" x14ac:dyDescent="0.3">
      <c r="A1103" s="28">
        <v>6.8585199501150544</v>
      </c>
      <c r="B1103" s="27">
        <v>0</v>
      </c>
      <c r="C1103" s="27">
        <v>10.4</v>
      </c>
      <c r="E1103" s="18"/>
    </row>
    <row r="1104" spans="1:5" ht="16.5" thickTop="1" thickBot="1" x14ac:dyDescent="0.3">
      <c r="A1104" s="28">
        <v>4.4812407748378797</v>
      </c>
      <c r="B1104" s="27">
        <v>0</v>
      </c>
      <c r="C1104" s="27">
        <v>10.4</v>
      </c>
      <c r="E1104" s="18"/>
    </row>
    <row r="1105" spans="1:5" ht="16.5" thickTop="1" thickBot="1" x14ac:dyDescent="0.3">
      <c r="A1105" s="28">
        <v>8.9088241655255853</v>
      </c>
      <c r="B1105" s="27">
        <v>0</v>
      </c>
      <c r="C1105" s="27">
        <v>10.4</v>
      </c>
      <c r="E1105" s="18"/>
    </row>
    <row r="1106" spans="1:5" ht="16.5" thickTop="1" thickBot="1" x14ac:dyDescent="0.3">
      <c r="A1106" s="28">
        <v>4.643446161793463</v>
      </c>
      <c r="B1106" s="27">
        <v>0</v>
      </c>
      <c r="C1106" s="27">
        <v>10.4</v>
      </c>
      <c r="E1106" s="18"/>
    </row>
    <row r="1107" spans="1:5" ht="16.5" thickTop="1" thickBot="1" x14ac:dyDescent="0.3">
      <c r="A1107" s="28">
        <v>10.634395399748207</v>
      </c>
      <c r="B1107" s="27">
        <v>0</v>
      </c>
      <c r="C1107" s="27">
        <v>10.4</v>
      </c>
      <c r="E1107" s="18"/>
    </row>
    <row r="1108" spans="1:5" ht="16.5" thickTop="1" thickBot="1" x14ac:dyDescent="0.3">
      <c r="A1108" s="28">
        <v>3.7905225867264996</v>
      </c>
      <c r="B1108" s="27">
        <v>0</v>
      </c>
      <c r="C1108" s="27">
        <v>10.4</v>
      </c>
      <c r="E1108" s="18"/>
    </row>
    <row r="1109" spans="1:5" ht="16.5" thickTop="1" thickBot="1" x14ac:dyDescent="0.3">
      <c r="A1109" s="28">
        <v>9.6102135089852165</v>
      </c>
      <c r="B1109" s="27">
        <v>0</v>
      </c>
      <c r="C1109" s="27">
        <v>10.4</v>
      </c>
      <c r="E1109" s="18"/>
    </row>
    <row r="1110" spans="1:5" ht="16.5" thickTop="1" thickBot="1" x14ac:dyDescent="0.3">
      <c r="A1110" s="28">
        <v>2.3496619757510988</v>
      </c>
      <c r="B1110" s="27">
        <v>0</v>
      </c>
      <c r="C1110" s="27">
        <v>10.4</v>
      </c>
      <c r="E1110" s="18"/>
    </row>
    <row r="1111" spans="1:5" ht="16.5" thickTop="1" thickBot="1" x14ac:dyDescent="0.3">
      <c r="A1111" s="28">
        <v>0.85651068381347617</v>
      </c>
      <c r="B1111" s="27">
        <v>0</v>
      </c>
      <c r="C1111" s="27">
        <v>10.4</v>
      </c>
      <c r="E1111" s="18"/>
    </row>
    <row r="1112" spans="1:5" ht="16.5" thickTop="1" thickBot="1" x14ac:dyDescent="0.3">
      <c r="A1112" s="28">
        <v>3.5056449589545351</v>
      </c>
      <c r="B1112" s="27">
        <v>0</v>
      </c>
      <c r="C1112" s="27">
        <v>10.4</v>
      </c>
      <c r="E1112" s="18"/>
    </row>
    <row r="1113" spans="1:5" ht="16.5" thickTop="1" thickBot="1" x14ac:dyDescent="0.3">
      <c r="A1113" s="28">
        <v>2.3494416006477077</v>
      </c>
      <c r="B1113" s="27">
        <v>0</v>
      </c>
      <c r="C1113" s="27">
        <v>19.2</v>
      </c>
      <c r="E1113" s="18"/>
    </row>
    <row r="1114" spans="1:5" ht="16.5" thickTop="1" thickBot="1" x14ac:dyDescent="0.3">
      <c r="A1114" s="28">
        <v>3.8593796368277742</v>
      </c>
      <c r="B1114" s="27">
        <v>0</v>
      </c>
      <c r="C1114" s="27">
        <v>19.2</v>
      </c>
      <c r="E1114" s="18"/>
    </row>
    <row r="1115" spans="1:5" ht="16.5" thickTop="1" thickBot="1" x14ac:dyDescent="0.3">
      <c r="A1115" s="28">
        <v>8.0635365427209518</v>
      </c>
      <c r="B1115" s="27">
        <v>0</v>
      </c>
      <c r="C1115" s="27">
        <v>19.2</v>
      </c>
      <c r="E1115" s="18"/>
    </row>
    <row r="1116" spans="1:5" ht="16.5" thickTop="1" thickBot="1" x14ac:dyDescent="0.3">
      <c r="A1116" s="28">
        <v>6.2569392851084364</v>
      </c>
      <c r="B1116" s="27">
        <v>0</v>
      </c>
      <c r="C1116" s="27">
        <v>19.2</v>
      </c>
      <c r="E1116" s="18"/>
    </row>
    <row r="1117" spans="1:5" ht="16.5" thickTop="1" thickBot="1" x14ac:dyDescent="0.3">
      <c r="A1117" s="28">
        <v>1.2828410442209086</v>
      </c>
      <c r="B1117" s="27">
        <v>0</v>
      </c>
      <c r="C1117" s="27">
        <v>19.2</v>
      </c>
      <c r="E1117" s="18"/>
    </row>
    <row r="1118" spans="1:5" ht="16.5" thickTop="1" thickBot="1" x14ac:dyDescent="0.3">
      <c r="A1118" s="28">
        <v>6.7667858175327176</v>
      </c>
      <c r="B1118" s="27">
        <v>0</v>
      </c>
      <c r="C1118" s="27">
        <v>19.2</v>
      </c>
      <c r="E1118" s="18"/>
    </row>
    <row r="1119" spans="1:5" ht="16.5" thickTop="1" thickBot="1" x14ac:dyDescent="0.3">
      <c r="A1119" s="28">
        <v>6.6645014900668347</v>
      </c>
      <c r="B1119" s="27">
        <v>0</v>
      </c>
      <c r="C1119" s="27">
        <v>19.2</v>
      </c>
      <c r="E1119" s="18"/>
    </row>
    <row r="1120" spans="1:5" ht="16.5" thickTop="1" thickBot="1" x14ac:dyDescent="0.3">
      <c r="A1120" s="28">
        <v>5.0408970548779184</v>
      </c>
      <c r="B1120" s="27">
        <v>0</v>
      </c>
      <c r="C1120" s="27">
        <v>19.2</v>
      </c>
      <c r="E1120" s="18"/>
    </row>
    <row r="1121" spans="1:5" ht="16.5" thickTop="1" thickBot="1" x14ac:dyDescent="0.3">
      <c r="A1121" s="28">
        <v>8.7223480338745158</v>
      </c>
      <c r="B1121" s="27">
        <v>0</v>
      </c>
      <c r="C1121" s="27">
        <v>19.2</v>
      </c>
      <c r="E1121" s="18"/>
    </row>
    <row r="1122" spans="1:5" ht="16.5" thickTop="1" thickBot="1" x14ac:dyDescent="0.3">
      <c r="A1122" s="28">
        <v>5.1428696048041171</v>
      </c>
      <c r="B1122" s="27">
        <v>0</v>
      </c>
      <c r="C1122" s="27">
        <v>19.2</v>
      </c>
      <c r="E1122" s="18"/>
    </row>
    <row r="1123" spans="1:5" ht="16.5" thickTop="1" thickBot="1" x14ac:dyDescent="0.3">
      <c r="A1123" s="28">
        <v>7.3530998705981787</v>
      </c>
      <c r="B1123" s="27">
        <v>0</v>
      </c>
      <c r="C1123" s="27">
        <v>19.2</v>
      </c>
      <c r="E1123" s="18"/>
    </row>
    <row r="1124" spans="1:5" ht="16.5" thickTop="1" thickBot="1" x14ac:dyDescent="0.3">
      <c r="A1124" s="28">
        <v>0.46764518042724246</v>
      </c>
      <c r="B1124" s="27">
        <v>0</v>
      </c>
      <c r="C1124" s="27">
        <v>19.2</v>
      </c>
      <c r="E1124" s="18"/>
    </row>
    <row r="1125" spans="1:5" ht="16.5" thickTop="1" thickBot="1" x14ac:dyDescent="0.3">
      <c r="A1125" s="28">
        <v>11.683850713811175</v>
      </c>
      <c r="B1125" s="27">
        <v>0</v>
      </c>
      <c r="C1125" s="27">
        <v>19.2</v>
      </c>
      <c r="E1125" s="18"/>
    </row>
    <row r="1126" spans="1:5" ht="16.5" thickTop="1" thickBot="1" x14ac:dyDescent="0.3">
      <c r="A1126" s="28">
        <v>6.0032306197569962</v>
      </c>
      <c r="B1126" s="27">
        <v>0</v>
      </c>
      <c r="C1126" s="27">
        <v>19.2</v>
      </c>
      <c r="E1126" s="18"/>
    </row>
    <row r="1127" spans="1:5" ht="16.5" thickTop="1" thickBot="1" x14ac:dyDescent="0.3">
      <c r="A1127" s="28">
        <v>6.0846569861316446</v>
      </c>
      <c r="B1127" s="27">
        <v>0</v>
      </c>
      <c r="C1127" s="27">
        <v>19.2</v>
      </c>
      <c r="E1127" s="18"/>
    </row>
    <row r="1128" spans="1:5" ht="16.5" thickTop="1" thickBot="1" x14ac:dyDescent="0.3">
      <c r="A1128" s="28">
        <v>6.2742123896761797</v>
      </c>
      <c r="B1128" s="27">
        <v>0</v>
      </c>
      <c r="C1128" s="27">
        <v>19.2</v>
      </c>
      <c r="E1128" s="18"/>
    </row>
    <row r="1129" spans="1:5" ht="16.5" thickTop="1" thickBot="1" x14ac:dyDescent="0.3">
      <c r="A1129" s="28">
        <v>3.9901279145842503</v>
      </c>
      <c r="B1129" s="27">
        <v>0</v>
      </c>
      <c r="C1129" s="27">
        <v>19.2</v>
      </c>
      <c r="E1129" s="18"/>
    </row>
    <row r="1130" spans="1:5" ht="16.5" thickTop="1" thickBot="1" x14ac:dyDescent="0.3">
      <c r="A1130" s="28">
        <v>3.0838429230963125</v>
      </c>
      <c r="B1130" s="27">
        <v>0</v>
      </c>
      <c r="C1130" s="27">
        <v>7.4</v>
      </c>
      <c r="E1130" s="18"/>
    </row>
    <row r="1131" spans="1:5" ht="16.5" thickTop="1" thickBot="1" x14ac:dyDescent="0.3">
      <c r="A1131" s="28">
        <v>1.9515170340390062</v>
      </c>
      <c r="B1131" s="27">
        <v>0</v>
      </c>
      <c r="C1131" s="27">
        <v>7.4</v>
      </c>
      <c r="E1131" s="18"/>
    </row>
    <row r="1132" spans="1:5" ht="16.5" thickTop="1" thickBot="1" x14ac:dyDescent="0.3">
      <c r="A1132" s="28">
        <v>4.4897131188151738</v>
      </c>
      <c r="B1132" s="27">
        <v>0</v>
      </c>
      <c r="C1132" s="27">
        <v>7.4</v>
      </c>
      <c r="E1132" s="18"/>
    </row>
    <row r="1133" spans="1:5" ht="16.5" thickTop="1" thickBot="1" x14ac:dyDescent="0.3">
      <c r="A1133" s="28">
        <v>8.208094014475158</v>
      </c>
      <c r="B1133" s="27">
        <v>0</v>
      </c>
      <c r="C1133" s="27">
        <v>7.4</v>
      </c>
      <c r="E1133" s="18"/>
    </row>
    <row r="1134" spans="1:5" ht="16.5" thickTop="1" thickBot="1" x14ac:dyDescent="0.3">
      <c r="A1134" s="28">
        <v>0.50272810829645787</v>
      </c>
      <c r="B1134" s="27">
        <v>0</v>
      </c>
      <c r="C1134" s="27">
        <v>7.4</v>
      </c>
      <c r="E1134" s="18"/>
    </row>
    <row r="1135" spans="1:5" ht="16.5" thickTop="1" thickBot="1" x14ac:dyDescent="0.3">
      <c r="A1135" s="28">
        <v>6.4543851544875865</v>
      </c>
      <c r="B1135" s="27">
        <v>0</v>
      </c>
      <c r="C1135" s="27">
        <v>7.4</v>
      </c>
      <c r="E1135" s="18"/>
    </row>
    <row r="1136" spans="1:5" ht="16.5" thickTop="1" thickBot="1" x14ac:dyDescent="0.3">
      <c r="A1136" s="28">
        <v>2.2392636383765878</v>
      </c>
      <c r="B1136" s="27">
        <v>0</v>
      </c>
      <c r="C1136" s="27">
        <v>7.4</v>
      </c>
      <c r="E1136" s="18"/>
    </row>
    <row r="1137" spans="1:5" ht="16.5" thickTop="1" thickBot="1" x14ac:dyDescent="0.3">
      <c r="A1137" s="28">
        <v>5.1150739998376267</v>
      </c>
      <c r="B1137" s="27">
        <v>0</v>
      </c>
      <c r="C1137" s="27">
        <v>7.4</v>
      </c>
      <c r="E1137" s="18"/>
    </row>
    <row r="1138" spans="1:5" ht="16.5" thickTop="1" thickBot="1" x14ac:dyDescent="0.3">
      <c r="A1138" s="28">
        <v>4.9101731071384984</v>
      </c>
      <c r="B1138" s="27">
        <v>0</v>
      </c>
      <c r="C1138" s="27">
        <v>7.4</v>
      </c>
      <c r="E1138" s="18"/>
    </row>
    <row r="1139" spans="1:5" ht="16.5" thickTop="1" thickBot="1" x14ac:dyDescent="0.3">
      <c r="A1139" s="28">
        <v>2.3010733507949084</v>
      </c>
      <c r="B1139" s="27">
        <v>0</v>
      </c>
      <c r="C1139" s="27">
        <v>7.4</v>
      </c>
      <c r="E1139" s="18"/>
    </row>
    <row r="1140" spans="1:5" ht="16.5" thickTop="1" thickBot="1" x14ac:dyDescent="0.3">
      <c r="A1140" s="28">
        <v>2.7711340937489344</v>
      </c>
      <c r="B1140" s="27">
        <v>0</v>
      </c>
      <c r="C1140" s="27">
        <v>7.4</v>
      </c>
      <c r="E1140" s="18"/>
    </row>
    <row r="1141" spans="1:5" ht="16.5" thickTop="1" thickBot="1" x14ac:dyDescent="0.3">
      <c r="A1141" s="28">
        <v>5.1132956540030614</v>
      </c>
      <c r="B1141" s="27">
        <v>0</v>
      </c>
      <c r="C1141" s="27">
        <v>7.4</v>
      </c>
      <c r="E1141" s="18"/>
    </row>
    <row r="1142" spans="1:5" ht="16.5" thickTop="1" thickBot="1" x14ac:dyDescent="0.3">
      <c r="A1142" s="28">
        <v>4.5448669157363408</v>
      </c>
      <c r="B1142" s="27">
        <v>0</v>
      </c>
      <c r="C1142" s="27">
        <v>7.4</v>
      </c>
      <c r="E1142" s="18"/>
    </row>
    <row r="1143" spans="1:5" ht="16.5" thickTop="1" thickBot="1" x14ac:dyDescent="0.3">
      <c r="A1143" s="28">
        <v>1.657183433094763</v>
      </c>
      <c r="B1143" s="27">
        <v>0</v>
      </c>
      <c r="C1143" s="27">
        <v>7.4</v>
      </c>
      <c r="E1143" s="18"/>
    </row>
    <row r="1144" spans="1:5" ht="16.5" thickTop="1" thickBot="1" x14ac:dyDescent="0.3">
      <c r="A1144" s="28">
        <v>1.5471848998938231</v>
      </c>
      <c r="B1144" s="27">
        <v>0</v>
      </c>
      <c r="C1144" s="27">
        <v>7.4</v>
      </c>
      <c r="E1144" s="18"/>
    </row>
    <row r="1145" spans="1:5" ht="16.5" thickTop="1" thickBot="1" x14ac:dyDescent="0.3">
      <c r="A1145" s="28">
        <v>4.6117950286779417</v>
      </c>
      <c r="B1145" s="27">
        <v>0</v>
      </c>
      <c r="C1145" s="27">
        <v>7.4</v>
      </c>
      <c r="E1145" s="18"/>
    </row>
    <row r="1146" spans="1:5" ht="16.5" thickTop="1" thickBot="1" x14ac:dyDescent="0.3">
      <c r="A1146" s="28">
        <v>3.3202903679986258</v>
      </c>
      <c r="B1146" s="27">
        <v>0</v>
      </c>
      <c r="C1146" s="27">
        <v>10.5</v>
      </c>
      <c r="E1146" s="18"/>
    </row>
    <row r="1147" spans="1:5" ht="16.5" thickTop="1" thickBot="1" x14ac:dyDescent="0.3">
      <c r="A1147" s="28">
        <v>2.8392833876451493</v>
      </c>
      <c r="B1147" s="27">
        <v>0</v>
      </c>
      <c r="C1147" s="27">
        <v>10.5</v>
      </c>
      <c r="E1147" s="18"/>
    </row>
    <row r="1148" spans="1:5" ht="16.5" thickTop="1" thickBot="1" x14ac:dyDescent="0.3">
      <c r="A1148" s="28">
        <v>3.6838274467724768</v>
      </c>
      <c r="B1148" s="27">
        <v>0</v>
      </c>
      <c r="C1148" s="27">
        <v>10.5</v>
      </c>
      <c r="E1148" s="18"/>
    </row>
    <row r="1149" spans="1:5" ht="16.5" thickTop="1" thickBot="1" x14ac:dyDescent="0.3">
      <c r="A1149" s="28">
        <v>7.3670469953196562</v>
      </c>
      <c r="B1149" s="27">
        <v>0</v>
      </c>
      <c r="C1149" s="27">
        <v>10.5</v>
      </c>
      <c r="E1149" s="18"/>
    </row>
    <row r="1150" spans="1:5" ht="16.5" thickTop="1" thickBot="1" x14ac:dyDescent="0.3">
      <c r="A1150" s="28">
        <v>4.3951125291794</v>
      </c>
      <c r="B1150" s="27">
        <v>0</v>
      </c>
      <c r="C1150" s="27">
        <v>10.5</v>
      </c>
      <c r="E1150" s="18"/>
    </row>
    <row r="1151" spans="1:5" ht="16.5" thickTop="1" thickBot="1" x14ac:dyDescent="0.3">
      <c r="A1151" s="28">
        <v>5.5558287216196716</v>
      </c>
      <c r="B1151" s="27">
        <v>0</v>
      </c>
      <c r="C1151" s="27">
        <v>10.5</v>
      </c>
      <c r="E1151" s="18"/>
    </row>
    <row r="1152" spans="1:5" ht="16.5" thickTop="1" thickBot="1" x14ac:dyDescent="0.3">
      <c r="A1152" s="28">
        <v>6.5317394769014996</v>
      </c>
      <c r="B1152" s="27">
        <v>0</v>
      </c>
      <c r="C1152" s="27">
        <v>10.5</v>
      </c>
      <c r="E1152" s="18"/>
    </row>
    <row r="1153" spans="1:5" ht="16.5" thickTop="1" thickBot="1" x14ac:dyDescent="0.3">
      <c r="A1153" s="28">
        <v>11.24579768138506</v>
      </c>
      <c r="B1153" s="27">
        <v>0</v>
      </c>
      <c r="C1153" s="27">
        <v>10.5</v>
      </c>
      <c r="E1153" s="18"/>
    </row>
    <row r="1154" spans="1:5" ht="16.5" thickTop="1" thickBot="1" x14ac:dyDescent="0.3">
      <c r="A1154" s="28">
        <v>0.51118618441725239</v>
      </c>
      <c r="B1154" s="27">
        <v>0</v>
      </c>
      <c r="C1154" s="27">
        <v>10.5</v>
      </c>
      <c r="E1154" s="18"/>
    </row>
    <row r="1155" spans="1:5" ht="16.5" thickTop="1" thickBot="1" x14ac:dyDescent="0.3">
      <c r="A1155" s="28">
        <v>4.415077392502976</v>
      </c>
      <c r="B1155" s="27">
        <v>0</v>
      </c>
      <c r="C1155" s="27">
        <v>10.5</v>
      </c>
      <c r="E1155" s="18"/>
    </row>
    <row r="1156" spans="1:5" ht="16.5" thickTop="1" thickBot="1" x14ac:dyDescent="0.3">
      <c r="A1156" s="28">
        <v>4.0456634305876955</v>
      </c>
      <c r="B1156" s="27">
        <v>0</v>
      </c>
      <c r="C1156" s="27">
        <v>10.5</v>
      </c>
      <c r="E1156" s="18"/>
    </row>
    <row r="1157" spans="1:5" ht="16.5" thickTop="1" thickBot="1" x14ac:dyDescent="0.3">
      <c r="A1157" s="28">
        <v>1.1386496383801221</v>
      </c>
      <c r="B1157" s="27">
        <v>0</v>
      </c>
      <c r="C1157" s="27">
        <v>10.5</v>
      </c>
      <c r="E1157" s="18"/>
    </row>
    <row r="1158" spans="1:5" ht="16.5" thickTop="1" thickBot="1" x14ac:dyDescent="0.3">
      <c r="A1158" s="28">
        <v>0.54604936412862803</v>
      </c>
      <c r="B1158" s="27">
        <v>0</v>
      </c>
      <c r="C1158" s="27">
        <v>10.5</v>
      </c>
      <c r="E1158" s="18"/>
    </row>
    <row r="1159" spans="1:5" ht="16.5" thickTop="1" thickBot="1" x14ac:dyDescent="0.3">
      <c r="A1159" s="28">
        <v>3.3937046542777511</v>
      </c>
      <c r="B1159" s="27">
        <v>0</v>
      </c>
      <c r="C1159" s="27">
        <v>10.5</v>
      </c>
      <c r="E1159" s="18"/>
    </row>
    <row r="1160" spans="1:5" ht="16.5" thickTop="1" thickBot="1" x14ac:dyDescent="0.3">
      <c r="A1160" s="28">
        <v>2.1919337817301066</v>
      </c>
      <c r="B1160" s="27">
        <v>0</v>
      </c>
      <c r="C1160" s="27">
        <v>10.5</v>
      </c>
      <c r="E1160" s="18"/>
    </row>
    <row r="1161" spans="1:5" ht="16.5" thickTop="1" thickBot="1" x14ac:dyDescent="0.3">
      <c r="A1161" s="28">
        <v>9.835439325248359</v>
      </c>
      <c r="B1161" s="27">
        <v>0</v>
      </c>
      <c r="C1161" s="27">
        <v>10.5</v>
      </c>
      <c r="E1161" s="18"/>
    </row>
    <row r="1162" spans="1:5" ht="16.5" thickTop="1" thickBot="1" x14ac:dyDescent="0.3">
      <c r="A1162" s="28">
        <v>3.2366711032552713</v>
      </c>
      <c r="B1162" s="27">
        <v>0</v>
      </c>
      <c r="C1162" s="27">
        <v>11.9</v>
      </c>
      <c r="E1162" s="18"/>
    </row>
    <row r="1163" spans="1:5" ht="16.5" thickTop="1" thickBot="1" x14ac:dyDescent="0.3">
      <c r="A1163" s="28">
        <v>6.4684309336431367</v>
      </c>
      <c r="B1163" s="27">
        <v>0</v>
      </c>
      <c r="C1163" s="27">
        <v>11.9</v>
      </c>
      <c r="E1163" s="18"/>
    </row>
    <row r="1164" spans="1:5" ht="16.5" thickTop="1" thickBot="1" x14ac:dyDescent="0.3">
      <c r="A1164" s="28">
        <v>6.2775334265119014</v>
      </c>
      <c r="B1164" s="27">
        <v>0</v>
      </c>
      <c r="C1164" s="27">
        <v>11.9</v>
      </c>
      <c r="E1164" s="18"/>
    </row>
    <row r="1165" spans="1:5" ht="16.5" thickTop="1" thickBot="1" x14ac:dyDescent="0.3">
      <c r="A1165" s="28">
        <v>8.4569621262907866</v>
      </c>
      <c r="B1165" s="27">
        <v>0</v>
      </c>
      <c r="C1165" s="27">
        <v>11.9</v>
      </c>
      <c r="E1165" s="18"/>
    </row>
    <row r="1166" spans="1:5" ht="16.5" thickTop="1" thickBot="1" x14ac:dyDescent="0.3">
      <c r="A1166" s="28">
        <v>4.3197448333247932</v>
      </c>
      <c r="B1166" s="27">
        <v>0</v>
      </c>
      <c r="C1166" s="27">
        <v>11.9</v>
      </c>
      <c r="E1166" s="18"/>
    </row>
    <row r="1167" spans="1:5" ht="16.5" thickTop="1" thickBot="1" x14ac:dyDescent="0.3">
      <c r="A1167" s="28">
        <v>8.7409635028780706</v>
      </c>
      <c r="B1167" s="27">
        <v>0</v>
      </c>
      <c r="C1167" s="27">
        <v>11.9</v>
      </c>
      <c r="E1167" s="18"/>
    </row>
    <row r="1168" spans="1:5" ht="16.5" thickTop="1" thickBot="1" x14ac:dyDescent="0.3">
      <c r="A1168" s="28">
        <v>2.8451910897785084</v>
      </c>
      <c r="B1168" s="27">
        <v>0</v>
      </c>
      <c r="C1168" s="27">
        <v>11.9</v>
      </c>
      <c r="E1168" s="18"/>
    </row>
    <row r="1169" spans="1:5" ht="16.5" thickTop="1" thickBot="1" x14ac:dyDescent="0.3">
      <c r="A1169" s="28">
        <v>10.704634117845462</v>
      </c>
      <c r="B1169" s="27">
        <v>0</v>
      </c>
      <c r="C1169" s="27">
        <v>11.9</v>
      </c>
      <c r="E1169" s="18"/>
    </row>
    <row r="1170" spans="1:5" ht="16.5" thickTop="1" thickBot="1" x14ac:dyDescent="0.3">
      <c r="A1170" s="28">
        <v>0.99175805320379118</v>
      </c>
      <c r="B1170" s="27">
        <v>0</v>
      </c>
      <c r="C1170" s="27">
        <v>11.9</v>
      </c>
      <c r="E1170" s="18"/>
    </row>
    <row r="1171" spans="1:5" ht="16.5" thickTop="1" thickBot="1" x14ac:dyDescent="0.3">
      <c r="A1171" s="28">
        <v>9.6170621795447122</v>
      </c>
      <c r="B1171" s="27">
        <v>0</v>
      </c>
      <c r="C1171" s="27">
        <v>11.9</v>
      </c>
      <c r="E1171" s="18"/>
    </row>
    <row r="1172" spans="1:5" ht="16.5" thickTop="1" thickBot="1" x14ac:dyDescent="0.3">
      <c r="A1172" s="28">
        <v>1.7854533320911012</v>
      </c>
      <c r="B1172" s="27">
        <v>0</v>
      </c>
      <c r="C1172" s="27">
        <v>11.9</v>
      </c>
      <c r="E1172" s="18"/>
    </row>
    <row r="1173" spans="1:5" ht="16.5" thickTop="1" thickBot="1" x14ac:dyDescent="0.3">
      <c r="A1173" s="28">
        <v>9.8615807857665363</v>
      </c>
      <c r="B1173" s="27">
        <v>0</v>
      </c>
      <c r="C1173" s="27">
        <v>11.9</v>
      </c>
      <c r="E1173" s="18"/>
    </row>
    <row r="1174" spans="1:5" ht="16.5" thickTop="1" thickBot="1" x14ac:dyDescent="0.3">
      <c r="A1174" s="28">
        <v>2.3825462805607307</v>
      </c>
      <c r="B1174" s="27">
        <v>0</v>
      </c>
      <c r="C1174" s="27">
        <v>17.8</v>
      </c>
      <c r="E1174" s="18"/>
    </row>
    <row r="1175" spans="1:5" ht="16.5" thickTop="1" thickBot="1" x14ac:dyDescent="0.3">
      <c r="A1175" s="28">
        <v>1.7155168610657605</v>
      </c>
      <c r="B1175" s="27">
        <v>0</v>
      </c>
      <c r="C1175" s="27">
        <v>17.8</v>
      </c>
      <c r="E1175" s="18"/>
    </row>
    <row r="1176" spans="1:5" ht="16.5" thickTop="1" thickBot="1" x14ac:dyDescent="0.3">
      <c r="A1176" s="28">
        <v>5.8379788655931852</v>
      </c>
      <c r="B1176" s="27">
        <v>0</v>
      </c>
      <c r="C1176" s="27">
        <v>17.8</v>
      </c>
      <c r="E1176" s="18"/>
    </row>
    <row r="1177" spans="1:5" ht="16.5" thickTop="1" thickBot="1" x14ac:dyDescent="0.3">
      <c r="A1177" s="28">
        <v>0.84813841703701209</v>
      </c>
      <c r="B1177" s="27">
        <v>0</v>
      </c>
      <c r="C1177" s="27">
        <v>17.8</v>
      </c>
      <c r="E1177" s="18"/>
    </row>
    <row r="1178" spans="1:5" ht="16.5" thickTop="1" thickBot="1" x14ac:dyDescent="0.3">
      <c r="A1178" s="28">
        <v>4.0804830723309715</v>
      </c>
      <c r="B1178" s="27">
        <v>0</v>
      </c>
      <c r="C1178" s="27">
        <v>17.8</v>
      </c>
      <c r="E1178" s="18"/>
    </row>
    <row r="1179" spans="1:5" ht="16.5" thickTop="1" thickBot="1" x14ac:dyDescent="0.3">
      <c r="A1179" s="28">
        <v>2.856147024530225</v>
      </c>
      <c r="B1179" s="27">
        <v>0</v>
      </c>
      <c r="C1179" s="27">
        <v>17.8</v>
      </c>
      <c r="E1179" s="18"/>
    </row>
    <row r="1180" spans="1:5" ht="16.5" thickTop="1" thickBot="1" x14ac:dyDescent="0.3">
      <c r="A1180" s="28">
        <v>2.7988693443956238</v>
      </c>
      <c r="B1180" s="27">
        <v>0</v>
      </c>
      <c r="C1180" s="27">
        <v>17.8</v>
      </c>
      <c r="E1180" s="18"/>
    </row>
    <row r="1181" spans="1:5" ht="16.5" thickTop="1" thickBot="1" x14ac:dyDescent="0.3">
      <c r="A1181" s="28">
        <v>8.1804052067063928</v>
      </c>
      <c r="B1181" s="27">
        <v>0</v>
      </c>
      <c r="C1181" s="27">
        <v>17.8</v>
      </c>
      <c r="E1181" s="18"/>
    </row>
    <row r="1182" spans="1:5" ht="16.5" thickTop="1" thickBot="1" x14ac:dyDescent="0.3">
      <c r="A1182" s="28">
        <v>2.209598705785492</v>
      </c>
      <c r="B1182" s="27">
        <v>0</v>
      </c>
      <c r="C1182" s="27">
        <v>5.6</v>
      </c>
      <c r="E1182" s="18"/>
    </row>
    <row r="1183" spans="1:5" ht="16.5" thickTop="1" thickBot="1" x14ac:dyDescent="0.3">
      <c r="A1183" s="28">
        <v>1.7723333932685543</v>
      </c>
      <c r="B1183" s="27">
        <v>0</v>
      </c>
      <c r="C1183" s="27">
        <v>5.6</v>
      </c>
      <c r="E1183" s="18"/>
    </row>
    <row r="1184" spans="1:5" ht="16.5" thickTop="1" thickBot="1" x14ac:dyDescent="0.3">
      <c r="A1184" s="28">
        <v>3.2981572157947179</v>
      </c>
      <c r="B1184" s="27">
        <v>0</v>
      </c>
      <c r="C1184" s="27">
        <v>5.6</v>
      </c>
      <c r="E1184" s="18"/>
    </row>
    <row r="1185" spans="1:5" ht="16.5" thickTop="1" thickBot="1" x14ac:dyDescent="0.3">
      <c r="A1185" s="28">
        <v>4.8243319094590547</v>
      </c>
      <c r="B1185" s="27">
        <v>0</v>
      </c>
      <c r="C1185" s="27">
        <v>5.6</v>
      </c>
      <c r="E1185" s="18"/>
    </row>
    <row r="1186" spans="1:5" ht="16.5" thickTop="1" thickBot="1" x14ac:dyDescent="0.3">
      <c r="A1186" s="28">
        <v>0.30187493858823666</v>
      </c>
      <c r="B1186" s="27">
        <v>0</v>
      </c>
      <c r="C1186" s="27">
        <v>5.6</v>
      </c>
      <c r="E1186" s="18"/>
    </row>
    <row r="1187" spans="1:5" ht="16.5" thickTop="1" thickBot="1" x14ac:dyDescent="0.3">
      <c r="A1187" s="28">
        <v>8.0653664382161985</v>
      </c>
      <c r="B1187" s="27">
        <v>0</v>
      </c>
      <c r="C1187" s="27">
        <v>5.6</v>
      </c>
      <c r="E1187" s="18"/>
    </row>
    <row r="1188" spans="1:5" ht="16.5" thickTop="1" thickBot="1" x14ac:dyDescent="0.3">
      <c r="A1188" s="28">
        <v>3.7138447412311377</v>
      </c>
      <c r="B1188" s="27">
        <v>0</v>
      </c>
      <c r="C1188" s="27">
        <v>5.6</v>
      </c>
      <c r="E1188" s="18"/>
    </row>
    <row r="1189" spans="1:5" ht="16.5" thickTop="1" thickBot="1" x14ac:dyDescent="0.3">
      <c r="A1189" s="28">
        <v>11.768906483458247</v>
      </c>
      <c r="B1189" s="27">
        <v>0</v>
      </c>
      <c r="C1189" s="27">
        <v>5.6</v>
      </c>
      <c r="E1189" s="18"/>
    </row>
    <row r="1190" spans="1:5" ht="16.5" thickTop="1" thickBot="1" x14ac:dyDescent="0.3">
      <c r="A1190" s="28">
        <v>1.285718624735285</v>
      </c>
      <c r="B1190" s="27">
        <v>0</v>
      </c>
      <c r="C1190" s="27">
        <v>5.6</v>
      </c>
      <c r="E1190" s="18"/>
    </row>
    <row r="1191" spans="1:5" ht="16.5" thickTop="1" thickBot="1" x14ac:dyDescent="0.3">
      <c r="A1191" s="28">
        <v>0.19247641683428451</v>
      </c>
      <c r="B1191" s="27">
        <v>0</v>
      </c>
      <c r="C1191" s="27">
        <v>5.6</v>
      </c>
      <c r="E1191" s="18"/>
    </row>
    <row r="1192" spans="1:5" ht="16.5" thickTop="1" thickBot="1" x14ac:dyDescent="0.3">
      <c r="A1192" s="28">
        <v>4.4644563794907324</v>
      </c>
      <c r="B1192" s="27">
        <v>0</v>
      </c>
      <c r="C1192" s="27">
        <v>5.6</v>
      </c>
      <c r="E1192" s="18"/>
    </row>
    <row r="1193" spans="1:5" ht="16.5" thickTop="1" thickBot="1" x14ac:dyDescent="0.3">
      <c r="A1193" s="28">
        <v>8.2184997393449439</v>
      </c>
      <c r="B1193" s="27">
        <v>0</v>
      </c>
      <c r="C1193" s="27">
        <v>5.6</v>
      </c>
      <c r="E1193" s="18"/>
    </row>
    <row r="1194" spans="1:5" ht="16.5" thickTop="1" thickBot="1" x14ac:dyDescent="0.3">
      <c r="A1194" s="28">
        <v>1.8821282705645861</v>
      </c>
      <c r="B1194" s="27">
        <v>0</v>
      </c>
      <c r="C1194" s="27">
        <v>5.6</v>
      </c>
      <c r="E1194" s="18"/>
    </row>
    <row r="1195" spans="1:5" ht="16.5" thickTop="1" thickBot="1" x14ac:dyDescent="0.3">
      <c r="A1195" s="28">
        <v>9.1707301544857032</v>
      </c>
      <c r="B1195" s="27">
        <v>0</v>
      </c>
      <c r="C1195" s="27">
        <v>5.6</v>
      </c>
      <c r="E1195" s="18"/>
    </row>
    <row r="1196" spans="1:5" ht="16.5" thickTop="1" thickBot="1" x14ac:dyDescent="0.3">
      <c r="A1196" s="28">
        <v>1.6206655609171221</v>
      </c>
      <c r="B1196" s="27">
        <v>0</v>
      </c>
      <c r="C1196" s="27">
        <v>17.3</v>
      </c>
      <c r="E1196" s="18"/>
    </row>
    <row r="1197" spans="1:5" ht="16.5" thickTop="1" thickBot="1" x14ac:dyDescent="0.3">
      <c r="A1197" s="28">
        <v>3.2877845927238467</v>
      </c>
      <c r="B1197" s="27">
        <v>0</v>
      </c>
      <c r="C1197" s="27">
        <v>17.3</v>
      </c>
      <c r="E1197" s="18"/>
    </row>
    <row r="1198" spans="1:5" ht="16.5" thickTop="1" thickBot="1" x14ac:dyDescent="0.3">
      <c r="A1198" s="28">
        <v>3.662097586314025</v>
      </c>
      <c r="B1198" s="27">
        <v>0</v>
      </c>
      <c r="C1198" s="27">
        <v>17.3</v>
      </c>
      <c r="E1198" s="18"/>
    </row>
    <row r="1199" spans="1:5" ht="16.5" thickTop="1" thickBot="1" x14ac:dyDescent="0.3">
      <c r="A1199" s="28">
        <v>4.6305254507882978</v>
      </c>
      <c r="B1199" s="27">
        <v>0</v>
      </c>
      <c r="C1199" s="27">
        <v>17.3</v>
      </c>
      <c r="E1199" s="18"/>
    </row>
    <row r="1200" spans="1:5" ht="16.5" thickTop="1" thickBot="1" x14ac:dyDescent="0.3">
      <c r="A1200" s="28">
        <v>6.8451229523333748</v>
      </c>
      <c r="B1200" s="27">
        <v>0</v>
      </c>
      <c r="C1200" s="27">
        <v>17.3</v>
      </c>
      <c r="E1200" s="18"/>
    </row>
    <row r="1201" spans="1:5" ht="16.5" thickTop="1" thickBot="1" x14ac:dyDescent="0.3">
      <c r="A1201" s="28">
        <v>10.799766319501837</v>
      </c>
      <c r="B1201" s="27">
        <v>0</v>
      </c>
      <c r="C1201" s="27">
        <v>17.3</v>
      </c>
      <c r="E1201" s="18"/>
    </row>
    <row r="1202" spans="1:5" ht="16.5" thickTop="1" thickBot="1" x14ac:dyDescent="0.3">
      <c r="A1202" s="28">
        <v>3.8658866737641837</v>
      </c>
      <c r="B1202" s="27">
        <v>0</v>
      </c>
      <c r="C1202" s="27">
        <v>17.3</v>
      </c>
      <c r="E1202" s="18"/>
    </row>
    <row r="1203" spans="1:5" ht="16.5" thickTop="1" thickBot="1" x14ac:dyDescent="0.3">
      <c r="A1203" s="28">
        <v>6.0558565323118989</v>
      </c>
      <c r="B1203" s="27">
        <v>0</v>
      </c>
      <c r="C1203" s="27">
        <v>17.3</v>
      </c>
      <c r="E1203" s="18"/>
    </row>
    <row r="1204" spans="1:5" ht="16.5" thickTop="1" thickBot="1" x14ac:dyDescent="0.3">
      <c r="A1204" s="28">
        <v>6.4566051570166554</v>
      </c>
      <c r="B1204" s="27">
        <v>0</v>
      </c>
      <c r="C1204" s="27">
        <v>17.3</v>
      </c>
      <c r="E1204" s="18"/>
    </row>
    <row r="1205" spans="1:5" ht="16.5" thickTop="1" thickBot="1" x14ac:dyDescent="0.3">
      <c r="A1205" s="28">
        <v>9.1382035350534156</v>
      </c>
      <c r="B1205" s="27">
        <v>0</v>
      </c>
      <c r="C1205" s="27">
        <v>17.3</v>
      </c>
      <c r="E1205" s="18"/>
    </row>
    <row r="1206" spans="1:5" ht="16.5" thickTop="1" thickBot="1" x14ac:dyDescent="0.3">
      <c r="A1206" s="28">
        <v>6.1455697180771729</v>
      </c>
      <c r="B1206" s="27">
        <v>0</v>
      </c>
      <c r="C1206" s="27">
        <v>17.3</v>
      </c>
      <c r="E1206" s="18"/>
    </row>
    <row r="1207" spans="1:5" ht="16.5" thickTop="1" thickBot="1" x14ac:dyDescent="0.3">
      <c r="A1207" s="28">
        <v>2.5835109531417189</v>
      </c>
      <c r="B1207" s="27">
        <v>0</v>
      </c>
      <c r="C1207" s="27">
        <v>17.3</v>
      </c>
      <c r="E1207" s="18"/>
    </row>
    <row r="1208" spans="1:5" ht="16.5" thickTop="1" thickBot="1" x14ac:dyDescent="0.3">
      <c r="A1208" s="28">
        <v>2.7610387602081978</v>
      </c>
      <c r="B1208" s="27">
        <v>0</v>
      </c>
      <c r="C1208" s="27">
        <v>17.3</v>
      </c>
      <c r="E1208" s="18"/>
    </row>
    <row r="1209" spans="1:5" ht="16.5" thickTop="1" thickBot="1" x14ac:dyDescent="0.3">
      <c r="A1209" s="28">
        <v>11.655061850032521</v>
      </c>
      <c r="B1209" s="27">
        <v>0</v>
      </c>
      <c r="C1209" s="27">
        <v>17.3</v>
      </c>
      <c r="E1209" s="18"/>
    </row>
    <row r="1210" spans="1:5" ht="16.5" thickTop="1" thickBot="1" x14ac:dyDescent="0.3">
      <c r="A1210" s="28">
        <v>6.3633050979264212</v>
      </c>
      <c r="B1210" s="27">
        <v>0</v>
      </c>
      <c r="C1210" s="27">
        <v>17.3</v>
      </c>
      <c r="E1210" s="18"/>
    </row>
    <row r="1211" spans="1:5" ht="16.5" thickTop="1" thickBot="1" x14ac:dyDescent="0.3">
      <c r="A1211" s="28">
        <v>3.602868639387153</v>
      </c>
      <c r="B1211" s="27">
        <v>0</v>
      </c>
      <c r="C1211" s="27">
        <v>17.3</v>
      </c>
      <c r="E1211" s="18"/>
    </row>
    <row r="1212" spans="1:5" ht="16.5" thickTop="1" thickBot="1" x14ac:dyDescent="0.3">
      <c r="A1212" s="28">
        <v>2.6341829878364922</v>
      </c>
      <c r="B1212" s="27">
        <v>0</v>
      </c>
      <c r="C1212" s="27">
        <v>17.3</v>
      </c>
      <c r="E1212" s="18"/>
    </row>
    <row r="1213" spans="1:5" ht="16.5" thickTop="1" thickBot="1" x14ac:dyDescent="0.3">
      <c r="A1213" s="28">
        <v>6.7153845683255629</v>
      </c>
      <c r="B1213" s="27">
        <v>0</v>
      </c>
      <c r="C1213" s="27">
        <v>32</v>
      </c>
      <c r="E1213" s="18"/>
    </row>
    <row r="1214" spans="1:5" ht="16.5" thickTop="1" thickBot="1" x14ac:dyDescent="0.3">
      <c r="A1214" s="28">
        <v>4.8362583799291841</v>
      </c>
      <c r="B1214" s="27">
        <v>0</v>
      </c>
      <c r="C1214" s="27">
        <v>32</v>
      </c>
      <c r="E1214" s="18"/>
    </row>
    <row r="1215" spans="1:5" ht="16.5" thickTop="1" thickBot="1" x14ac:dyDescent="0.3">
      <c r="A1215" s="28">
        <v>6.7599174120672876</v>
      </c>
      <c r="B1215" s="27">
        <v>0</v>
      </c>
      <c r="C1215" s="27">
        <v>32</v>
      </c>
      <c r="E1215" s="18"/>
    </row>
    <row r="1216" spans="1:5" ht="16.5" thickTop="1" thickBot="1" x14ac:dyDescent="0.3">
      <c r="A1216" s="28">
        <v>3.8677219987634097</v>
      </c>
      <c r="B1216" s="27">
        <v>0</v>
      </c>
      <c r="C1216" s="27">
        <v>32</v>
      </c>
      <c r="E1216" s="18"/>
    </row>
    <row r="1217" spans="1:5" ht="16.5" thickTop="1" thickBot="1" x14ac:dyDescent="0.3">
      <c r="A1217" s="28">
        <v>11.727994902402212</v>
      </c>
      <c r="B1217" s="27">
        <v>0</v>
      </c>
      <c r="C1217" s="27">
        <v>32</v>
      </c>
      <c r="E1217" s="18"/>
    </row>
    <row r="1218" spans="1:5" ht="16.5" thickTop="1" thickBot="1" x14ac:dyDescent="0.3">
      <c r="A1218" s="28">
        <v>5.323499975606568</v>
      </c>
      <c r="B1218" s="27">
        <v>0</v>
      </c>
      <c r="C1218" s="27">
        <v>32</v>
      </c>
      <c r="E1218" s="18"/>
    </row>
    <row r="1219" spans="1:5" ht="16.5" thickTop="1" thickBot="1" x14ac:dyDescent="0.3">
      <c r="A1219" s="28">
        <v>11.93790956611385</v>
      </c>
      <c r="B1219" s="27">
        <v>0</v>
      </c>
      <c r="C1219" s="27">
        <v>32</v>
      </c>
      <c r="E1219" s="18"/>
    </row>
    <row r="1220" spans="1:5" ht="16.5" thickTop="1" thickBot="1" x14ac:dyDescent="0.3">
      <c r="A1220" s="28">
        <v>4.7380102021530748</v>
      </c>
      <c r="B1220" s="27">
        <v>0</v>
      </c>
      <c r="C1220" s="27">
        <v>32</v>
      </c>
      <c r="E1220" s="18"/>
    </row>
    <row r="1221" spans="1:5" ht="16.5" thickTop="1" thickBot="1" x14ac:dyDescent="0.3">
      <c r="A1221" s="28">
        <v>8.7038397352902344</v>
      </c>
      <c r="B1221" s="27">
        <v>0</v>
      </c>
      <c r="C1221" s="27">
        <v>32</v>
      </c>
      <c r="E1221" s="18"/>
    </row>
    <row r="1222" spans="1:5" ht="16.5" thickTop="1" thickBot="1" x14ac:dyDescent="0.3">
      <c r="A1222" s="28">
        <v>3.2802504612924936</v>
      </c>
      <c r="B1222" s="27">
        <v>0</v>
      </c>
      <c r="C1222" s="27">
        <v>32</v>
      </c>
      <c r="E1222" s="18"/>
    </row>
    <row r="1223" spans="1:5" ht="16.5" thickTop="1" thickBot="1" x14ac:dyDescent="0.3">
      <c r="A1223" s="28">
        <v>8.0199166094646301</v>
      </c>
      <c r="B1223" s="27">
        <v>0</v>
      </c>
      <c r="C1223" s="27">
        <v>32</v>
      </c>
      <c r="E1223" s="18"/>
    </row>
    <row r="1224" spans="1:5" ht="16.5" thickTop="1" thickBot="1" x14ac:dyDescent="0.3">
      <c r="A1224" s="28">
        <v>0.83001582600058643</v>
      </c>
      <c r="B1224" s="27">
        <v>0</v>
      </c>
      <c r="C1224" s="27">
        <v>32</v>
      </c>
      <c r="E1224" s="18"/>
    </row>
    <row r="1225" spans="1:5" ht="16.5" thickTop="1" thickBot="1" x14ac:dyDescent="0.3">
      <c r="A1225" s="28">
        <v>3.8033344003857601</v>
      </c>
      <c r="B1225" s="27">
        <v>0</v>
      </c>
      <c r="C1225" s="27">
        <v>32</v>
      </c>
      <c r="E1225" s="18"/>
    </row>
    <row r="1226" spans="1:5" ht="16.5" thickTop="1" thickBot="1" x14ac:dyDescent="0.3">
      <c r="A1226" s="28">
        <v>5.0032358270859536</v>
      </c>
      <c r="B1226" s="27">
        <v>0</v>
      </c>
      <c r="C1226" s="27">
        <v>32</v>
      </c>
      <c r="E1226" s="18"/>
    </row>
    <row r="1227" spans="1:5" ht="16.5" thickTop="1" thickBot="1" x14ac:dyDescent="0.3">
      <c r="A1227" s="28">
        <v>2.3077424776039646</v>
      </c>
      <c r="B1227" s="27">
        <v>0</v>
      </c>
      <c r="C1227" s="27">
        <v>32</v>
      </c>
      <c r="E1227" s="18"/>
    </row>
    <row r="1228" spans="1:5" ht="16.5" thickTop="1" thickBot="1" x14ac:dyDescent="0.3">
      <c r="A1228" s="28">
        <v>0.48798189564574457</v>
      </c>
      <c r="B1228" s="27">
        <v>0</v>
      </c>
      <c r="C1228" s="27">
        <v>32</v>
      </c>
      <c r="E1228" s="18"/>
    </row>
    <row r="1229" spans="1:5" ht="16.5" thickTop="1" thickBot="1" x14ac:dyDescent="0.3">
      <c r="A1229" s="28">
        <v>8.6508475965745522</v>
      </c>
      <c r="B1229" s="27">
        <v>0</v>
      </c>
      <c r="C1229" s="27">
        <v>32</v>
      </c>
      <c r="E1229" s="18"/>
    </row>
    <row r="1230" spans="1:5" ht="16.5" thickTop="1" thickBot="1" x14ac:dyDescent="0.3">
      <c r="A1230" s="28">
        <v>3.8881593480558463</v>
      </c>
      <c r="B1230" s="27">
        <v>0</v>
      </c>
      <c r="C1230" s="27">
        <v>10.199999999999999</v>
      </c>
      <c r="E1230" s="18"/>
    </row>
    <row r="1231" spans="1:5" ht="16.5" thickTop="1" thickBot="1" x14ac:dyDescent="0.3">
      <c r="A1231" s="28">
        <v>4.8952246609087942</v>
      </c>
      <c r="B1231" s="27">
        <v>0</v>
      </c>
      <c r="C1231" s="27">
        <v>10.199999999999999</v>
      </c>
      <c r="E1231" s="18"/>
    </row>
    <row r="1232" spans="1:5" ht="16.5" thickTop="1" thickBot="1" x14ac:dyDescent="0.3">
      <c r="A1232" s="28">
        <v>6.9764926657406185</v>
      </c>
      <c r="B1232" s="27">
        <v>0</v>
      </c>
      <c r="C1232" s="27">
        <v>10.199999999999999</v>
      </c>
      <c r="E1232" s="18"/>
    </row>
    <row r="1233" spans="1:5" ht="16.5" thickTop="1" thickBot="1" x14ac:dyDescent="0.3">
      <c r="A1233" s="28">
        <v>6.8958319868065114</v>
      </c>
      <c r="B1233" s="27">
        <v>0</v>
      </c>
      <c r="C1233" s="27">
        <v>10.199999999999999</v>
      </c>
      <c r="E1233" s="18"/>
    </row>
    <row r="1234" spans="1:5" ht="16.5" thickTop="1" thickBot="1" x14ac:dyDescent="0.3">
      <c r="A1234" s="28">
        <v>0.40235439848970711</v>
      </c>
      <c r="B1234" s="27">
        <v>0</v>
      </c>
      <c r="C1234" s="27">
        <v>10.199999999999999</v>
      </c>
      <c r="E1234" s="18"/>
    </row>
    <row r="1235" spans="1:5" ht="16.5" thickTop="1" thickBot="1" x14ac:dyDescent="0.3">
      <c r="A1235" s="28">
        <v>10.735341053209515</v>
      </c>
      <c r="B1235" s="27">
        <v>0</v>
      </c>
      <c r="C1235" s="27">
        <v>10.199999999999999</v>
      </c>
      <c r="E1235" s="18"/>
    </row>
    <row r="1236" spans="1:5" ht="16.5" thickTop="1" thickBot="1" x14ac:dyDescent="0.3">
      <c r="A1236" s="28">
        <v>5.4774614362421259</v>
      </c>
      <c r="B1236" s="27">
        <v>0</v>
      </c>
      <c r="C1236" s="27">
        <v>10.199999999999999</v>
      </c>
      <c r="E1236" s="18"/>
    </row>
    <row r="1237" spans="1:5" ht="16.5" thickTop="1" thickBot="1" x14ac:dyDescent="0.3">
      <c r="A1237" s="28">
        <v>3.1340471461424553</v>
      </c>
      <c r="B1237" s="27">
        <v>0</v>
      </c>
      <c r="C1237" s="27">
        <v>10.199999999999999</v>
      </c>
      <c r="E1237" s="18"/>
    </row>
    <row r="1238" spans="1:5" ht="16.5" thickTop="1" thickBot="1" x14ac:dyDescent="0.3">
      <c r="A1238" s="28">
        <v>4.8060100538467232</v>
      </c>
      <c r="B1238" s="27">
        <v>0</v>
      </c>
      <c r="C1238" s="27">
        <v>10.199999999999999</v>
      </c>
      <c r="E1238" s="18"/>
    </row>
    <row r="1239" spans="1:5" ht="16.5" thickTop="1" thickBot="1" x14ac:dyDescent="0.3">
      <c r="A1239" s="28">
        <v>10.278554564669426</v>
      </c>
      <c r="B1239" s="27">
        <v>0</v>
      </c>
      <c r="C1239" s="27">
        <v>10.199999999999999</v>
      </c>
      <c r="E1239" s="18"/>
    </row>
    <row r="1240" spans="1:5" ht="16.5" thickTop="1" thickBot="1" x14ac:dyDescent="0.3">
      <c r="A1240" s="28">
        <v>1.300469979423776</v>
      </c>
      <c r="B1240" s="27">
        <v>0</v>
      </c>
      <c r="C1240" s="27">
        <v>10.199999999999999</v>
      </c>
      <c r="E1240" s="18"/>
    </row>
    <row r="1241" spans="1:5" ht="16.5" thickTop="1" thickBot="1" x14ac:dyDescent="0.3">
      <c r="A1241" s="28">
        <v>1.3454223427502723</v>
      </c>
      <c r="B1241" s="27">
        <v>0</v>
      </c>
      <c r="C1241" s="27">
        <v>10.199999999999999</v>
      </c>
      <c r="E1241" s="18"/>
    </row>
    <row r="1242" spans="1:5" ht="16.5" thickTop="1" thickBot="1" x14ac:dyDescent="0.3">
      <c r="A1242" s="28">
        <v>3.8220323591789009</v>
      </c>
      <c r="B1242" s="27">
        <v>0</v>
      </c>
      <c r="C1242" s="27">
        <v>10.199999999999999</v>
      </c>
      <c r="E1242" s="18"/>
    </row>
    <row r="1243" spans="1:5" ht="16.5" thickTop="1" thickBot="1" x14ac:dyDescent="0.3">
      <c r="A1243" s="28">
        <v>11.162041504945648</v>
      </c>
      <c r="B1243" s="27">
        <v>0</v>
      </c>
      <c r="C1243" s="27">
        <v>10.199999999999999</v>
      </c>
      <c r="E1243" s="18"/>
    </row>
    <row r="1244" spans="1:5" ht="16.5" thickTop="1" thickBot="1" x14ac:dyDescent="0.3">
      <c r="A1244" s="28">
        <v>5.4143277550280802</v>
      </c>
      <c r="B1244" s="27">
        <v>0</v>
      </c>
      <c r="C1244" s="27">
        <v>10.199999999999999</v>
      </c>
      <c r="E1244" s="18"/>
    </row>
    <row r="1245" spans="1:5" ht="16.5" thickTop="1" thickBot="1" x14ac:dyDescent="0.3">
      <c r="A1245" s="28">
        <v>11.832832865506385</v>
      </c>
      <c r="B1245" s="27">
        <v>0</v>
      </c>
      <c r="C1245" s="27">
        <v>10.199999999999999</v>
      </c>
      <c r="E1245" s="18"/>
    </row>
    <row r="1246" spans="1:5" ht="16.5" thickTop="1" thickBot="1" x14ac:dyDescent="0.3">
      <c r="A1246" s="28">
        <v>0.96621211642303206</v>
      </c>
      <c r="B1246" s="27">
        <v>0</v>
      </c>
      <c r="C1246" s="27">
        <v>10.199999999999999</v>
      </c>
      <c r="E1246" s="18"/>
    </row>
    <row r="1247" spans="1:5" ht="16.5" thickTop="1" thickBot="1" x14ac:dyDescent="0.3">
      <c r="A1247" s="28">
        <v>5.8989536269409077</v>
      </c>
      <c r="B1247" s="27">
        <v>0</v>
      </c>
      <c r="C1247" s="27">
        <v>5.3</v>
      </c>
      <c r="E1247" s="18"/>
    </row>
    <row r="1248" spans="1:5" ht="16.5" thickTop="1" thickBot="1" x14ac:dyDescent="0.3">
      <c r="A1248" s="28">
        <v>2.7555108051496608</v>
      </c>
      <c r="B1248" s="27">
        <v>0</v>
      </c>
      <c r="C1248" s="27">
        <v>5.3</v>
      </c>
      <c r="E1248" s="18"/>
    </row>
    <row r="1249" spans="1:5" ht="16.5" thickTop="1" thickBot="1" x14ac:dyDescent="0.3">
      <c r="A1249" s="28">
        <v>1.3772649646436621</v>
      </c>
      <c r="B1249" s="27">
        <v>0</v>
      </c>
      <c r="C1249" s="27">
        <v>5.3</v>
      </c>
      <c r="E1249" s="18"/>
    </row>
    <row r="1250" spans="1:5" ht="16.5" thickTop="1" thickBot="1" x14ac:dyDescent="0.3">
      <c r="A1250" s="28">
        <v>3.0719749844439734</v>
      </c>
      <c r="B1250" s="27">
        <v>0</v>
      </c>
      <c r="C1250" s="27">
        <v>5.3</v>
      </c>
      <c r="E1250" s="18"/>
    </row>
    <row r="1251" spans="1:5" ht="16.5" thickTop="1" thickBot="1" x14ac:dyDescent="0.3">
      <c r="A1251" s="28">
        <v>2.1502241674833122</v>
      </c>
      <c r="B1251" s="27">
        <v>0</v>
      </c>
      <c r="C1251" s="27">
        <v>5.3</v>
      </c>
      <c r="E1251" s="18"/>
    </row>
    <row r="1252" spans="1:5" ht="16.5" thickTop="1" thickBot="1" x14ac:dyDescent="0.3">
      <c r="A1252" s="28">
        <v>5.1008420711817317</v>
      </c>
      <c r="B1252" s="27">
        <v>0</v>
      </c>
      <c r="C1252" s="27">
        <v>5.3</v>
      </c>
      <c r="E1252" s="18"/>
    </row>
    <row r="1253" spans="1:5" ht="16.5" thickTop="1" thickBot="1" x14ac:dyDescent="0.3">
      <c r="A1253" s="28">
        <v>9.6672027497611186</v>
      </c>
      <c r="B1253" s="27">
        <v>0</v>
      </c>
      <c r="C1253" s="27">
        <v>5.3</v>
      </c>
      <c r="E1253" s="18"/>
    </row>
    <row r="1254" spans="1:5" ht="16.5" thickTop="1" thickBot="1" x14ac:dyDescent="0.3">
      <c r="A1254" s="28">
        <v>4.1388978324073635</v>
      </c>
      <c r="B1254" s="27">
        <v>0</v>
      </c>
      <c r="C1254" s="27">
        <v>5.3</v>
      </c>
      <c r="E1254" s="18"/>
    </row>
    <row r="1255" spans="1:5" ht="16.5" thickTop="1" thickBot="1" x14ac:dyDescent="0.3">
      <c r="A1255" s="28">
        <v>6.9968579940086748</v>
      </c>
      <c r="B1255" s="27">
        <v>0</v>
      </c>
      <c r="C1255" s="27">
        <v>5.3</v>
      </c>
      <c r="E1255" s="18"/>
    </row>
    <row r="1256" spans="1:5" ht="16.5" thickTop="1" thickBot="1" x14ac:dyDescent="0.3">
      <c r="A1256" s="28">
        <v>4.2359663801865279</v>
      </c>
      <c r="B1256" s="27">
        <v>0</v>
      </c>
      <c r="C1256" s="27">
        <v>5.3</v>
      </c>
      <c r="E1256" s="18"/>
    </row>
    <row r="1257" spans="1:5" ht="16.5" thickTop="1" thickBot="1" x14ac:dyDescent="0.3">
      <c r="A1257" s="28">
        <v>7.9177691179486835</v>
      </c>
      <c r="B1257" s="27">
        <v>0</v>
      </c>
      <c r="C1257" s="27">
        <v>5.3</v>
      </c>
      <c r="E1257" s="18"/>
    </row>
    <row r="1258" spans="1:5" ht="16.5" thickTop="1" thickBot="1" x14ac:dyDescent="0.3">
      <c r="A1258" s="28">
        <v>5.4129598172920792</v>
      </c>
      <c r="B1258" s="27">
        <v>0</v>
      </c>
      <c r="C1258" s="27">
        <v>5.3</v>
      </c>
      <c r="E1258" s="18"/>
    </row>
    <row r="1259" spans="1:5" ht="16.5" thickTop="1" thickBot="1" x14ac:dyDescent="0.3">
      <c r="A1259" s="28">
        <v>8.2116147211604371</v>
      </c>
      <c r="B1259" s="27">
        <v>0</v>
      </c>
      <c r="C1259" s="27">
        <v>5.3</v>
      </c>
      <c r="E1259" s="18"/>
    </row>
    <row r="1260" spans="1:5" ht="16.5" thickTop="1" thickBot="1" x14ac:dyDescent="0.3">
      <c r="A1260" s="28">
        <v>3.1558175594258815</v>
      </c>
      <c r="B1260" s="27">
        <v>0</v>
      </c>
      <c r="C1260" s="27">
        <v>5.3</v>
      </c>
      <c r="E1260" s="18"/>
    </row>
    <row r="1261" spans="1:5" ht="16.5" thickTop="1" thickBot="1" x14ac:dyDescent="0.3">
      <c r="A1261" s="28">
        <v>3.0715049944694108</v>
      </c>
      <c r="B1261" s="27">
        <v>0</v>
      </c>
      <c r="C1261" s="27">
        <v>5.3</v>
      </c>
      <c r="E1261" s="18"/>
    </row>
    <row r="1262" spans="1:5" ht="16.5" thickTop="1" thickBot="1" x14ac:dyDescent="0.3">
      <c r="A1262" s="28">
        <v>4.7151427265143253</v>
      </c>
      <c r="B1262" s="27">
        <v>0</v>
      </c>
      <c r="C1262" s="27">
        <v>5.3</v>
      </c>
      <c r="E1262" s="18"/>
    </row>
    <row r="1263" spans="1:5" ht="16.5" thickTop="1" thickBot="1" x14ac:dyDescent="0.3">
      <c r="A1263" s="28">
        <v>5.2198809874841938</v>
      </c>
      <c r="B1263" s="27">
        <v>0</v>
      </c>
      <c r="C1263" s="27">
        <v>15.7</v>
      </c>
      <c r="E1263" s="18"/>
    </row>
    <row r="1264" spans="1:5" ht="16.5" thickTop="1" thickBot="1" x14ac:dyDescent="0.3">
      <c r="A1264" s="28">
        <v>3.0953335954806627</v>
      </c>
      <c r="B1264" s="27">
        <v>0</v>
      </c>
      <c r="C1264" s="27">
        <v>15.7</v>
      </c>
      <c r="E1264" s="18"/>
    </row>
    <row r="1265" spans="1:5" ht="16.5" thickTop="1" thickBot="1" x14ac:dyDescent="0.3">
      <c r="A1265" s="28">
        <v>11.996834188779593</v>
      </c>
      <c r="B1265" s="27">
        <v>0</v>
      </c>
      <c r="C1265" s="27">
        <v>15.7</v>
      </c>
      <c r="E1265" s="18"/>
    </row>
    <row r="1266" spans="1:5" ht="16.5" thickTop="1" thickBot="1" x14ac:dyDescent="0.3">
      <c r="A1266" s="28">
        <v>6.2495515502909207</v>
      </c>
      <c r="B1266" s="27">
        <v>0</v>
      </c>
      <c r="C1266" s="27">
        <v>15.7</v>
      </c>
      <c r="E1266" s="18"/>
    </row>
    <row r="1267" spans="1:5" ht="16.5" thickTop="1" thickBot="1" x14ac:dyDescent="0.3">
      <c r="A1267" s="28">
        <v>4.8755812049365339</v>
      </c>
      <c r="B1267" s="27">
        <v>0</v>
      </c>
      <c r="C1267" s="27">
        <v>15.7</v>
      </c>
      <c r="E1267" s="18"/>
    </row>
    <row r="1268" spans="1:5" ht="16.5" thickTop="1" thickBot="1" x14ac:dyDescent="0.3">
      <c r="A1268" s="28">
        <v>3.1753899718402323</v>
      </c>
      <c r="B1268" s="27">
        <v>0</v>
      </c>
      <c r="C1268" s="27">
        <v>15.7</v>
      </c>
      <c r="E1268" s="18"/>
    </row>
    <row r="1269" spans="1:5" ht="16.5" thickTop="1" thickBot="1" x14ac:dyDescent="0.3">
      <c r="A1269" s="28">
        <v>9.1470595487163422</v>
      </c>
      <c r="B1269" s="27">
        <v>0</v>
      </c>
      <c r="C1269" s="27">
        <v>15.7</v>
      </c>
      <c r="E1269" s="18"/>
    </row>
    <row r="1270" spans="1:5" ht="16.5" thickTop="1" thickBot="1" x14ac:dyDescent="0.3">
      <c r="A1270" s="28">
        <v>4.8043339614493652</v>
      </c>
      <c r="B1270" s="27">
        <v>0</v>
      </c>
      <c r="C1270" s="27">
        <v>15.7</v>
      </c>
      <c r="E1270" s="18"/>
    </row>
    <row r="1271" spans="1:5" ht="16.5" thickTop="1" thickBot="1" x14ac:dyDescent="0.3">
      <c r="A1271" s="28">
        <v>2.2238110351644957</v>
      </c>
      <c r="B1271" s="27">
        <v>0</v>
      </c>
      <c r="C1271" s="27">
        <v>15.7</v>
      </c>
      <c r="E1271" s="18"/>
    </row>
    <row r="1272" spans="1:5" ht="16.5" thickTop="1" thickBot="1" x14ac:dyDescent="0.3">
      <c r="A1272" s="28">
        <v>6.5165389197312367</v>
      </c>
      <c r="B1272" s="27">
        <v>0</v>
      </c>
      <c r="C1272" s="27">
        <v>15.7</v>
      </c>
      <c r="E1272" s="18"/>
    </row>
    <row r="1273" spans="1:5" ht="16.5" thickTop="1" thickBot="1" x14ac:dyDescent="0.3">
      <c r="A1273" s="28">
        <v>7.296861478501472</v>
      </c>
      <c r="B1273" s="27">
        <v>0</v>
      </c>
      <c r="C1273" s="27">
        <v>15.7</v>
      </c>
      <c r="E1273" s="18"/>
    </row>
    <row r="1274" spans="1:5" ht="16.5" thickTop="1" thickBot="1" x14ac:dyDescent="0.3">
      <c r="A1274" s="28">
        <v>6.636744380065025</v>
      </c>
      <c r="B1274" s="27">
        <v>0</v>
      </c>
      <c r="C1274" s="27">
        <v>15.7</v>
      </c>
      <c r="E1274" s="18"/>
    </row>
    <row r="1275" spans="1:5" ht="16.5" thickTop="1" thickBot="1" x14ac:dyDescent="0.3">
      <c r="A1275" s="28">
        <v>1.7207594498417751</v>
      </c>
      <c r="B1275" s="27">
        <v>0</v>
      </c>
      <c r="C1275" s="27">
        <v>15.7</v>
      </c>
      <c r="E1275" s="18"/>
    </row>
    <row r="1276" spans="1:5" ht="16.5" thickTop="1" thickBot="1" x14ac:dyDescent="0.3">
      <c r="A1276" s="28">
        <v>4.8561073615405537</v>
      </c>
      <c r="B1276" s="27">
        <v>0</v>
      </c>
      <c r="C1276" s="27">
        <v>15.7</v>
      </c>
      <c r="E1276" s="18"/>
    </row>
    <row r="1277" spans="1:5" ht="16.5" thickTop="1" thickBot="1" x14ac:dyDescent="0.3">
      <c r="A1277" s="28">
        <v>3.0015677477479441</v>
      </c>
      <c r="B1277" s="27">
        <v>0</v>
      </c>
      <c r="C1277" s="27">
        <v>15.7</v>
      </c>
      <c r="E1277" s="18"/>
    </row>
    <row r="1278" spans="1:5" ht="16.5" thickTop="1" thickBot="1" x14ac:dyDescent="0.3">
      <c r="A1278" s="28">
        <v>4.4019394554294609</v>
      </c>
      <c r="B1278" s="27">
        <v>0</v>
      </c>
      <c r="C1278" s="27">
        <v>15.7</v>
      </c>
      <c r="E1278" s="18"/>
    </row>
    <row r="1279" spans="1:5" ht="16.5" thickTop="1" thickBot="1" x14ac:dyDescent="0.3">
      <c r="A1279" s="28">
        <v>11.532837177250325</v>
      </c>
      <c r="B1279" s="27">
        <v>0</v>
      </c>
      <c r="C1279" s="27">
        <v>15.7</v>
      </c>
      <c r="E1279" s="18"/>
    </row>
    <row r="1280" spans="1:5" ht="16.5" thickTop="1" thickBot="1" x14ac:dyDescent="0.3">
      <c r="A1280" s="28">
        <v>0.27875740311409714</v>
      </c>
      <c r="B1280" s="27">
        <v>0</v>
      </c>
      <c r="C1280" s="27">
        <v>24.8</v>
      </c>
      <c r="E1280" s="18"/>
    </row>
    <row r="1281" spans="1:5" ht="16.5" thickTop="1" thickBot="1" x14ac:dyDescent="0.3">
      <c r="A1281" s="28">
        <v>8.5641819099960941</v>
      </c>
      <c r="B1281" s="27">
        <v>0</v>
      </c>
      <c r="C1281" s="27">
        <v>24.8</v>
      </c>
      <c r="E1281" s="18"/>
    </row>
    <row r="1282" spans="1:5" ht="16.5" thickTop="1" thickBot="1" x14ac:dyDescent="0.3">
      <c r="A1282" s="28">
        <v>5.2600665839765259</v>
      </c>
      <c r="B1282" s="27">
        <v>0</v>
      </c>
      <c r="C1282" s="27">
        <v>24.8</v>
      </c>
      <c r="E1282" s="18"/>
    </row>
    <row r="1283" spans="1:5" ht="16.5" thickTop="1" thickBot="1" x14ac:dyDescent="0.3">
      <c r="A1283" s="28">
        <v>10.907332936469317</v>
      </c>
      <c r="B1283" s="27">
        <v>0</v>
      </c>
      <c r="C1283" s="27">
        <v>24.8</v>
      </c>
      <c r="E1283" s="18"/>
    </row>
    <row r="1284" spans="1:5" ht="16.5" thickTop="1" thickBot="1" x14ac:dyDescent="0.3">
      <c r="A1284" s="28">
        <v>5.9302125175884468</v>
      </c>
      <c r="B1284" s="27">
        <v>0</v>
      </c>
      <c r="C1284" s="27">
        <v>24.8</v>
      </c>
      <c r="E1284" s="18"/>
    </row>
    <row r="1285" spans="1:5" ht="16.5" thickTop="1" thickBot="1" x14ac:dyDescent="0.3">
      <c r="A1285" s="28">
        <v>3.7306687722057297</v>
      </c>
      <c r="B1285" s="27">
        <v>0</v>
      </c>
      <c r="C1285" s="27">
        <v>24.8</v>
      </c>
      <c r="E1285" s="18"/>
    </row>
    <row r="1286" spans="1:5" ht="16.5" thickTop="1" thickBot="1" x14ac:dyDescent="0.3">
      <c r="A1286" s="28">
        <v>5.9994340683316345</v>
      </c>
      <c r="B1286" s="27">
        <v>0</v>
      </c>
      <c r="C1286" s="27">
        <v>24.8</v>
      </c>
      <c r="E1286" s="18"/>
    </row>
    <row r="1287" spans="1:5" ht="16.5" thickTop="1" thickBot="1" x14ac:dyDescent="0.3">
      <c r="A1287" s="28">
        <v>5.5214589873607878</v>
      </c>
      <c r="B1287" s="27">
        <v>0</v>
      </c>
      <c r="C1287" s="27">
        <v>24.8</v>
      </c>
      <c r="E1287" s="18"/>
    </row>
    <row r="1288" spans="1:5" ht="16.5" thickTop="1" thickBot="1" x14ac:dyDescent="0.3">
      <c r="A1288" s="28">
        <v>2.1594370742142273</v>
      </c>
      <c r="B1288" s="27">
        <v>0</v>
      </c>
      <c r="C1288" s="27">
        <v>24.8</v>
      </c>
      <c r="E1288" s="18"/>
    </row>
    <row r="1289" spans="1:5" ht="16.5" thickTop="1" thickBot="1" x14ac:dyDescent="0.3">
      <c r="A1289" s="28">
        <v>4.0536295362247809</v>
      </c>
      <c r="B1289" s="27">
        <v>0</v>
      </c>
      <c r="C1289" s="27">
        <v>24.8</v>
      </c>
      <c r="E1289" s="18"/>
    </row>
    <row r="1290" spans="1:5" ht="16.5" thickTop="1" thickBot="1" x14ac:dyDescent="0.3">
      <c r="A1290" s="28">
        <v>3.1529705240292225</v>
      </c>
      <c r="B1290" s="27">
        <v>0</v>
      </c>
      <c r="C1290" s="27">
        <v>24.8</v>
      </c>
      <c r="E1290" s="18"/>
    </row>
    <row r="1291" spans="1:5" ht="16.5" thickTop="1" thickBot="1" x14ac:dyDescent="0.3">
      <c r="A1291" s="28">
        <v>9.1657230878288534</v>
      </c>
      <c r="B1291" s="27">
        <v>0</v>
      </c>
      <c r="C1291" s="27">
        <v>24.8</v>
      </c>
      <c r="E1291" s="18"/>
    </row>
    <row r="1292" spans="1:5" ht="16.5" thickTop="1" thickBot="1" x14ac:dyDescent="0.3">
      <c r="A1292" s="28">
        <v>4.6264533496948017</v>
      </c>
      <c r="B1292" s="27">
        <v>0</v>
      </c>
      <c r="C1292" s="27">
        <v>24.8</v>
      </c>
      <c r="E1292" s="18"/>
    </row>
    <row r="1293" spans="1:5" ht="16.5" thickTop="1" thickBot="1" x14ac:dyDescent="0.3">
      <c r="A1293" s="28">
        <v>2.2667427669584654</v>
      </c>
      <c r="B1293" s="27">
        <v>0</v>
      </c>
      <c r="C1293" s="27">
        <v>24.8</v>
      </c>
      <c r="E1293" s="18"/>
    </row>
    <row r="1294" spans="1:5" ht="16.5" thickTop="1" thickBot="1" x14ac:dyDescent="0.3">
      <c r="A1294" s="28">
        <v>1.9505609866618951</v>
      </c>
      <c r="B1294" s="27">
        <v>0</v>
      </c>
      <c r="C1294" s="27">
        <v>24.8</v>
      </c>
      <c r="E1294" s="18"/>
    </row>
    <row r="1295" spans="1:5" ht="16.5" thickTop="1" thickBot="1" x14ac:dyDescent="0.3">
      <c r="A1295" s="28">
        <v>5.2442647304340291</v>
      </c>
      <c r="B1295" s="27">
        <v>0</v>
      </c>
      <c r="C1295" s="27">
        <v>24.8</v>
      </c>
      <c r="E1295" s="18"/>
    </row>
    <row r="1296" spans="1:5" ht="16.5" thickTop="1" thickBot="1" x14ac:dyDescent="0.3">
      <c r="A1296" s="28">
        <v>3.7690768259309433</v>
      </c>
      <c r="B1296" s="27">
        <v>0</v>
      </c>
      <c r="C1296" s="27">
        <v>12.3</v>
      </c>
      <c r="E1296" s="18"/>
    </row>
    <row r="1297" spans="1:5" ht="16.5" thickTop="1" thickBot="1" x14ac:dyDescent="0.3">
      <c r="A1297" s="28">
        <v>5.6095813387311608</v>
      </c>
      <c r="B1297" s="27">
        <v>0</v>
      </c>
      <c r="C1297" s="27">
        <v>12.3</v>
      </c>
      <c r="E1297" s="18"/>
    </row>
    <row r="1298" spans="1:5" ht="16.5" thickTop="1" thickBot="1" x14ac:dyDescent="0.3">
      <c r="A1298" s="28">
        <v>6.8603093608670562E-2</v>
      </c>
      <c r="B1298" s="27">
        <v>0</v>
      </c>
      <c r="C1298" s="27">
        <v>12.3</v>
      </c>
      <c r="E1298" s="18"/>
    </row>
    <row r="1299" spans="1:5" ht="16.5" thickTop="1" thickBot="1" x14ac:dyDescent="0.3">
      <c r="A1299" s="28">
        <v>0.37633971108920816</v>
      </c>
      <c r="B1299" s="27">
        <v>0</v>
      </c>
      <c r="C1299" s="27">
        <v>12.3</v>
      </c>
      <c r="E1299" s="18"/>
    </row>
    <row r="1300" spans="1:5" ht="16.5" thickTop="1" thickBot="1" x14ac:dyDescent="0.3">
      <c r="A1300" s="28">
        <v>3.9585028847983312</v>
      </c>
      <c r="B1300" s="27">
        <v>0</v>
      </c>
      <c r="C1300" s="27">
        <v>12.3</v>
      </c>
      <c r="E1300" s="18"/>
    </row>
    <row r="1301" spans="1:5" ht="16.5" thickTop="1" thickBot="1" x14ac:dyDescent="0.3">
      <c r="A1301" s="28">
        <v>7.6700667669857445</v>
      </c>
      <c r="B1301" s="27">
        <v>0</v>
      </c>
      <c r="C1301" s="27">
        <v>12.3</v>
      </c>
      <c r="E1301" s="18"/>
    </row>
    <row r="1302" spans="1:5" ht="16.5" thickTop="1" thickBot="1" x14ac:dyDescent="0.3">
      <c r="A1302" s="28">
        <v>3.2275696676873546</v>
      </c>
      <c r="B1302" s="27">
        <v>0</v>
      </c>
      <c r="C1302" s="27">
        <v>12.3</v>
      </c>
      <c r="E1302" s="18"/>
    </row>
    <row r="1303" spans="1:5" ht="16.5" thickTop="1" thickBot="1" x14ac:dyDescent="0.3">
      <c r="A1303" s="28">
        <v>4.0134990599856826</v>
      </c>
      <c r="B1303" s="27">
        <v>0</v>
      </c>
      <c r="C1303" s="27">
        <v>12.3</v>
      </c>
      <c r="E1303" s="18"/>
    </row>
    <row r="1304" spans="1:5" ht="16.5" thickTop="1" thickBot="1" x14ac:dyDescent="0.3">
      <c r="A1304" s="28">
        <v>3.4682274757868643</v>
      </c>
      <c r="B1304" s="27">
        <v>0</v>
      </c>
      <c r="C1304" s="27">
        <v>12.3</v>
      </c>
      <c r="E1304" s="18"/>
    </row>
    <row r="1305" spans="1:5" ht="16.5" thickTop="1" thickBot="1" x14ac:dyDescent="0.3">
      <c r="A1305" s="28">
        <v>10.936085869449442</v>
      </c>
      <c r="B1305" s="27">
        <v>0</v>
      </c>
      <c r="C1305" s="27">
        <v>12.3</v>
      </c>
      <c r="E1305" s="18"/>
    </row>
    <row r="1306" spans="1:5" ht="16.5" thickTop="1" thickBot="1" x14ac:dyDescent="0.3">
      <c r="A1306" s="28">
        <v>5.1189305398784679</v>
      </c>
      <c r="B1306" s="27">
        <v>0</v>
      </c>
      <c r="C1306" s="27">
        <v>12.3</v>
      </c>
      <c r="E1306" s="18"/>
    </row>
    <row r="1307" spans="1:5" ht="16.5" thickTop="1" thickBot="1" x14ac:dyDescent="0.3">
      <c r="A1307" s="28">
        <v>8.3848919820551941</v>
      </c>
      <c r="B1307" s="27">
        <v>0</v>
      </c>
      <c r="C1307" s="27">
        <v>12.3</v>
      </c>
      <c r="E1307" s="18"/>
    </row>
    <row r="1308" spans="1:5" ht="16.5" thickTop="1" thickBot="1" x14ac:dyDescent="0.3">
      <c r="A1308" s="28">
        <v>6.0530862436822748</v>
      </c>
      <c r="B1308" s="27">
        <v>0</v>
      </c>
      <c r="C1308" s="27">
        <v>12.3</v>
      </c>
      <c r="E1308" s="18"/>
    </row>
    <row r="1309" spans="1:5" ht="16.5" thickTop="1" thickBot="1" x14ac:dyDescent="0.3">
      <c r="A1309" s="28">
        <v>3.4118306662718525</v>
      </c>
      <c r="B1309" s="27">
        <v>0</v>
      </c>
      <c r="C1309" s="27">
        <v>12.3</v>
      </c>
      <c r="E1309" s="18"/>
    </row>
    <row r="1310" spans="1:5" ht="16.5" thickTop="1" thickBot="1" x14ac:dyDescent="0.3">
      <c r="A1310" s="28">
        <v>0.4756393598707549</v>
      </c>
      <c r="B1310" s="27">
        <v>0</v>
      </c>
      <c r="C1310" s="27">
        <v>12.3</v>
      </c>
      <c r="E1310" s="18"/>
    </row>
    <row r="1311" spans="1:5" ht="16.5" thickTop="1" thickBot="1" x14ac:dyDescent="0.3">
      <c r="A1311" s="28">
        <v>0.62033063836003732</v>
      </c>
      <c r="B1311" s="27">
        <v>0</v>
      </c>
      <c r="C1311" s="27">
        <v>12.3</v>
      </c>
      <c r="E1311" s="18"/>
    </row>
    <row r="1312" spans="1:5" ht="16.5" thickTop="1" thickBot="1" x14ac:dyDescent="0.3">
      <c r="A1312" s="28">
        <v>5.6432784513594392</v>
      </c>
      <c r="B1312" s="27">
        <v>0</v>
      </c>
      <c r="C1312" s="27">
        <v>12.3</v>
      </c>
      <c r="E1312" s="18"/>
    </row>
    <row r="1313" spans="1:5" ht="16.5" thickTop="1" thickBot="1" x14ac:dyDescent="0.3">
      <c r="A1313" s="28">
        <v>5.2817447706205467</v>
      </c>
      <c r="B1313" s="27">
        <v>0</v>
      </c>
      <c r="C1313" s="27">
        <v>8.3000000000000007</v>
      </c>
      <c r="E1313" s="18"/>
    </row>
    <row r="1314" spans="1:5" ht="16.5" thickTop="1" thickBot="1" x14ac:dyDescent="0.3">
      <c r="A1314" s="28">
        <v>6.6978124998236535</v>
      </c>
      <c r="B1314" s="27">
        <v>0</v>
      </c>
      <c r="C1314" s="27">
        <v>8.3000000000000007</v>
      </c>
      <c r="E1314" s="18"/>
    </row>
    <row r="1315" spans="1:5" ht="16.5" thickTop="1" thickBot="1" x14ac:dyDescent="0.3">
      <c r="A1315" s="28">
        <v>2.646479995834838</v>
      </c>
      <c r="B1315" s="27">
        <v>0</v>
      </c>
      <c r="C1315" s="27">
        <v>8.3000000000000007</v>
      </c>
      <c r="E1315" s="18"/>
    </row>
    <row r="1316" spans="1:5" ht="16.5" thickTop="1" thickBot="1" x14ac:dyDescent="0.3">
      <c r="A1316" s="28">
        <v>0.12159746574395769</v>
      </c>
      <c r="B1316" s="27">
        <v>0</v>
      </c>
      <c r="C1316" s="27">
        <v>8.3000000000000007</v>
      </c>
      <c r="E1316" s="18"/>
    </row>
    <row r="1317" spans="1:5" ht="16.5" thickTop="1" thickBot="1" x14ac:dyDescent="0.3">
      <c r="A1317" s="28">
        <v>5.1697341584126866</v>
      </c>
      <c r="B1317" s="27">
        <v>0</v>
      </c>
      <c r="C1317" s="27">
        <v>8.3000000000000007</v>
      </c>
      <c r="E1317" s="18"/>
    </row>
    <row r="1318" spans="1:5" ht="16.5" thickTop="1" thickBot="1" x14ac:dyDescent="0.3">
      <c r="A1318" s="28">
        <v>6.1567045150438426</v>
      </c>
      <c r="B1318" s="27">
        <v>0</v>
      </c>
      <c r="C1318" s="27">
        <v>8.3000000000000007</v>
      </c>
      <c r="E1318" s="18"/>
    </row>
    <row r="1319" spans="1:5" ht="16.5" thickTop="1" thickBot="1" x14ac:dyDescent="0.3">
      <c r="A1319" s="28">
        <v>1.6783800912381772</v>
      </c>
      <c r="B1319" s="27">
        <v>0</v>
      </c>
      <c r="C1319" s="27">
        <v>8.3000000000000007</v>
      </c>
      <c r="E1319" s="18"/>
    </row>
    <row r="1320" spans="1:5" ht="16.5" thickTop="1" thickBot="1" x14ac:dyDescent="0.3">
      <c r="A1320" s="28">
        <v>3.2651722491779558</v>
      </c>
      <c r="B1320" s="27">
        <v>0</v>
      </c>
      <c r="C1320" s="27">
        <v>8.3000000000000007</v>
      </c>
      <c r="E1320" s="18"/>
    </row>
    <row r="1321" spans="1:5" ht="16.5" thickTop="1" thickBot="1" x14ac:dyDescent="0.3">
      <c r="A1321" s="28">
        <v>2.0281591685921656</v>
      </c>
      <c r="B1321" s="27">
        <v>0</v>
      </c>
      <c r="C1321" s="27">
        <v>8.3000000000000007</v>
      </c>
      <c r="E1321" s="18"/>
    </row>
    <row r="1322" spans="1:5" ht="16.5" thickTop="1" thickBot="1" x14ac:dyDescent="0.3">
      <c r="A1322" s="28">
        <v>3.1933930568816939</v>
      </c>
      <c r="B1322" s="27">
        <v>0</v>
      </c>
      <c r="C1322" s="27">
        <v>8.3000000000000007</v>
      </c>
      <c r="E1322" s="18"/>
    </row>
    <row r="1323" spans="1:5" ht="16.5" thickTop="1" thickBot="1" x14ac:dyDescent="0.3">
      <c r="A1323" s="28">
        <v>3.6373225215155909</v>
      </c>
      <c r="B1323" s="27">
        <v>0</v>
      </c>
      <c r="C1323" s="27">
        <v>8.3000000000000007</v>
      </c>
      <c r="E1323" s="18"/>
    </row>
    <row r="1324" spans="1:5" ht="16.5" thickTop="1" thickBot="1" x14ac:dyDescent="0.3">
      <c r="A1324" s="28">
        <v>5.2057144138514495</v>
      </c>
      <c r="B1324" s="27">
        <v>0</v>
      </c>
      <c r="C1324" s="27">
        <v>8.3000000000000007</v>
      </c>
      <c r="E1324" s="18"/>
    </row>
    <row r="1325" spans="1:5" ht="16.5" thickTop="1" thickBot="1" x14ac:dyDescent="0.3">
      <c r="A1325" s="28">
        <v>1.5368951345579607</v>
      </c>
      <c r="B1325" s="27">
        <v>0</v>
      </c>
      <c r="C1325" s="27">
        <v>8.3000000000000007</v>
      </c>
      <c r="E1325" s="18"/>
    </row>
    <row r="1326" spans="1:5" ht="16.5" thickTop="1" thickBot="1" x14ac:dyDescent="0.3">
      <c r="A1326" s="28">
        <v>4.6029831094782558</v>
      </c>
      <c r="B1326" s="27">
        <v>0</v>
      </c>
      <c r="C1326" s="27">
        <v>8.3000000000000007</v>
      </c>
      <c r="E1326" s="18"/>
    </row>
    <row r="1327" spans="1:5" ht="16.5" thickTop="1" thickBot="1" x14ac:dyDescent="0.3">
      <c r="A1327" s="28">
        <v>2.8947578082466712</v>
      </c>
      <c r="B1327" s="27">
        <v>0</v>
      </c>
      <c r="C1327" s="27">
        <v>8.3000000000000007</v>
      </c>
      <c r="E1327" s="18"/>
    </row>
    <row r="1328" spans="1:5" ht="16.5" thickTop="1" thickBot="1" x14ac:dyDescent="0.3">
      <c r="A1328" s="28">
        <v>6.0841674899540168</v>
      </c>
      <c r="B1328" s="27">
        <v>0</v>
      </c>
      <c r="C1328" s="27">
        <v>8.3000000000000007</v>
      </c>
      <c r="E1328" s="18"/>
    </row>
    <row r="1329" spans="1:5" ht="16.5" thickTop="1" thickBot="1" x14ac:dyDescent="0.3">
      <c r="A1329" s="28">
        <v>9.7926557655583064</v>
      </c>
      <c r="B1329" s="27">
        <v>0</v>
      </c>
      <c r="C1329" s="27">
        <v>16</v>
      </c>
      <c r="E1329" s="18"/>
    </row>
    <row r="1330" spans="1:5" ht="16.5" thickTop="1" thickBot="1" x14ac:dyDescent="0.3">
      <c r="A1330" s="28">
        <v>2.3202457047690257</v>
      </c>
      <c r="B1330" s="27">
        <v>0</v>
      </c>
      <c r="C1330" s="27">
        <v>16</v>
      </c>
      <c r="E1330" s="18"/>
    </row>
    <row r="1331" spans="1:5" ht="16.5" thickTop="1" thickBot="1" x14ac:dyDescent="0.3">
      <c r="A1331" s="28">
        <v>10.021692931665044</v>
      </c>
      <c r="B1331" s="27">
        <v>0</v>
      </c>
      <c r="C1331" s="27">
        <v>16</v>
      </c>
      <c r="E1331" s="18"/>
    </row>
    <row r="1332" spans="1:5" ht="16.5" thickTop="1" thickBot="1" x14ac:dyDescent="0.3">
      <c r="A1332" s="28">
        <v>0.88918677064876761</v>
      </c>
      <c r="B1332" s="27">
        <v>0</v>
      </c>
      <c r="C1332" s="27">
        <v>16</v>
      </c>
      <c r="E1332" s="18"/>
    </row>
    <row r="1333" spans="1:5" ht="16.5" thickTop="1" thickBot="1" x14ac:dyDescent="0.3">
      <c r="A1333" s="28">
        <v>6.0033961998276455</v>
      </c>
      <c r="B1333" s="27">
        <v>0</v>
      </c>
      <c r="C1333" s="27">
        <v>16</v>
      </c>
      <c r="E1333" s="18"/>
    </row>
    <row r="1334" spans="1:5" ht="16.5" thickTop="1" thickBot="1" x14ac:dyDescent="0.3">
      <c r="A1334" s="28">
        <v>5.8434692322463215</v>
      </c>
      <c r="B1334" s="27">
        <v>0</v>
      </c>
      <c r="C1334" s="27">
        <v>16</v>
      </c>
      <c r="E1334" s="18"/>
    </row>
    <row r="1335" spans="1:5" ht="16.5" thickTop="1" thickBot="1" x14ac:dyDescent="0.3">
      <c r="A1335" s="28">
        <v>4.6152993997732139</v>
      </c>
      <c r="B1335" s="27">
        <v>0</v>
      </c>
      <c r="C1335" s="27">
        <v>16</v>
      </c>
      <c r="E1335" s="18"/>
    </row>
    <row r="1336" spans="1:5" ht="16.5" thickTop="1" thickBot="1" x14ac:dyDescent="0.3">
      <c r="A1336" s="28">
        <v>0.66800299096104787</v>
      </c>
      <c r="B1336" s="27">
        <v>0</v>
      </c>
      <c r="C1336" s="27">
        <v>16</v>
      </c>
      <c r="E1336" s="18"/>
    </row>
    <row r="1337" spans="1:5" ht="16.5" thickTop="1" thickBot="1" x14ac:dyDescent="0.3">
      <c r="A1337" s="28">
        <v>10.026839845538014</v>
      </c>
      <c r="B1337" s="27">
        <v>0</v>
      </c>
      <c r="C1337" s="27">
        <v>16</v>
      </c>
      <c r="E1337" s="18"/>
    </row>
    <row r="1338" spans="1:5" ht="16.5" thickTop="1" thickBot="1" x14ac:dyDescent="0.3">
      <c r="A1338" s="28">
        <v>5.9544265255127478</v>
      </c>
      <c r="B1338" s="27">
        <v>0</v>
      </c>
      <c r="C1338" s="27">
        <v>16</v>
      </c>
      <c r="E1338" s="18"/>
    </row>
    <row r="1339" spans="1:5" ht="16.5" thickTop="1" thickBot="1" x14ac:dyDescent="0.3">
      <c r="A1339" s="28">
        <v>10.83074911988628</v>
      </c>
      <c r="B1339" s="27">
        <v>0</v>
      </c>
      <c r="C1339" s="27">
        <v>16</v>
      </c>
      <c r="E1339" s="18"/>
    </row>
    <row r="1340" spans="1:5" ht="16.5" thickTop="1" thickBot="1" x14ac:dyDescent="0.3">
      <c r="A1340" s="28">
        <v>6.4745319164388011</v>
      </c>
      <c r="B1340" s="27">
        <v>0</v>
      </c>
      <c r="C1340" s="27">
        <v>16</v>
      </c>
      <c r="E1340" s="18"/>
    </row>
    <row r="1341" spans="1:5" ht="16.5" thickTop="1" thickBot="1" x14ac:dyDescent="0.3">
      <c r="A1341" s="28">
        <v>4.8936725857787682</v>
      </c>
      <c r="B1341" s="27">
        <v>0</v>
      </c>
      <c r="C1341" s="27">
        <v>16</v>
      </c>
      <c r="E1341" s="18"/>
    </row>
    <row r="1342" spans="1:5" ht="16.5" thickTop="1" thickBot="1" x14ac:dyDescent="0.3">
      <c r="A1342" s="28">
        <v>5.4429965647963927</v>
      </c>
      <c r="B1342" s="27">
        <v>0</v>
      </c>
      <c r="C1342" s="27">
        <v>16</v>
      </c>
      <c r="E1342" s="18"/>
    </row>
    <row r="1343" spans="1:5" ht="16.5" thickTop="1" thickBot="1" x14ac:dyDescent="0.3">
      <c r="A1343" s="28">
        <v>7.5899339773727981</v>
      </c>
      <c r="B1343" s="27">
        <v>0</v>
      </c>
      <c r="C1343" s="27">
        <v>16</v>
      </c>
      <c r="E1343" s="18"/>
    </row>
    <row r="1344" spans="1:5" ht="16.5" thickTop="1" thickBot="1" x14ac:dyDescent="0.3">
      <c r="A1344" s="28">
        <v>6.4875609761300428</v>
      </c>
      <c r="B1344" s="27">
        <v>0</v>
      </c>
      <c r="C1344" s="27">
        <v>16</v>
      </c>
      <c r="E1344" s="18"/>
    </row>
    <row r="1345" spans="1:5" ht="16.5" thickTop="1" thickBot="1" x14ac:dyDescent="0.3">
      <c r="A1345" s="28">
        <v>11.80937707621035</v>
      </c>
      <c r="B1345" s="27">
        <v>0</v>
      </c>
      <c r="C1345" s="27">
        <v>16</v>
      </c>
      <c r="E1345" s="18"/>
    </row>
    <row r="1346" spans="1:5" ht="16.5" thickTop="1" thickBot="1" x14ac:dyDescent="0.3">
      <c r="A1346" s="28">
        <v>3.6068707803324735</v>
      </c>
      <c r="B1346" s="27">
        <v>0</v>
      </c>
      <c r="C1346" s="27">
        <v>23.2</v>
      </c>
      <c r="E1346" s="18"/>
    </row>
    <row r="1347" spans="1:5" ht="16.5" thickTop="1" thickBot="1" x14ac:dyDescent="0.3">
      <c r="A1347" s="28">
        <v>7.1455459459646402</v>
      </c>
      <c r="B1347" s="27">
        <v>0</v>
      </c>
      <c r="C1347" s="27">
        <v>23.2</v>
      </c>
      <c r="E1347" s="18"/>
    </row>
    <row r="1348" spans="1:5" ht="16.5" thickTop="1" thickBot="1" x14ac:dyDescent="0.3">
      <c r="A1348" s="28">
        <v>4.7380210497843427</v>
      </c>
      <c r="B1348" s="27">
        <v>0</v>
      </c>
      <c r="C1348" s="27">
        <v>23.2</v>
      </c>
      <c r="E1348" s="18"/>
    </row>
    <row r="1349" spans="1:5" ht="16.5" thickTop="1" thickBot="1" x14ac:dyDescent="0.3">
      <c r="A1349" s="28">
        <v>5.586424448662175</v>
      </c>
      <c r="B1349" s="27">
        <v>0</v>
      </c>
      <c r="C1349" s="27">
        <v>23.2</v>
      </c>
      <c r="E1349" s="18"/>
    </row>
    <row r="1350" spans="1:5" ht="16.5" thickTop="1" thickBot="1" x14ac:dyDescent="0.3">
      <c r="A1350" s="28">
        <v>4.1510455030805691</v>
      </c>
      <c r="B1350" s="27">
        <v>0</v>
      </c>
      <c r="C1350" s="27">
        <v>23.2</v>
      </c>
      <c r="E1350" s="18"/>
    </row>
    <row r="1351" spans="1:5" ht="16.5" thickTop="1" thickBot="1" x14ac:dyDescent="0.3">
      <c r="A1351" s="28">
        <v>5.8932697693592564</v>
      </c>
      <c r="B1351" s="27">
        <v>0</v>
      </c>
      <c r="C1351" s="27">
        <v>23.2</v>
      </c>
      <c r="E1351" s="18"/>
    </row>
    <row r="1352" spans="1:5" ht="16.5" thickTop="1" thickBot="1" x14ac:dyDescent="0.3">
      <c r="A1352" s="28">
        <v>2.0076854075055559</v>
      </c>
      <c r="B1352" s="27">
        <v>0</v>
      </c>
      <c r="C1352" s="27">
        <v>23.2</v>
      </c>
      <c r="E1352" s="18"/>
    </row>
    <row r="1353" spans="1:5" ht="16.5" thickTop="1" thickBot="1" x14ac:dyDescent="0.3">
      <c r="A1353" s="28">
        <v>9.2298471165870186</v>
      </c>
      <c r="B1353" s="27">
        <v>0</v>
      </c>
      <c r="C1353" s="27">
        <v>23.2</v>
      </c>
      <c r="E1353" s="18"/>
    </row>
    <row r="1354" spans="1:5" ht="16.5" thickTop="1" thickBot="1" x14ac:dyDescent="0.3">
      <c r="A1354" s="28">
        <v>3.4674905016488564</v>
      </c>
      <c r="B1354" s="27">
        <v>0</v>
      </c>
      <c r="C1354" s="27">
        <v>23.2</v>
      </c>
      <c r="E1354" s="18"/>
    </row>
    <row r="1355" spans="1:5" ht="16.5" thickTop="1" thickBot="1" x14ac:dyDescent="0.3">
      <c r="A1355" s="28">
        <v>8.9411698182614714</v>
      </c>
      <c r="B1355" s="27">
        <v>0</v>
      </c>
      <c r="C1355" s="27">
        <v>23.2</v>
      </c>
      <c r="E1355" s="18"/>
    </row>
    <row r="1356" spans="1:5" ht="16.5" thickTop="1" thickBot="1" x14ac:dyDescent="0.3">
      <c r="A1356" s="28">
        <v>4.5645590187670155</v>
      </c>
      <c r="B1356" s="27">
        <v>0</v>
      </c>
      <c r="C1356" s="27">
        <v>23.2</v>
      </c>
      <c r="E1356" s="18"/>
    </row>
    <row r="1357" spans="1:5" ht="16.5" thickTop="1" thickBot="1" x14ac:dyDescent="0.3">
      <c r="A1357" s="28">
        <v>6.1084131885478783</v>
      </c>
      <c r="B1357" s="27">
        <v>0</v>
      </c>
      <c r="C1357" s="27">
        <v>23.2</v>
      </c>
      <c r="E1357" s="18"/>
    </row>
    <row r="1358" spans="1:5" ht="16.5" thickTop="1" thickBot="1" x14ac:dyDescent="0.3">
      <c r="A1358" s="28">
        <v>3.0460954113219412</v>
      </c>
      <c r="B1358" s="27">
        <v>0</v>
      </c>
      <c r="C1358" s="27">
        <v>23.2</v>
      </c>
      <c r="E1358" s="18"/>
    </row>
    <row r="1359" spans="1:5" ht="16.5" thickTop="1" thickBot="1" x14ac:dyDescent="0.3">
      <c r="A1359" s="28">
        <v>1.5048737457869579</v>
      </c>
      <c r="B1359" s="27">
        <v>0</v>
      </c>
      <c r="C1359" s="27">
        <v>23.2</v>
      </c>
      <c r="E1359" s="18"/>
    </row>
    <row r="1360" spans="1:5" ht="16.5" thickTop="1" thickBot="1" x14ac:dyDescent="0.3">
      <c r="A1360" s="28">
        <v>4.6214444645588761</v>
      </c>
      <c r="B1360" s="27">
        <v>0</v>
      </c>
      <c r="C1360" s="27">
        <v>23.2</v>
      </c>
      <c r="E1360" s="18"/>
    </row>
    <row r="1361" spans="1:5" ht="16.5" thickTop="1" thickBot="1" x14ac:dyDescent="0.3">
      <c r="A1361" s="28">
        <v>10.320152058318374</v>
      </c>
      <c r="B1361" s="27">
        <v>0</v>
      </c>
      <c r="C1361" s="27">
        <v>23.2</v>
      </c>
      <c r="E1361" s="18"/>
    </row>
    <row r="1362" spans="1:5" ht="16.5" thickTop="1" thickBot="1" x14ac:dyDescent="0.3">
      <c r="A1362" s="28">
        <v>6.4758801619139561</v>
      </c>
      <c r="B1362" s="27">
        <v>0</v>
      </c>
      <c r="C1362" s="27">
        <v>13.1</v>
      </c>
      <c r="E1362" s="18"/>
    </row>
    <row r="1363" spans="1:5" ht="16.5" thickTop="1" thickBot="1" x14ac:dyDescent="0.3">
      <c r="A1363" s="28">
        <v>4.5180514374712715</v>
      </c>
      <c r="B1363" s="27">
        <v>0</v>
      </c>
      <c r="C1363" s="27">
        <v>13.1</v>
      </c>
      <c r="E1363" s="18"/>
    </row>
    <row r="1364" spans="1:5" ht="16.5" thickTop="1" thickBot="1" x14ac:dyDescent="0.3">
      <c r="A1364" s="28">
        <v>1.044023646472847</v>
      </c>
      <c r="B1364" s="27">
        <v>0</v>
      </c>
      <c r="C1364" s="27">
        <v>13.1</v>
      </c>
      <c r="E1364" s="18"/>
    </row>
    <row r="1365" spans="1:5" ht="16.5" thickTop="1" thickBot="1" x14ac:dyDescent="0.3">
      <c r="A1365" s="28">
        <v>3.8094497541842793</v>
      </c>
      <c r="B1365" s="27">
        <v>0</v>
      </c>
      <c r="C1365" s="27">
        <v>13.1</v>
      </c>
      <c r="E1365" s="18"/>
    </row>
    <row r="1366" spans="1:5" ht="16.5" thickTop="1" thickBot="1" x14ac:dyDescent="0.3">
      <c r="A1366" s="28">
        <v>1.2146043452888171</v>
      </c>
      <c r="B1366" s="27">
        <v>0</v>
      </c>
      <c r="C1366" s="27">
        <v>13.1</v>
      </c>
      <c r="E1366" s="18"/>
    </row>
    <row r="1367" spans="1:5" ht="16.5" thickTop="1" thickBot="1" x14ac:dyDescent="0.3">
      <c r="A1367" s="28">
        <v>2.3184570531188498</v>
      </c>
      <c r="B1367" s="27">
        <v>0</v>
      </c>
      <c r="C1367" s="27">
        <v>13.1</v>
      </c>
      <c r="E1367" s="18"/>
    </row>
    <row r="1368" spans="1:5" ht="16.5" thickTop="1" thickBot="1" x14ac:dyDescent="0.3">
      <c r="A1368" s="28">
        <v>5.1652326986755126</v>
      </c>
      <c r="B1368" s="27">
        <v>0</v>
      </c>
      <c r="C1368" s="27">
        <v>13.1</v>
      </c>
      <c r="E1368" s="18"/>
    </row>
    <row r="1369" spans="1:5" ht="16.5" thickTop="1" thickBot="1" x14ac:dyDescent="0.3">
      <c r="A1369" s="28">
        <v>1.0939514384128599</v>
      </c>
      <c r="B1369" s="27">
        <v>0</v>
      </c>
      <c r="C1369" s="27">
        <v>13.1</v>
      </c>
      <c r="E1369" s="18"/>
    </row>
    <row r="1370" spans="1:5" ht="16.5" thickTop="1" thickBot="1" x14ac:dyDescent="0.3">
      <c r="A1370" s="28">
        <v>3.5933406210882937</v>
      </c>
      <c r="B1370" s="27">
        <v>0</v>
      </c>
      <c r="C1370" s="27">
        <v>13.1</v>
      </c>
      <c r="E1370" s="18"/>
    </row>
    <row r="1371" spans="1:5" ht="16.5" thickTop="1" thickBot="1" x14ac:dyDescent="0.3">
      <c r="A1371" s="28">
        <v>5.7019016761646206</v>
      </c>
      <c r="B1371" s="27">
        <v>0</v>
      </c>
      <c r="C1371" s="27">
        <v>13.1</v>
      </c>
      <c r="E1371" s="18"/>
    </row>
    <row r="1372" spans="1:5" ht="16.5" thickTop="1" thickBot="1" x14ac:dyDescent="0.3">
      <c r="A1372" s="28">
        <v>1.6063850799512709</v>
      </c>
      <c r="B1372" s="27">
        <v>0</v>
      </c>
      <c r="C1372" s="27">
        <v>13.1</v>
      </c>
      <c r="E1372" s="18"/>
    </row>
    <row r="1373" spans="1:5" ht="16.5" thickTop="1" thickBot="1" x14ac:dyDescent="0.3">
      <c r="A1373" s="28">
        <v>6.5294542449615225</v>
      </c>
      <c r="B1373" s="27">
        <v>0</v>
      </c>
      <c r="C1373" s="27">
        <v>13.1</v>
      </c>
      <c r="E1373" s="18"/>
    </row>
    <row r="1374" spans="1:5" ht="16.5" thickTop="1" thickBot="1" x14ac:dyDescent="0.3">
      <c r="A1374" s="28">
        <v>3.3057876253785499</v>
      </c>
      <c r="B1374" s="27">
        <v>0</v>
      </c>
      <c r="C1374" s="27">
        <v>13.1</v>
      </c>
      <c r="E1374" s="18"/>
    </row>
    <row r="1375" spans="1:5" ht="16.5" thickTop="1" thickBot="1" x14ac:dyDescent="0.3">
      <c r="A1375" s="28">
        <v>1.119562757514645</v>
      </c>
      <c r="B1375" s="27">
        <v>0</v>
      </c>
      <c r="C1375" s="27">
        <v>13.1</v>
      </c>
      <c r="E1375" s="18"/>
    </row>
    <row r="1376" spans="1:5" ht="16.5" thickTop="1" thickBot="1" x14ac:dyDescent="0.3">
      <c r="A1376" s="28">
        <v>3.2687134943801794</v>
      </c>
      <c r="B1376" s="27">
        <v>0</v>
      </c>
      <c r="C1376" s="27">
        <v>13.1</v>
      </c>
      <c r="E1376" s="18"/>
    </row>
    <row r="1377" spans="1:5" ht="16.5" thickTop="1" thickBot="1" x14ac:dyDescent="0.3">
      <c r="A1377" s="28">
        <v>1.0567713707508255</v>
      </c>
      <c r="B1377" s="27">
        <v>0</v>
      </c>
      <c r="C1377" s="27">
        <v>13.1</v>
      </c>
      <c r="E1377" s="18"/>
    </row>
    <row r="1378" spans="1:5" ht="16.5" thickTop="1" thickBot="1" x14ac:dyDescent="0.3">
      <c r="A1378" s="28">
        <v>1.7003962973547764</v>
      </c>
      <c r="B1378" s="27">
        <v>0</v>
      </c>
      <c r="C1378" s="27">
        <v>13.1</v>
      </c>
      <c r="E1378" s="18"/>
    </row>
    <row r="1379" spans="1:5" ht="16.5" thickTop="1" thickBot="1" x14ac:dyDescent="0.3">
      <c r="A1379" s="28">
        <v>8.4342308980077334</v>
      </c>
      <c r="B1379" s="27">
        <v>0</v>
      </c>
      <c r="C1379" s="27">
        <v>12</v>
      </c>
      <c r="E1379" s="18"/>
    </row>
    <row r="1380" spans="1:5" ht="16.5" thickTop="1" thickBot="1" x14ac:dyDescent="0.3">
      <c r="A1380" s="28">
        <v>1.227272706596338</v>
      </c>
      <c r="B1380" s="27">
        <v>0</v>
      </c>
      <c r="C1380" s="27">
        <v>12</v>
      </c>
      <c r="E1380" s="18"/>
    </row>
    <row r="1381" spans="1:5" ht="16.5" thickTop="1" thickBot="1" x14ac:dyDescent="0.3">
      <c r="A1381" s="28">
        <v>0.29659834940627494</v>
      </c>
      <c r="B1381" s="27">
        <v>0</v>
      </c>
      <c r="C1381" s="27">
        <v>12</v>
      </c>
      <c r="E1381" s="18"/>
    </row>
    <row r="1382" spans="1:5" ht="16.5" thickTop="1" thickBot="1" x14ac:dyDescent="0.3">
      <c r="A1382" s="28">
        <v>3.3266561135263668</v>
      </c>
      <c r="B1382" s="27">
        <v>0</v>
      </c>
      <c r="C1382" s="27">
        <v>12</v>
      </c>
      <c r="E1382" s="18"/>
    </row>
    <row r="1383" spans="1:5" ht="16.5" thickTop="1" thickBot="1" x14ac:dyDescent="0.3">
      <c r="A1383" s="28">
        <v>3.3476192982111881</v>
      </c>
      <c r="B1383" s="27">
        <v>0</v>
      </c>
      <c r="C1383" s="27">
        <v>12</v>
      </c>
      <c r="E1383" s="18"/>
    </row>
    <row r="1384" spans="1:5" ht="16.5" thickTop="1" thickBot="1" x14ac:dyDescent="0.3">
      <c r="A1384" s="28">
        <v>3.7261537248172578</v>
      </c>
      <c r="B1384" s="27">
        <v>0</v>
      </c>
      <c r="C1384" s="27">
        <v>12</v>
      </c>
      <c r="E1384" s="18"/>
    </row>
    <row r="1385" spans="1:5" ht="16.5" thickTop="1" thickBot="1" x14ac:dyDescent="0.3">
      <c r="A1385" s="28">
        <v>9.7891648968747713</v>
      </c>
      <c r="B1385" s="27">
        <v>0</v>
      </c>
      <c r="C1385" s="27">
        <v>12</v>
      </c>
      <c r="E1385" s="18"/>
    </row>
    <row r="1386" spans="1:5" ht="16.5" thickTop="1" thickBot="1" x14ac:dyDescent="0.3">
      <c r="A1386" s="28">
        <v>3.3647871441583912</v>
      </c>
      <c r="B1386" s="27">
        <v>0</v>
      </c>
      <c r="C1386" s="27">
        <v>12</v>
      </c>
      <c r="E1386" s="18"/>
    </row>
    <row r="1387" spans="1:5" ht="16.5" thickTop="1" thickBot="1" x14ac:dyDescent="0.3">
      <c r="A1387" s="28">
        <v>3.2298890853572297</v>
      </c>
      <c r="B1387" s="27">
        <v>0</v>
      </c>
      <c r="C1387" s="27">
        <v>12</v>
      </c>
      <c r="E1387" s="18"/>
    </row>
    <row r="1388" spans="1:5" ht="16.5" thickTop="1" thickBot="1" x14ac:dyDescent="0.3">
      <c r="A1388" s="28">
        <v>5.0310180545287064</v>
      </c>
      <c r="B1388" s="27">
        <v>0</v>
      </c>
      <c r="C1388" s="27">
        <v>12</v>
      </c>
      <c r="E1388" s="18"/>
    </row>
    <row r="1389" spans="1:5" ht="16.5" thickTop="1" thickBot="1" x14ac:dyDescent="0.3">
      <c r="A1389" s="28">
        <v>5.2837233761161215</v>
      </c>
      <c r="B1389" s="27">
        <v>0</v>
      </c>
      <c r="C1389" s="27">
        <v>12</v>
      </c>
      <c r="E1389" s="18"/>
    </row>
    <row r="1390" spans="1:5" ht="16.5" thickTop="1" thickBot="1" x14ac:dyDescent="0.3">
      <c r="A1390" s="28">
        <v>0.27762477349377879</v>
      </c>
      <c r="B1390" s="27">
        <v>0</v>
      </c>
      <c r="C1390" s="27">
        <v>12</v>
      </c>
      <c r="E1390" s="18"/>
    </row>
    <row r="1391" spans="1:5" ht="16.5" thickTop="1" thickBot="1" x14ac:dyDescent="0.3">
      <c r="A1391" s="28">
        <v>0.40262695160372441</v>
      </c>
      <c r="B1391" s="27">
        <v>0</v>
      </c>
      <c r="C1391" s="27">
        <v>12</v>
      </c>
      <c r="E1391" s="18"/>
    </row>
    <row r="1392" spans="1:5" ht="16.5" thickTop="1" thickBot="1" x14ac:dyDescent="0.3">
      <c r="A1392" s="28">
        <v>4.929614314777818</v>
      </c>
      <c r="B1392" s="27">
        <v>0</v>
      </c>
      <c r="C1392" s="27">
        <v>12</v>
      </c>
      <c r="E1392" s="18"/>
    </row>
    <row r="1393" spans="1:5" ht="16.5" thickTop="1" thickBot="1" x14ac:dyDescent="0.3">
      <c r="A1393" s="28">
        <v>6.0493650182694436</v>
      </c>
      <c r="B1393" s="27">
        <v>0</v>
      </c>
      <c r="C1393" s="27">
        <v>12</v>
      </c>
      <c r="E1393" s="18"/>
    </row>
    <row r="1394" spans="1:5" ht="16.5" thickTop="1" thickBot="1" x14ac:dyDescent="0.3">
      <c r="A1394" s="28">
        <v>3.5907755841524231</v>
      </c>
      <c r="B1394" s="27">
        <v>0</v>
      </c>
      <c r="C1394" s="27">
        <v>12</v>
      </c>
      <c r="E1394" s="18"/>
    </row>
    <row r="1395" spans="1:5" ht="16.5" thickTop="1" thickBot="1" x14ac:dyDescent="0.3">
      <c r="A1395" s="28">
        <v>7.9056791402759465</v>
      </c>
      <c r="B1395" s="27">
        <v>0</v>
      </c>
      <c r="C1395" s="27">
        <v>12</v>
      </c>
      <c r="E1395" s="18"/>
    </row>
    <row r="1396" spans="1:5" ht="16.5" thickTop="1" thickBot="1" x14ac:dyDescent="0.3">
      <c r="A1396" s="28">
        <v>0.44454682385410316</v>
      </c>
      <c r="B1396" s="27">
        <v>0</v>
      </c>
      <c r="C1396" s="27">
        <v>15.9</v>
      </c>
      <c r="E1396" s="18"/>
    </row>
    <row r="1397" spans="1:5" ht="16.5" thickTop="1" thickBot="1" x14ac:dyDescent="0.3">
      <c r="A1397" s="28">
        <v>5.9124799230224845</v>
      </c>
      <c r="B1397" s="27">
        <v>0</v>
      </c>
      <c r="C1397" s="27">
        <v>15.9</v>
      </c>
      <c r="E1397" s="18"/>
    </row>
    <row r="1398" spans="1:5" ht="16.5" thickTop="1" thickBot="1" x14ac:dyDescent="0.3">
      <c r="A1398" s="28">
        <v>1.0097259457406582</v>
      </c>
      <c r="B1398" s="27">
        <v>0</v>
      </c>
      <c r="C1398" s="27">
        <v>15.9</v>
      </c>
      <c r="E1398" s="18"/>
    </row>
    <row r="1399" spans="1:5" ht="16.5" thickTop="1" thickBot="1" x14ac:dyDescent="0.3">
      <c r="A1399" s="28">
        <v>1.2853790454707559</v>
      </c>
      <c r="B1399" s="27">
        <v>0</v>
      </c>
      <c r="C1399" s="27">
        <v>15.9</v>
      </c>
      <c r="E1399" s="18"/>
    </row>
    <row r="1400" spans="1:5" ht="16.5" thickTop="1" thickBot="1" x14ac:dyDescent="0.3">
      <c r="A1400" s="28">
        <v>3.8178015051543994</v>
      </c>
      <c r="B1400" s="27">
        <v>0</v>
      </c>
      <c r="C1400" s="27">
        <v>15.9</v>
      </c>
      <c r="E1400" s="18"/>
    </row>
    <row r="1401" spans="1:5" ht="16.5" thickTop="1" thickBot="1" x14ac:dyDescent="0.3">
      <c r="A1401" s="28">
        <v>8.6734749273887459</v>
      </c>
      <c r="B1401" s="27">
        <v>0</v>
      </c>
      <c r="C1401" s="27">
        <v>15.9</v>
      </c>
      <c r="E1401" s="18"/>
    </row>
    <row r="1402" spans="1:5" ht="16.5" thickTop="1" thickBot="1" x14ac:dyDescent="0.3">
      <c r="A1402" s="28">
        <v>2.3254248588795972</v>
      </c>
      <c r="B1402" s="27">
        <v>0</v>
      </c>
      <c r="C1402" s="27">
        <v>15.9</v>
      </c>
      <c r="E1402" s="18"/>
    </row>
    <row r="1403" spans="1:5" ht="16.5" thickTop="1" thickBot="1" x14ac:dyDescent="0.3">
      <c r="A1403" s="28">
        <v>3.2236641233478163</v>
      </c>
      <c r="B1403" s="27">
        <v>0</v>
      </c>
      <c r="C1403" s="27">
        <v>15.9</v>
      </c>
      <c r="E1403" s="18"/>
    </row>
    <row r="1404" spans="1:5" ht="16.5" thickTop="1" thickBot="1" x14ac:dyDescent="0.3">
      <c r="A1404" s="28">
        <v>4.3187731798342934</v>
      </c>
      <c r="B1404" s="27">
        <v>0</v>
      </c>
      <c r="C1404" s="27">
        <v>15.9</v>
      </c>
      <c r="E1404" s="18"/>
    </row>
    <row r="1405" spans="1:5" ht="16.5" thickTop="1" thickBot="1" x14ac:dyDescent="0.3">
      <c r="A1405" s="28">
        <v>1.1876954133986404</v>
      </c>
      <c r="B1405" s="27">
        <v>0</v>
      </c>
      <c r="C1405" s="27">
        <v>15.9</v>
      </c>
      <c r="E1405" s="18"/>
    </row>
    <row r="1406" spans="1:5" ht="16.5" thickTop="1" thickBot="1" x14ac:dyDescent="0.3">
      <c r="A1406" s="28">
        <v>1.7659009348167864</v>
      </c>
      <c r="B1406" s="27">
        <v>0</v>
      </c>
      <c r="C1406" s="27">
        <v>15.9</v>
      </c>
      <c r="E1406" s="18"/>
    </row>
    <row r="1407" spans="1:5" ht="16.5" thickTop="1" thickBot="1" x14ac:dyDescent="0.3">
      <c r="A1407" s="28">
        <v>1.6215366777013807</v>
      </c>
      <c r="B1407" s="27">
        <v>0</v>
      </c>
      <c r="C1407" s="27">
        <v>15.9</v>
      </c>
      <c r="E1407" s="18"/>
    </row>
    <row r="1408" spans="1:5" ht="16.5" thickTop="1" thickBot="1" x14ac:dyDescent="0.3">
      <c r="A1408" s="28">
        <v>5.3677951046106056</v>
      </c>
      <c r="B1408" s="27">
        <v>0</v>
      </c>
      <c r="C1408" s="27">
        <v>15.9</v>
      </c>
      <c r="E1408" s="18"/>
    </row>
    <row r="1409" spans="1:5" ht="16.5" thickTop="1" thickBot="1" x14ac:dyDescent="0.3">
      <c r="A1409" s="28">
        <v>11.717804051640092</v>
      </c>
      <c r="B1409" s="27">
        <v>0</v>
      </c>
      <c r="C1409" s="27">
        <v>15.9</v>
      </c>
      <c r="E1409" s="18"/>
    </row>
    <row r="1410" spans="1:5" ht="16.5" thickTop="1" thickBot="1" x14ac:dyDescent="0.3">
      <c r="A1410" s="28">
        <v>3.4049505434125868</v>
      </c>
      <c r="B1410" s="27">
        <v>0</v>
      </c>
      <c r="C1410" s="27">
        <v>15.9</v>
      </c>
      <c r="E1410" s="18"/>
    </row>
    <row r="1411" spans="1:5" ht="16.5" thickTop="1" thickBot="1" x14ac:dyDescent="0.3">
      <c r="A1411" s="28">
        <v>7.8447192291540011</v>
      </c>
      <c r="B1411" s="27">
        <v>0</v>
      </c>
      <c r="C1411" s="27">
        <v>15.9</v>
      </c>
      <c r="E1411" s="18"/>
    </row>
    <row r="1412" spans="1:5" ht="16.5" thickTop="1" thickBot="1" x14ac:dyDescent="0.3">
      <c r="A1412" s="28">
        <v>1.9699631906834503</v>
      </c>
      <c r="B1412" s="27">
        <v>0</v>
      </c>
      <c r="C1412" s="27">
        <v>9.1</v>
      </c>
      <c r="E1412" s="18"/>
    </row>
    <row r="1413" spans="1:5" ht="16.5" thickTop="1" thickBot="1" x14ac:dyDescent="0.3">
      <c r="A1413" s="28">
        <v>11.686097854652154</v>
      </c>
      <c r="B1413" s="27">
        <v>0</v>
      </c>
      <c r="C1413" s="27">
        <v>9.1</v>
      </c>
      <c r="E1413" s="18"/>
    </row>
    <row r="1414" spans="1:5" ht="16.5" thickTop="1" thickBot="1" x14ac:dyDescent="0.3">
      <c r="A1414" s="28">
        <v>4.0527306069929274</v>
      </c>
      <c r="B1414" s="27">
        <v>0</v>
      </c>
      <c r="C1414" s="27">
        <v>9.1</v>
      </c>
      <c r="E1414" s="18"/>
    </row>
    <row r="1415" spans="1:5" ht="16.5" thickTop="1" thickBot="1" x14ac:dyDescent="0.3">
      <c r="A1415" s="28">
        <v>0.26087448457577711</v>
      </c>
      <c r="B1415" s="27">
        <v>0</v>
      </c>
      <c r="C1415" s="27">
        <v>9.1</v>
      </c>
      <c r="E1415" s="18"/>
    </row>
    <row r="1416" spans="1:5" ht="16.5" thickTop="1" thickBot="1" x14ac:dyDescent="0.3">
      <c r="A1416" s="28">
        <v>2.7587722390861695</v>
      </c>
      <c r="B1416" s="27">
        <v>0</v>
      </c>
      <c r="C1416" s="27">
        <v>9.1</v>
      </c>
      <c r="E1416" s="18"/>
    </row>
    <row r="1417" spans="1:5" ht="16.5" thickTop="1" thickBot="1" x14ac:dyDescent="0.3">
      <c r="A1417" s="28">
        <v>8.2892861937554905</v>
      </c>
      <c r="B1417" s="27">
        <v>0</v>
      </c>
      <c r="C1417" s="27">
        <v>9.1</v>
      </c>
      <c r="E1417" s="18"/>
    </row>
    <row r="1418" spans="1:5" ht="16.5" thickTop="1" thickBot="1" x14ac:dyDescent="0.3">
      <c r="A1418" s="28">
        <v>3.4005456906755782</v>
      </c>
      <c r="B1418" s="27">
        <v>0</v>
      </c>
      <c r="C1418" s="27">
        <v>9.1</v>
      </c>
      <c r="E1418" s="18"/>
    </row>
    <row r="1419" spans="1:5" ht="16.5" thickTop="1" thickBot="1" x14ac:dyDescent="0.3">
      <c r="A1419" s="28">
        <v>0.98501186304448352</v>
      </c>
      <c r="B1419" s="27">
        <v>0</v>
      </c>
      <c r="C1419" s="27">
        <v>9.1</v>
      </c>
      <c r="E1419" s="18"/>
    </row>
    <row r="1420" spans="1:5" ht="16.5" thickTop="1" thickBot="1" x14ac:dyDescent="0.3">
      <c r="A1420" s="28">
        <v>2.0856329678991283</v>
      </c>
      <c r="B1420" s="27">
        <v>0</v>
      </c>
      <c r="C1420" s="27">
        <v>9.1</v>
      </c>
      <c r="E1420" s="18"/>
    </row>
    <row r="1421" spans="1:5" ht="16.5" thickTop="1" thickBot="1" x14ac:dyDescent="0.3">
      <c r="A1421" s="28">
        <v>4.3608012956847286</v>
      </c>
      <c r="B1421" s="27">
        <v>0</v>
      </c>
      <c r="C1421" s="27">
        <v>9.1</v>
      </c>
      <c r="E1421" s="18"/>
    </row>
    <row r="1422" spans="1:5" ht="16.5" thickTop="1" thickBot="1" x14ac:dyDescent="0.3">
      <c r="A1422" s="28">
        <v>1.3377123026273046</v>
      </c>
      <c r="B1422" s="27">
        <v>0</v>
      </c>
      <c r="C1422" s="27">
        <v>9.1</v>
      </c>
      <c r="E1422" s="18"/>
    </row>
    <row r="1423" spans="1:5" ht="16.5" thickTop="1" thickBot="1" x14ac:dyDescent="0.3">
      <c r="A1423" s="28">
        <v>6.5880913341892811</v>
      </c>
      <c r="B1423" s="27">
        <v>0</v>
      </c>
      <c r="C1423" s="27">
        <v>9.1</v>
      </c>
      <c r="E1423" s="18"/>
    </row>
    <row r="1424" spans="1:5" ht="16.5" thickTop="1" thickBot="1" x14ac:dyDescent="0.3">
      <c r="A1424" s="28">
        <v>4.4333321590990247</v>
      </c>
      <c r="B1424" s="27">
        <v>0</v>
      </c>
      <c r="C1424" s="27">
        <v>9.1</v>
      </c>
      <c r="E1424" s="18"/>
    </row>
    <row r="1425" spans="1:5" ht="16.5" thickTop="1" thickBot="1" x14ac:dyDescent="0.3">
      <c r="A1425" s="28">
        <v>5.2972189095977518</v>
      </c>
      <c r="B1425" s="27">
        <v>0</v>
      </c>
      <c r="C1425" s="27">
        <v>9.1</v>
      </c>
      <c r="E1425" s="18"/>
    </row>
    <row r="1426" spans="1:5" ht="16.5" thickTop="1" thickBot="1" x14ac:dyDescent="0.3">
      <c r="A1426" s="28">
        <v>1.9771876274018372</v>
      </c>
      <c r="B1426" s="27">
        <v>0</v>
      </c>
      <c r="C1426" s="27">
        <v>9.1</v>
      </c>
      <c r="E1426" s="18"/>
    </row>
    <row r="1427" spans="1:5" ht="16.5" thickTop="1" thickBot="1" x14ac:dyDescent="0.3">
      <c r="A1427" s="28">
        <v>11.291239449699141</v>
      </c>
      <c r="B1427" s="27">
        <v>0</v>
      </c>
      <c r="C1427" s="27">
        <v>9.1</v>
      </c>
      <c r="E1427" s="18"/>
    </row>
    <row r="1428" spans="1:5" ht="16.5" thickTop="1" thickBot="1" x14ac:dyDescent="0.3">
      <c r="A1428" s="28">
        <v>2.1345474300175322</v>
      </c>
      <c r="B1428" s="27">
        <v>0</v>
      </c>
      <c r="C1428" s="27">
        <v>9.1</v>
      </c>
      <c r="E1428" s="18"/>
    </row>
    <row r="1429" spans="1:5" ht="16.5" thickTop="1" thickBot="1" x14ac:dyDescent="0.3">
      <c r="A1429" s="28">
        <v>0.65405718594573603</v>
      </c>
      <c r="B1429" s="27">
        <v>0</v>
      </c>
      <c r="C1429" s="27">
        <v>12.6</v>
      </c>
      <c r="E1429" s="18"/>
    </row>
    <row r="1430" spans="1:5" ht="16.5" thickTop="1" thickBot="1" x14ac:dyDescent="0.3">
      <c r="A1430" s="28">
        <v>6.8892246682389056</v>
      </c>
      <c r="B1430" s="27">
        <v>0</v>
      </c>
      <c r="C1430" s="27">
        <v>12.6</v>
      </c>
      <c r="E1430" s="18"/>
    </row>
    <row r="1431" spans="1:5" ht="16.5" thickTop="1" thickBot="1" x14ac:dyDescent="0.3">
      <c r="A1431" s="28">
        <v>8.6868634302370165</v>
      </c>
      <c r="B1431" s="27">
        <v>0</v>
      </c>
      <c r="C1431" s="27">
        <v>12.6</v>
      </c>
      <c r="E1431" s="18"/>
    </row>
    <row r="1432" spans="1:5" ht="16.5" thickTop="1" thickBot="1" x14ac:dyDescent="0.3">
      <c r="A1432" s="28">
        <v>2.9211695035095859</v>
      </c>
      <c r="B1432" s="27">
        <v>0</v>
      </c>
      <c r="C1432" s="27">
        <v>12.6</v>
      </c>
      <c r="E1432" s="18"/>
    </row>
    <row r="1433" spans="1:5" ht="16.5" thickTop="1" thickBot="1" x14ac:dyDescent="0.3">
      <c r="A1433" s="28">
        <v>0.28226489497897811</v>
      </c>
      <c r="B1433" s="27">
        <v>0</v>
      </c>
      <c r="C1433" s="27">
        <v>12.6</v>
      </c>
      <c r="E1433" s="18"/>
    </row>
    <row r="1434" spans="1:5" ht="16.5" thickTop="1" thickBot="1" x14ac:dyDescent="0.3">
      <c r="A1434" s="28">
        <v>4.1166600390427934</v>
      </c>
      <c r="B1434" s="27">
        <v>0</v>
      </c>
      <c r="C1434" s="27">
        <v>12.6</v>
      </c>
      <c r="E1434" s="18"/>
    </row>
    <row r="1435" spans="1:5" ht="16.5" thickTop="1" thickBot="1" x14ac:dyDescent="0.3">
      <c r="A1435" s="28">
        <v>0.45477686438908149</v>
      </c>
      <c r="B1435" s="27">
        <v>0</v>
      </c>
      <c r="C1435" s="27">
        <v>12.6</v>
      </c>
      <c r="E1435" s="18"/>
    </row>
    <row r="1436" spans="1:5" ht="16.5" thickTop="1" thickBot="1" x14ac:dyDescent="0.3">
      <c r="A1436" s="28">
        <v>2.3398520714802142</v>
      </c>
      <c r="B1436" s="27">
        <v>0</v>
      </c>
      <c r="C1436" s="27">
        <v>12.6</v>
      </c>
      <c r="E1436" s="18"/>
    </row>
    <row r="1437" spans="1:5" ht="16.5" thickTop="1" thickBot="1" x14ac:dyDescent="0.3">
      <c r="A1437" s="28">
        <v>5.2172786940748779</v>
      </c>
      <c r="B1437" s="27">
        <v>0</v>
      </c>
      <c r="C1437" s="27">
        <v>12.6</v>
      </c>
      <c r="E1437" s="18"/>
    </row>
    <row r="1438" spans="1:5" ht="16.5" thickTop="1" thickBot="1" x14ac:dyDescent="0.3">
      <c r="A1438" s="28">
        <v>2.078788648969975</v>
      </c>
      <c r="B1438" s="27">
        <v>0</v>
      </c>
      <c r="C1438" s="27">
        <v>12.6</v>
      </c>
      <c r="E1438" s="18"/>
    </row>
    <row r="1439" spans="1:5" ht="16.5" thickTop="1" thickBot="1" x14ac:dyDescent="0.3">
      <c r="A1439" s="28">
        <v>5.4348874054342113</v>
      </c>
      <c r="B1439" s="27">
        <v>0</v>
      </c>
      <c r="C1439" s="27">
        <v>12.6</v>
      </c>
      <c r="E1439" s="18"/>
    </row>
    <row r="1440" spans="1:5" ht="16.5" thickTop="1" thickBot="1" x14ac:dyDescent="0.3">
      <c r="A1440" s="28">
        <v>3.7235743603811589</v>
      </c>
      <c r="B1440" s="27">
        <v>0</v>
      </c>
      <c r="C1440" s="27">
        <v>12.6</v>
      </c>
      <c r="E1440" s="18"/>
    </row>
    <row r="1441" spans="1:5" ht="16.5" thickTop="1" thickBot="1" x14ac:dyDescent="0.3">
      <c r="A1441" s="28">
        <v>11.853493791046137</v>
      </c>
      <c r="B1441" s="27">
        <v>0</v>
      </c>
      <c r="C1441" s="27">
        <v>12.6</v>
      </c>
      <c r="E1441" s="18"/>
    </row>
    <row r="1442" spans="1:5" ht="16.5" thickTop="1" thickBot="1" x14ac:dyDescent="0.3">
      <c r="A1442" s="28">
        <v>5.451589979637709</v>
      </c>
      <c r="B1442" s="27">
        <v>0</v>
      </c>
      <c r="C1442" s="27">
        <v>12.6</v>
      </c>
      <c r="E1442" s="18"/>
    </row>
    <row r="1443" spans="1:5" ht="16.5" thickTop="1" thickBot="1" x14ac:dyDescent="0.3">
      <c r="A1443" s="28">
        <v>7.5281833840668071</v>
      </c>
      <c r="B1443" s="27">
        <v>0</v>
      </c>
      <c r="C1443" s="27">
        <v>12.6</v>
      </c>
      <c r="E1443" s="18"/>
    </row>
    <row r="1444" spans="1:5" ht="16.5" thickTop="1" thickBot="1" x14ac:dyDescent="0.3">
      <c r="A1444" s="28">
        <v>2.0184062324029304</v>
      </c>
      <c r="B1444" s="27">
        <v>0</v>
      </c>
      <c r="C1444" s="27">
        <v>12.6</v>
      </c>
      <c r="E1444" s="18"/>
    </row>
    <row r="1445" spans="1:5" ht="16.5" thickTop="1" thickBot="1" x14ac:dyDescent="0.3">
      <c r="A1445" s="28">
        <v>5.0065081392858861</v>
      </c>
      <c r="B1445" s="27">
        <v>0</v>
      </c>
      <c r="C1445" s="27">
        <v>12.7</v>
      </c>
      <c r="E1445" s="18"/>
    </row>
    <row r="1446" spans="1:5" ht="16.5" thickTop="1" thickBot="1" x14ac:dyDescent="0.3">
      <c r="A1446" s="28">
        <v>3.3291267373439855</v>
      </c>
      <c r="B1446" s="27">
        <v>0</v>
      </c>
      <c r="C1446" s="27">
        <v>12.7</v>
      </c>
      <c r="E1446" s="18"/>
    </row>
    <row r="1447" spans="1:5" ht="16.5" thickTop="1" thickBot="1" x14ac:dyDescent="0.3">
      <c r="A1447" s="28">
        <v>10.711417496008268</v>
      </c>
      <c r="B1447" s="27">
        <v>0</v>
      </c>
      <c r="C1447" s="27">
        <v>12.7</v>
      </c>
      <c r="E1447" s="18"/>
    </row>
    <row r="1448" spans="1:5" ht="16.5" thickTop="1" thickBot="1" x14ac:dyDescent="0.3">
      <c r="A1448" s="28">
        <v>0.69082608055008443</v>
      </c>
      <c r="B1448" s="27">
        <v>0</v>
      </c>
      <c r="C1448" s="27">
        <v>12.7</v>
      </c>
      <c r="E1448" s="18"/>
    </row>
    <row r="1449" spans="1:5" ht="16.5" thickTop="1" thickBot="1" x14ac:dyDescent="0.3">
      <c r="A1449" s="28">
        <v>1.4086080450929046</v>
      </c>
      <c r="B1449" s="27">
        <v>0</v>
      </c>
      <c r="C1449" s="27">
        <v>12.7</v>
      </c>
      <c r="E1449" s="18"/>
    </row>
    <row r="1450" spans="1:5" ht="16.5" thickTop="1" thickBot="1" x14ac:dyDescent="0.3">
      <c r="A1450" s="28">
        <v>3.1632398274745466</v>
      </c>
      <c r="B1450" s="27">
        <v>0</v>
      </c>
      <c r="C1450" s="27">
        <v>12.7</v>
      </c>
      <c r="E1450" s="18"/>
    </row>
    <row r="1451" spans="1:5" ht="16.5" thickTop="1" thickBot="1" x14ac:dyDescent="0.3">
      <c r="A1451" s="28">
        <v>4.9720708712121322</v>
      </c>
      <c r="B1451" s="27">
        <v>0</v>
      </c>
      <c r="C1451" s="27">
        <v>12.7</v>
      </c>
      <c r="E1451" s="18"/>
    </row>
    <row r="1452" spans="1:5" ht="16.5" thickTop="1" thickBot="1" x14ac:dyDescent="0.3">
      <c r="A1452" s="28">
        <v>1.0899257368074093</v>
      </c>
      <c r="B1452" s="27">
        <v>0</v>
      </c>
      <c r="C1452" s="27">
        <v>12.7</v>
      </c>
      <c r="E1452" s="18"/>
    </row>
    <row r="1453" spans="1:5" ht="16.5" thickTop="1" thickBot="1" x14ac:dyDescent="0.3">
      <c r="A1453" s="28">
        <v>11.933525224474431</v>
      </c>
      <c r="B1453" s="27">
        <v>0</v>
      </c>
      <c r="C1453" s="27">
        <v>12.7</v>
      </c>
      <c r="E1453" s="18"/>
    </row>
    <row r="1454" spans="1:5" ht="16.5" thickTop="1" thickBot="1" x14ac:dyDescent="0.3">
      <c r="A1454" s="28">
        <v>5.3292915444315914E-2</v>
      </c>
      <c r="B1454" s="27">
        <v>0</v>
      </c>
      <c r="C1454" s="27">
        <v>12.7</v>
      </c>
      <c r="E1454" s="18"/>
    </row>
    <row r="1455" spans="1:5" ht="16.5" thickTop="1" thickBot="1" x14ac:dyDescent="0.3">
      <c r="A1455" s="28">
        <v>10.433410511550758</v>
      </c>
      <c r="B1455" s="27">
        <v>0</v>
      </c>
      <c r="C1455" s="27">
        <v>12.7</v>
      </c>
      <c r="E1455" s="18"/>
    </row>
    <row r="1456" spans="1:5" ht="16.5" thickTop="1" thickBot="1" x14ac:dyDescent="0.3">
      <c r="A1456" s="28">
        <v>4.9284290826753576</v>
      </c>
      <c r="B1456" s="27">
        <v>0</v>
      </c>
      <c r="C1456" s="27">
        <v>12.7</v>
      </c>
      <c r="E1456" s="18"/>
    </row>
    <row r="1457" spans="1:5" ht="16.5" thickTop="1" thickBot="1" x14ac:dyDescent="0.3">
      <c r="A1457" s="28">
        <v>8.0197265587763127</v>
      </c>
      <c r="B1457" s="27">
        <v>0</v>
      </c>
      <c r="C1457" s="27">
        <v>12.7</v>
      </c>
      <c r="E1457" s="18"/>
    </row>
    <row r="1458" spans="1:5" ht="16.5" thickTop="1" thickBot="1" x14ac:dyDescent="0.3">
      <c r="A1458" s="28">
        <v>4.8570452914564388</v>
      </c>
      <c r="B1458" s="27">
        <v>0</v>
      </c>
      <c r="C1458" s="27">
        <v>12.7</v>
      </c>
      <c r="E1458" s="18"/>
    </row>
    <row r="1459" spans="1:5" ht="16.5" thickTop="1" thickBot="1" x14ac:dyDescent="0.3">
      <c r="A1459" s="28">
        <v>11.87212273612066</v>
      </c>
      <c r="B1459" s="27">
        <v>0</v>
      </c>
      <c r="C1459" s="27">
        <v>12.7</v>
      </c>
      <c r="E1459" s="18"/>
    </row>
    <row r="1460" spans="1:5" ht="16.5" thickTop="1" thickBot="1" x14ac:dyDescent="0.3">
      <c r="A1460" s="28">
        <v>5.8375772279222211</v>
      </c>
      <c r="B1460" s="27">
        <v>0</v>
      </c>
      <c r="C1460" s="27">
        <v>12.7</v>
      </c>
      <c r="E1460" s="18"/>
    </row>
    <row r="1461" spans="1:5" ht="16.5" thickTop="1" thickBot="1" x14ac:dyDescent="0.3">
      <c r="A1461" s="28">
        <v>8.4322608273903903</v>
      </c>
      <c r="B1461" s="27">
        <v>0</v>
      </c>
      <c r="C1461" s="27">
        <v>12.7</v>
      </c>
      <c r="E1461" s="18"/>
    </row>
    <row r="1462" spans="1:5" ht="16.5" thickTop="1" thickBot="1" x14ac:dyDescent="0.3">
      <c r="A1462" s="28">
        <v>4.3089753283086152</v>
      </c>
      <c r="B1462" s="27">
        <v>0</v>
      </c>
      <c r="C1462" s="27">
        <v>18.7</v>
      </c>
      <c r="E1462" s="18"/>
    </row>
    <row r="1463" spans="1:5" ht="16.5" thickTop="1" thickBot="1" x14ac:dyDescent="0.3">
      <c r="A1463" s="28">
        <v>2.2326859703521911</v>
      </c>
      <c r="B1463" s="27">
        <v>0</v>
      </c>
      <c r="C1463" s="27">
        <v>18.7</v>
      </c>
      <c r="E1463" s="18"/>
    </row>
    <row r="1464" spans="1:5" ht="16.5" thickTop="1" thickBot="1" x14ac:dyDescent="0.3">
      <c r="A1464" s="28">
        <v>4.8870632510140641</v>
      </c>
      <c r="B1464" s="27">
        <v>0</v>
      </c>
      <c r="C1464" s="27">
        <v>18.7</v>
      </c>
      <c r="E1464" s="18"/>
    </row>
    <row r="1465" spans="1:5" ht="16.5" thickTop="1" thickBot="1" x14ac:dyDescent="0.3">
      <c r="A1465" s="28">
        <v>1.7136889551014347</v>
      </c>
      <c r="B1465" s="27">
        <v>0</v>
      </c>
      <c r="C1465" s="27">
        <v>18.7</v>
      </c>
      <c r="E1465" s="18"/>
    </row>
    <row r="1466" spans="1:5" ht="16.5" thickTop="1" thickBot="1" x14ac:dyDescent="0.3">
      <c r="A1466" s="28">
        <v>6.1081922302652201</v>
      </c>
      <c r="B1466" s="27">
        <v>0</v>
      </c>
      <c r="C1466" s="27">
        <v>18.7</v>
      </c>
      <c r="E1466" s="18"/>
    </row>
    <row r="1467" spans="1:5" ht="16.5" thickTop="1" thickBot="1" x14ac:dyDescent="0.3">
      <c r="A1467" s="28">
        <v>1.2513428244169766</v>
      </c>
      <c r="B1467" s="27">
        <v>0</v>
      </c>
      <c r="C1467" s="27">
        <v>18.7</v>
      </c>
      <c r="E1467" s="18"/>
    </row>
    <row r="1468" spans="1:5" ht="16.5" thickTop="1" thickBot="1" x14ac:dyDescent="0.3">
      <c r="A1468" s="28">
        <v>3.0078654852099125</v>
      </c>
      <c r="B1468" s="27">
        <v>0</v>
      </c>
      <c r="C1468" s="27">
        <v>18.7</v>
      </c>
      <c r="E1468" s="18"/>
    </row>
    <row r="1469" spans="1:5" ht="16.5" thickTop="1" thickBot="1" x14ac:dyDescent="0.3">
      <c r="A1469" s="28">
        <v>10.911609814647072</v>
      </c>
      <c r="B1469" s="27">
        <v>0</v>
      </c>
      <c r="C1469" s="27">
        <v>18.7</v>
      </c>
      <c r="E1469" s="18"/>
    </row>
    <row r="1470" spans="1:5" ht="16.5" thickTop="1" thickBot="1" x14ac:dyDescent="0.3">
      <c r="A1470" s="28">
        <v>2.9980348042525029</v>
      </c>
      <c r="B1470" s="27">
        <v>0</v>
      </c>
      <c r="C1470" s="27">
        <v>18.7</v>
      </c>
      <c r="E1470" s="18"/>
    </row>
    <row r="1471" spans="1:5" ht="16.5" thickTop="1" thickBot="1" x14ac:dyDescent="0.3">
      <c r="A1471" s="28">
        <v>4.068793108500226</v>
      </c>
      <c r="B1471" s="27">
        <v>0</v>
      </c>
      <c r="C1471" s="27">
        <v>18.7</v>
      </c>
      <c r="E1471" s="18"/>
    </row>
    <row r="1472" spans="1:5" ht="16.5" thickTop="1" thickBot="1" x14ac:dyDescent="0.3">
      <c r="A1472" s="28">
        <v>4.1890445600743469</v>
      </c>
      <c r="B1472" s="27">
        <v>0</v>
      </c>
      <c r="C1472" s="27">
        <v>18.7</v>
      </c>
      <c r="E1472" s="18"/>
    </row>
    <row r="1473" spans="1:5" ht="16.5" thickTop="1" thickBot="1" x14ac:dyDescent="0.3">
      <c r="A1473" s="28">
        <v>7.8599373372549142</v>
      </c>
      <c r="B1473" s="27">
        <v>0</v>
      </c>
      <c r="C1473" s="27">
        <v>18.7</v>
      </c>
      <c r="E1473" s="18"/>
    </row>
    <row r="1474" spans="1:5" ht="16.5" thickTop="1" thickBot="1" x14ac:dyDescent="0.3">
      <c r="A1474" s="28">
        <v>3.2746886860804221</v>
      </c>
      <c r="B1474" s="27">
        <v>0</v>
      </c>
      <c r="C1474" s="27">
        <v>18.7</v>
      </c>
      <c r="E1474" s="18"/>
    </row>
    <row r="1475" spans="1:5" ht="16.5" thickTop="1" thickBot="1" x14ac:dyDescent="0.3">
      <c r="A1475" s="28">
        <v>7.1160578189721182</v>
      </c>
      <c r="B1475" s="27">
        <v>0</v>
      </c>
      <c r="C1475" s="27">
        <v>18.7</v>
      </c>
      <c r="E1475" s="18"/>
    </row>
    <row r="1476" spans="1:5" ht="16.5" thickTop="1" thickBot="1" x14ac:dyDescent="0.3">
      <c r="A1476" s="28">
        <v>4.5802671132418551</v>
      </c>
      <c r="B1476" s="27">
        <v>0</v>
      </c>
      <c r="C1476" s="27">
        <v>18.7</v>
      </c>
      <c r="E1476" s="18"/>
    </row>
    <row r="1477" spans="1:5" ht="16.5" thickTop="1" thickBot="1" x14ac:dyDescent="0.3">
      <c r="A1477" s="28">
        <v>4.4312175744858813</v>
      </c>
      <c r="B1477" s="27">
        <v>0</v>
      </c>
      <c r="C1477" s="27">
        <v>18.7</v>
      </c>
      <c r="E1477" s="18"/>
    </row>
    <row r="1478" spans="1:5" ht="16.5" thickTop="1" thickBot="1" x14ac:dyDescent="0.3">
      <c r="A1478" s="28">
        <v>2.7716248426830115</v>
      </c>
      <c r="B1478" s="27">
        <v>0</v>
      </c>
      <c r="C1478" s="27">
        <v>10</v>
      </c>
      <c r="E1478" s="18"/>
    </row>
    <row r="1479" spans="1:5" ht="16.5" thickTop="1" thickBot="1" x14ac:dyDescent="0.3">
      <c r="A1479" s="28">
        <v>1.931196032782033</v>
      </c>
      <c r="B1479" s="27">
        <v>0</v>
      </c>
      <c r="C1479" s="27">
        <v>10</v>
      </c>
      <c r="E1479" s="18"/>
    </row>
    <row r="1480" spans="1:5" ht="16.5" thickTop="1" thickBot="1" x14ac:dyDescent="0.3">
      <c r="A1480" s="28">
        <v>6.2642191525141016</v>
      </c>
      <c r="B1480" s="27">
        <v>0</v>
      </c>
      <c r="C1480" s="27">
        <v>10</v>
      </c>
      <c r="E1480" s="18"/>
    </row>
    <row r="1481" spans="1:5" ht="16.5" thickTop="1" thickBot="1" x14ac:dyDescent="0.3">
      <c r="A1481" s="28">
        <v>9.5675295133840059</v>
      </c>
      <c r="B1481" s="27">
        <v>0</v>
      </c>
      <c r="C1481" s="27">
        <v>10</v>
      </c>
      <c r="E1481" s="18"/>
    </row>
    <row r="1482" spans="1:5" ht="16.5" thickTop="1" thickBot="1" x14ac:dyDescent="0.3">
      <c r="A1482" s="28">
        <v>4.6636061580148587</v>
      </c>
      <c r="B1482" s="27">
        <v>0</v>
      </c>
      <c r="C1482" s="27">
        <v>10</v>
      </c>
      <c r="E1482" s="18"/>
    </row>
    <row r="1483" spans="1:5" ht="16.5" thickTop="1" thickBot="1" x14ac:dyDescent="0.3">
      <c r="A1483" s="28">
        <v>2.5625608567217668</v>
      </c>
      <c r="B1483" s="27">
        <v>0</v>
      </c>
      <c r="C1483" s="27">
        <v>10</v>
      </c>
      <c r="E1483" s="18"/>
    </row>
    <row r="1484" spans="1:5" ht="16.5" thickTop="1" thickBot="1" x14ac:dyDescent="0.3">
      <c r="A1484" s="28">
        <v>3.7891572813933845</v>
      </c>
      <c r="B1484" s="27">
        <v>0</v>
      </c>
      <c r="C1484" s="27">
        <v>10</v>
      </c>
      <c r="E1484" s="18"/>
    </row>
    <row r="1485" spans="1:5" ht="16.5" thickTop="1" thickBot="1" x14ac:dyDescent="0.3">
      <c r="A1485" s="28">
        <v>4.6893008127951195</v>
      </c>
      <c r="B1485" s="27">
        <v>0</v>
      </c>
      <c r="C1485" s="27">
        <v>10</v>
      </c>
      <c r="E1485" s="18"/>
    </row>
    <row r="1486" spans="1:5" ht="16.5" thickTop="1" thickBot="1" x14ac:dyDescent="0.3">
      <c r="A1486" s="28">
        <v>0.86393225758710201</v>
      </c>
      <c r="B1486" s="27">
        <v>0</v>
      </c>
      <c r="C1486" s="27">
        <v>10</v>
      </c>
      <c r="E1486" s="18"/>
    </row>
    <row r="1487" spans="1:5" ht="16.5" thickTop="1" thickBot="1" x14ac:dyDescent="0.3">
      <c r="A1487" s="28">
        <v>6.7691967688930266</v>
      </c>
      <c r="B1487" s="27">
        <v>0</v>
      </c>
      <c r="C1487" s="27">
        <v>10</v>
      </c>
      <c r="E1487" s="18"/>
    </row>
    <row r="1488" spans="1:5" ht="16.5" thickTop="1" thickBot="1" x14ac:dyDescent="0.3">
      <c r="A1488" s="28">
        <v>5.7758425062402212</v>
      </c>
      <c r="B1488" s="27">
        <v>0</v>
      </c>
      <c r="C1488" s="27">
        <v>10</v>
      </c>
      <c r="E1488" s="18"/>
    </row>
    <row r="1489" spans="1:5" ht="16.5" thickTop="1" thickBot="1" x14ac:dyDescent="0.3">
      <c r="A1489" s="28">
        <v>1.0988075010258753</v>
      </c>
      <c r="B1489" s="27">
        <v>0</v>
      </c>
      <c r="C1489" s="27">
        <v>10</v>
      </c>
      <c r="E1489" s="18"/>
    </row>
    <row r="1490" spans="1:5" ht="16.5" thickTop="1" thickBot="1" x14ac:dyDescent="0.3">
      <c r="A1490" s="28">
        <v>2.9702256594832788</v>
      </c>
      <c r="B1490" s="27">
        <v>0</v>
      </c>
      <c r="C1490" s="27">
        <v>10</v>
      </c>
      <c r="E1490" s="18"/>
    </row>
    <row r="1491" spans="1:5" ht="16.5" thickTop="1" thickBot="1" x14ac:dyDescent="0.3">
      <c r="A1491" s="28">
        <v>2.3184663115497957</v>
      </c>
      <c r="B1491" s="27">
        <v>0</v>
      </c>
      <c r="C1491" s="27">
        <v>10</v>
      </c>
      <c r="E1491" s="18"/>
    </row>
    <row r="1492" spans="1:5" ht="16.5" thickTop="1" thickBot="1" x14ac:dyDescent="0.3">
      <c r="A1492" s="28">
        <v>2.4952708373689982</v>
      </c>
      <c r="B1492" s="27">
        <v>0</v>
      </c>
      <c r="C1492" s="27">
        <v>10</v>
      </c>
      <c r="E1492" s="18"/>
    </row>
    <row r="1493" spans="1:5" ht="16.5" thickTop="1" thickBot="1" x14ac:dyDescent="0.3">
      <c r="A1493" s="28">
        <v>8.9028721808134392</v>
      </c>
      <c r="B1493" s="27">
        <v>0</v>
      </c>
      <c r="C1493" s="27">
        <v>10</v>
      </c>
      <c r="E1493" s="18"/>
    </row>
    <row r="1494" spans="1:5" ht="16.5" thickTop="1" thickBot="1" x14ac:dyDescent="0.3">
      <c r="A1494" s="28">
        <v>1.3960187579791812</v>
      </c>
      <c r="B1494" s="27">
        <v>0</v>
      </c>
      <c r="C1494" s="27">
        <v>13.5</v>
      </c>
      <c r="E1494" s="18"/>
    </row>
    <row r="1495" spans="1:5" ht="16.5" thickTop="1" thickBot="1" x14ac:dyDescent="0.3">
      <c r="A1495" s="28">
        <v>1.2632557521594885</v>
      </c>
      <c r="B1495" s="27">
        <v>0</v>
      </c>
      <c r="C1495" s="27">
        <v>13.5</v>
      </c>
      <c r="E1495" s="18"/>
    </row>
    <row r="1496" spans="1:5" ht="16.5" thickTop="1" thickBot="1" x14ac:dyDescent="0.3">
      <c r="A1496" s="28">
        <v>2.3604320831381207</v>
      </c>
      <c r="B1496" s="27">
        <v>0</v>
      </c>
      <c r="C1496" s="27">
        <v>13.5</v>
      </c>
      <c r="E1496" s="18"/>
    </row>
    <row r="1497" spans="1:5" ht="16.5" thickTop="1" thickBot="1" x14ac:dyDescent="0.3">
      <c r="A1497" s="28">
        <v>1.7988244447222947</v>
      </c>
      <c r="B1497" s="27">
        <v>0</v>
      </c>
      <c r="C1497" s="27">
        <v>13.5</v>
      </c>
      <c r="E1497" s="18"/>
    </row>
    <row r="1498" spans="1:5" ht="16.5" thickTop="1" thickBot="1" x14ac:dyDescent="0.3">
      <c r="A1498" s="28">
        <v>1.2208911975432115</v>
      </c>
      <c r="B1498" s="27">
        <v>0</v>
      </c>
      <c r="C1498" s="27">
        <v>13.5</v>
      </c>
      <c r="E1498" s="18"/>
    </row>
    <row r="1499" spans="1:5" ht="16.5" thickTop="1" thickBot="1" x14ac:dyDescent="0.3">
      <c r="A1499" s="28">
        <v>7.5369035564310476</v>
      </c>
      <c r="B1499" s="27">
        <v>0</v>
      </c>
      <c r="C1499" s="27">
        <v>13.5</v>
      </c>
      <c r="E1499" s="18"/>
    </row>
    <row r="1500" spans="1:5" ht="16.5" thickTop="1" thickBot="1" x14ac:dyDescent="0.3">
      <c r="A1500" s="28">
        <v>3.3134704324996824</v>
      </c>
      <c r="B1500" s="27">
        <v>0</v>
      </c>
      <c r="C1500" s="27">
        <v>13.5</v>
      </c>
      <c r="E1500" s="18"/>
    </row>
    <row r="1501" spans="1:5" ht="16.5" thickTop="1" thickBot="1" x14ac:dyDescent="0.3">
      <c r="A1501" s="28">
        <v>8.379271118320375</v>
      </c>
      <c r="B1501" s="27">
        <v>0</v>
      </c>
      <c r="C1501" s="27">
        <v>13.5</v>
      </c>
      <c r="E1501" s="18"/>
    </row>
    <row r="1502" spans="1:5" ht="16.5" thickTop="1" thickBot="1" x14ac:dyDescent="0.3">
      <c r="A1502" s="28">
        <v>5.3825082794842487</v>
      </c>
      <c r="B1502" s="27">
        <v>0</v>
      </c>
      <c r="C1502" s="27">
        <v>13.5</v>
      </c>
      <c r="E1502" s="18"/>
    </row>
    <row r="1503" spans="1:5" ht="16.5" thickTop="1" thickBot="1" x14ac:dyDescent="0.3">
      <c r="A1503" s="28">
        <v>10.714485927638876</v>
      </c>
      <c r="B1503" s="27">
        <v>0</v>
      </c>
      <c r="C1503" s="27">
        <v>13.5</v>
      </c>
      <c r="E1503" s="18"/>
    </row>
    <row r="1504" spans="1:5" ht="16.5" thickTop="1" thickBot="1" x14ac:dyDescent="0.3">
      <c r="A1504" s="28">
        <v>3.2870221395372372</v>
      </c>
      <c r="B1504" s="27">
        <v>0</v>
      </c>
      <c r="C1504" s="27">
        <v>13.5</v>
      </c>
      <c r="E1504" s="18"/>
    </row>
    <row r="1505" spans="1:5" ht="16.5" thickTop="1" thickBot="1" x14ac:dyDescent="0.3">
      <c r="A1505" s="28">
        <v>0.36165242604840797</v>
      </c>
      <c r="B1505" s="27">
        <v>0</v>
      </c>
      <c r="C1505" s="27">
        <v>13.5</v>
      </c>
      <c r="E1505" s="18"/>
    </row>
    <row r="1506" spans="1:5" ht="16.5" thickTop="1" thickBot="1" x14ac:dyDescent="0.3">
      <c r="A1506" s="28">
        <v>1.7994265234015696</v>
      </c>
      <c r="B1506" s="27">
        <v>0</v>
      </c>
      <c r="C1506" s="27">
        <v>13.5</v>
      </c>
      <c r="E1506" s="18"/>
    </row>
    <row r="1507" spans="1:5" ht="16.5" thickTop="1" thickBot="1" x14ac:dyDescent="0.3">
      <c r="A1507" s="28">
        <v>7.3440443037187029</v>
      </c>
      <c r="B1507" s="27">
        <v>0</v>
      </c>
      <c r="C1507" s="27">
        <v>13.5</v>
      </c>
      <c r="E1507" s="18"/>
    </row>
    <row r="1508" spans="1:5" ht="16.5" thickTop="1" thickBot="1" x14ac:dyDescent="0.3">
      <c r="A1508" s="28">
        <v>3.4323534241290341</v>
      </c>
      <c r="B1508" s="27">
        <v>0</v>
      </c>
      <c r="C1508" s="27">
        <v>13.5</v>
      </c>
      <c r="E1508" s="18"/>
    </row>
    <row r="1509" spans="1:5" ht="16.5" thickTop="1" thickBot="1" x14ac:dyDescent="0.3">
      <c r="A1509" s="28">
        <v>11.179776312221842</v>
      </c>
      <c r="B1509" s="27">
        <v>0</v>
      </c>
      <c r="C1509" s="27">
        <v>13.3</v>
      </c>
      <c r="E1509" s="18"/>
    </row>
    <row r="1510" spans="1:5" ht="16.5" thickTop="1" thickBot="1" x14ac:dyDescent="0.3">
      <c r="A1510" s="28">
        <v>0.40057469911398758</v>
      </c>
      <c r="B1510" s="27">
        <v>0</v>
      </c>
      <c r="C1510" s="27">
        <v>13.3</v>
      </c>
      <c r="E1510" s="18"/>
    </row>
    <row r="1511" spans="1:5" ht="16.5" thickTop="1" thickBot="1" x14ac:dyDescent="0.3">
      <c r="A1511" s="28">
        <v>6.803488797477641</v>
      </c>
      <c r="B1511" s="27">
        <v>0</v>
      </c>
      <c r="C1511" s="27">
        <v>13.3</v>
      </c>
      <c r="E1511" s="18"/>
    </row>
    <row r="1512" spans="1:5" ht="16.5" thickTop="1" thickBot="1" x14ac:dyDescent="0.3">
      <c r="A1512" s="28">
        <v>2.3486631318797775</v>
      </c>
      <c r="B1512" s="27">
        <v>0</v>
      </c>
      <c r="C1512" s="27">
        <v>13.3</v>
      </c>
      <c r="E1512" s="18"/>
    </row>
    <row r="1513" spans="1:5" ht="16.5" thickTop="1" thickBot="1" x14ac:dyDescent="0.3">
      <c r="A1513" s="28">
        <v>1.4109232901095394</v>
      </c>
      <c r="B1513" s="27">
        <v>0</v>
      </c>
      <c r="C1513" s="27">
        <v>13.3</v>
      </c>
      <c r="E1513" s="18"/>
    </row>
    <row r="1514" spans="1:5" ht="16.5" thickTop="1" thickBot="1" x14ac:dyDescent="0.3">
      <c r="A1514" s="28">
        <v>4.2062400129172017</v>
      </c>
      <c r="B1514" s="27">
        <v>0</v>
      </c>
      <c r="C1514" s="27">
        <v>13.3</v>
      </c>
      <c r="E1514" s="18"/>
    </row>
    <row r="1515" spans="1:5" ht="16.5" thickTop="1" thickBot="1" x14ac:dyDescent="0.3">
      <c r="A1515" s="28">
        <v>3.2843093275807052</v>
      </c>
      <c r="B1515" s="27">
        <v>0</v>
      </c>
      <c r="C1515" s="27">
        <v>13.3</v>
      </c>
      <c r="E1515" s="18"/>
    </row>
    <row r="1516" spans="1:5" ht="16.5" thickTop="1" thickBot="1" x14ac:dyDescent="0.3">
      <c r="A1516" s="28">
        <v>6.3853861643025942</v>
      </c>
      <c r="B1516" s="27">
        <v>0</v>
      </c>
      <c r="C1516" s="27">
        <v>13.3</v>
      </c>
      <c r="E1516" s="18"/>
    </row>
    <row r="1517" spans="1:5" ht="16.5" thickTop="1" thickBot="1" x14ac:dyDescent="0.3">
      <c r="A1517" s="28">
        <v>9.5691424562192022</v>
      </c>
      <c r="B1517" s="27">
        <v>0</v>
      </c>
      <c r="C1517" s="27">
        <v>13.3</v>
      </c>
      <c r="E1517" s="18"/>
    </row>
    <row r="1518" spans="1:5" ht="16.5" thickTop="1" thickBot="1" x14ac:dyDescent="0.3">
      <c r="A1518" s="28">
        <v>6.8944795039441829</v>
      </c>
      <c r="B1518" s="27">
        <v>0</v>
      </c>
      <c r="C1518" s="27">
        <v>13.3</v>
      </c>
      <c r="E1518" s="18"/>
    </row>
    <row r="1519" spans="1:5" ht="16.5" thickTop="1" thickBot="1" x14ac:dyDescent="0.3">
      <c r="A1519" s="28">
        <v>2.4602860003828093</v>
      </c>
      <c r="B1519" s="27">
        <v>0</v>
      </c>
      <c r="C1519" s="27">
        <v>13.3</v>
      </c>
      <c r="E1519" s="18"/>
    </row>
    <row r="1520" spans="1:5" ht="16.5" thickTop="1" thickBot="1" x14ac:dyDescent="0.3">
      <c r="A1520" s="28">
        <v>0.54569916792141193</v>
      </c>
      <c r="B1520" s="27">
        <v>0</v>
      </c>
      <c r="C1520" s="27">
        <v>13.3</v>
      </c>
      <c r="E1520" s="18"/>
    </row>
    <row r="1521" spans="1:5" ht="16.5" thickTop="1" thickBot="1" x14ac:dyDescent="0.3">
      <c r="A1521" s="28">
        <v>7.5151772580237619</v>
      </c>
      <c r="B1521" s="27">
        <v>0</v>
      </c>
      <c r="C1521" s="27">
        <v>13.3</v>
      </c>
      <c r="E1521" s="18"/>
    </row>
    <row r="1522" spans="1:5" ht="16.5" thickTop="1" thickBot="1" x14ac:dyDescent="0.3">
      <c r="A1522" s="28">
        <v>0.65943310165082503</v>
      </c>
      <c r="B1522" s="27">
        <v>0</v>
      </c>
      <c r="C1522" s="27">
        <v>13.3</v>
      </c>
      <c r="E1522" s="18"/>
    </row>
    <row r="1523" spans="1:5" ht="16.5" thickTop="1" thickBot="1" x14ac:dyDescent="0.3">
      <c r="A1523" s="28">
        <v>6.2953812534053535</v>
      </c>
      <c r="B1523" s="27">
        <v>0</v>
      </c>
      <c r="C1523" s="27">
        <v>13.3</v>
      </c>
      <c r="E1523" s="18"/>
    </row>
    <row r="1524" spans="1:5" ht="16.5" thickTop="1" thickBot="1" x14ac:dyDescent="0.3">
      <c r="A1524" s="28">
        <v>6.4491645220910705</v>
      </c>
      <c r="B1524" s="27">
        <v>0</v>
      </c>
      <c r="C1524" s="27">
        <v>13.3</v>
      </c>
      <c r="E1524" s="18"/>
    </row>
    <row r="1525" spans="1:5" ht="16.5" thickTop="1" thickBot="1" x14ac:dyDescent="0.3">
      <c r="A1525" s="28">
        <v>8.6403879080374679</v>
      </c>
      <c r="B1525" s="27">
        <v>0</v>
      </c>
      <c r="C1525" s="27">
        <v>13.3</v>
      </c>
      <c r="E1525" s="18"/>
    </row>
    <row r="1526" spans="1:5" ht="16.5" thickTop="1" thickBot="1" x14ac:dyDescent="0.3">
      <c r="A1526" s="28">
        <v>2.2443718052068959</v>
      </c>
      <c r="B1526" s="27">
        <v>0</v>
      </c>
      <c r="C1526" s="27">
        <v>14.5</v>
      </c>
      <c r="E1526" s="18"/>
    </row>
    <row r="1527" spans="1:5" ht="16.5" thickTop="1" thickBot="1" x14ac:dyDescent="0.3">
      <c r="A1527" s="28">
        <v>4.7897723928150508</v>
      </c>
      <c r="B1527" s="27">
        <v>0</v>
      </c>
      <c r="C1527" s="27">
        <v>14.5</v>
      </c>
      <c r="E1527" s="18"/>
    </row>
    <row r="1528" spans="1:5" ht="16.5" thickTop="1" thickBot="1" x14ac:dyDescent="0.3">
      <c r="A1528" s="28">
        <v>0.90324376178811183</v>
      </c>
      <c r="B1528" s="27">
        <v>0</v>
      </c>
      <c r="C1528" s="27">
        <v>14.5</v>
      </c>
      <c r="E1528" s="18"/>
    </row>
    <row r="1529" spans="1:5" ht="16.5" thickTop="1" thickBot="1" x14ac:dyDescent="0.3">
      <c r="A1529" s="28">
        <v>4.0723364169317087</v>
      </c>
      <c r="B1529" s="27">
        <v>0</v>
      </c>
      <c r="C1529" s="27">
        <v>14.5</v>
      </c>
      <c r="E1529" s="18"/>
    </row>
    <row r="1530" spans="1:5" ht="16.5" thickTop="1" thickBot="1" x14ac:dyDescent="0.3">
      <c r="A1530" s="28">
        <v>3.2267598169173715</v>
      </c>
      <c r="B1530" s="27">
        <v>0</v>
      </c>
      <c r="C1530" s="27">
        <v>14.5</v>
      </c>
      <c r="E1530" s="18"/>
    </row>
    <row r="1531" spans="1:5" ht="16.5" thickTop="1" thickBot="1" x14ac:dyDescent="0.3">
      <c r="A1531" s="28">
        <v>0.88077810271354551</v>
      </c>
      <c r="B1531" s="27">
        <v>0</v>
      </c>
      <c r="C1531" s="27">
        <v>14.5</v>
      </c>
      <c r="E1531" s="18"/>
    </row>
    <row r="1532" spans="1:5" ht="16.5" thickTop="1" thickBot="1" x14ac:dyDescent="0.3">
      <c r="A1532" s="28">
        <v>6.7799496159302244</v>
      </c>
      <c r="B1532" s="27">
        <v>0</v>
      </c>
      <c r="C1532" s="27">
        <v>14.5</v>
      </c>
      <c r="E1532" s="18"/>
    </row>
    <row r="1533" spans="1:5" ht="16.5" thickTop="1" thickBot="1" x14ac:dyDescent="0.3">
      <c r="A1533" s="28">
        <v>8.6342849231788357</v>
      </c>
      <c r="B1533" s="27">
        <v>0</v>
      </c>
      <c r="C1533" s="27">
        <v>14.5</v>
      </c>
      <c r="E1533" s="18"/>
    </row>
    <row r="1534" spans="1:5" ht="16.5" thickTop="1" thickBot="1" x14ac:dyDescent="0.3">
      <c r="A1534" s="28">
        <v>2.1122331025912109</v>
      </c>
      <c r="B1534" s="27">
        <v>0</v>
      </c>
      <c r="C1534" s="27">
        <v>14.5</v>
      </c>
      <c r="E1534" s="18"/>
    </row>
    <row r="1535" spans="1:5" ht="16.5" thickTop="1" thickBot="1" x14ac:dyDescent="0.3">
      <c r="A1535" s="28">
        <v>11.97762111998288</v>
      </c>
      <c r="B1535" s="27">
        <v>0</v>
      </c>
      <c r="C1535" s="27">
        <v>14.5</v>
      </c>
      <c r="E1535" s="18"/>
    </row>
    <row r="1536" spans="1:5" ht="16.5" thickTop="1" thickBot="1" x14ac:dyDescent="0.3">
      <c r="A1536" s="28">
        <v>4.0681790827013335</v>
      </c>
      <c r="B1536" s="27">
        <v>0</v>
      </c>
      <c r="C1536" s="27">
        <v>14.5</v>
      </c>
      <c r="E1536" s="18"/>
    </row>
    <row r="1537" spans="1:5" ht="16.5" thickTop="1" thickBot="1" x14ac:dyDescent="0.3">
      <c r="A1537" s="28">
        <v>3.919091641672749</v>
      </c>
      <c r="B1537" s="27">
        <v>0</v>
      </c>
      <c r="C1537" s="27">
        <v>14.5</v>
      </c>
      <c r="E1537" s="18"/>
    </row>
    <row r="1538" spans="1:5" ht="16.5" thickTop="1" thickBot="1" x14ac:dyDescent="0.3">
      <c r="A1538" s="28">
        <v>5.0126224613619836</v>
      </c>
      <c r="B1538" s="27">
        <v>0</v>
      </c>
      <c r="C1538" s="27">
        <v>14.5</v>
      </c>
      <c r="E1538" s="18"/>
    </row>
    <row r="1539" spans="1:5" ht="16.5" thickTop="1" thickBot="1" x14ac:dyDescent="0.3">
      <c r="A1539" s="28">
        <v>0.36195952300018019</v>
      </c>
      <c r="B1539" s="27">
        <v>0</v>
      </c>
      <c r="C1539" s="27">
        <v>14.5</v>
      </c>
      <c r="E1539" s="18"/>
    </row>
    <row r="1540" spans="1:5" ht="16.5" thickTop="1" thickBot="1" x14ac:dyDescent="0.3">
      <c r="A1540" s="28">
        <v>3.6321646674556107</v>
      </c>
      <c r="B1540" s="27">
        <v>0</v>
      </c>
      <c r="C1540" s="27">
        <v>14.5</v>
      </c>
      <c r="E1540" s="18"/>
    </row>
    <row r="1541" spans="1:5" ht="16.5" thickTop="1" thickBot="1" x14ac:dyDescent="0.3">
      <c r="A1541" s="28">
        <v>8.3024104986299516</v>
      </c>
      <c r="B1541" s="27">
        <v>0</v>
      </c>
      <c r="C1541" s="27">
        <v>14.5</v>
      </c>
      <c r="E1541" s="18"/>
    </row>
    <row r="1542" spans="1:5" ht="16.5" thickTop="1" thickBot="1" x14ac:dyDescent="0.3">
      <c r="A1542" s="28">
        <v>1.4997191324434191</v>
      </c>
      <c r="B1542" s="27">
        <v>0</v>
      </c>
      <c r="C1542" s="27">
        <v>15</v>
      </c>
      <c r="E1542" s="18"/>
    </row>
    <row r="1543" spans="1:5" ht="16.5" thickTop="1" thickBot="1" x14ac:dyDescent="0.3">
      <c r="A1543" s="28">
        <v>0.81058254001758012</v>
      </c>
      <c r="B1543" s="27">
        <v>0</v>
      </c>
      <c r="C1543" s="27">
        <v>15</v>
      </c>
      <c r="E1543" s="18"/>
    </row>
    <row r="1544" spans="1:5" ht="16.5" thickTop="1" thickBot="1" x14ac:dyDescent="0.3">
      <c r="A1544" s="28">
        <v>4.8417196731582468</v>
      </c>
      <c r="B1544" s="27">
        <v>0</v>
      </c>
      <c r="C1544" s="27">
        <v>15</v>
      </c>
      <c r="E1544" s="18"/>
    </row>
    <row r="1545" spans="1:5" ht="16.5" thickTop="1" thickBot="1" x14ac:dyDescent="0.3">
      <c r="A1545" s="28">
        <v>1.6028602479403373</v>
      </c>
      <c r="B1545" s="27">
        <v>0</v>
      </c>
      <c r="C1545" s="27">
        <v>15</v>
      </c>
      <c r="E1545" s="18"/>
    </row>
    <row r="1546" spans="1:5" ht="16.5" thickTop="1" thickBot="1" x14ac:dyDescent="0.3">
      <c r="A1546" s="28">
        <v>6.2006339656207663</v>
      </c>
      <c r="B1546" s="27">
        <v>0</v>
      </c>
      <c r="C1546" s="27">
        <v>15</v>
      </c>
      <c r="E1546" s="18"/>
    </row>
    <row r="1547" spans="1:5" ht="16.5" thickTop="1" thickBot="1" x14ac:dyDescent="0.3">
      <c r="A1547" s="28">
        <v>0.94033586959528703</v>
      </c>
      <c r="B1547" s="27">
        <v>0</v>
      </c>
      <c r="C1547" s="27">
        <v>15</v>
      </c>
      <c r="E1547" s="18"/>
    </row>
    <row r="1548" spans="1:5" ht="16.5" thickTop="1" thickBot="1" x14ac:dyDescent="0.3">
      <c r="A1548" s="28">
        <v>4.7770266685575891</v>
      </c>
      <c r="B1548" s="27">
        <v>0</v>
      </c>
      <c r="C1548" s="27">
        <v>15</v>
      </c>
      <c r="E1548" s="18"/>
    </row>
    <row r="1549" spans="1:5" ht="16.5" thickTop="1" thickBot="1" x14ac:dyDescent="0.3">
      <c r="A1549" s="28">
        <v>5.5969368254669503</v>
      </c>
      <c r="B1549" s="27">
        <v>0</v>
      </c>
      <c r="C1549" s="27">
        <v>15</v>
      </c>
      <c r="E1549" s="18"/>
    </row>
    <row r="1550" spans="1:5" ht="16.5" thickTop="1" thickBot="1" x14ac:dyDescent="0.3">
      <c r="A1550" s="28">
        <v>1.9410790165346377</v>
      </c>
      <c r="B1550" s="27">
        <v>0</v>
      </c>
      <c r="C1550" s="27">
        <v>15</v>
      </c>
      <c r="E1550" s="18"/>
    </row>
    <row r="1551" spans="1:5" ht="16.5" thickTop="1" thickBot="1" x14ac:dyDescent="0.3">
      <c r="A1551" s="28">
        <v>11.292302971356065</v>
      </c>
      <c r="B1551" s="27">
        <v>0</v>
      </c>
      <c r="C1551" s="27">
        <v>15</v>
      </c>
      <c r="E1551" s="18"/>
    </row>
    <row r="1552" spans="1:5" ht="16.5" thickTop="1" thickBot="1" x14ac:dyDescent="0.3">
      <c r="A1552" s="28">
        <v>5.3503089114664588</v>
      </c>
      <c r="B1552" s="27">
        <v>0</v>
      </c>
      <c r="C1552" s="27">
        <v>15</v>
      </c>
      <c r="E1552" s="18"/>
    </row>
    <row r="1553" spans="1:5" ht="16.5" thickTop="1" thickBot="1" x14ac:dyDescent="0.3">
      <c r="A1553" s="28">
        <v>11.523633906428529</v>
      </c>
      <c r="B1553" s="27">
        <v>0</v>
      </c>
      <c r="C1553" s="27">
        <v>15</v>
      </c>
      <c r="E1553" s="18"/>
    </row>
    <row r="1554" spans="1:5" ht="16.5" thickTop="1" thickBot="1" x14ac:dyDescent="0.3">
      <c r="A1554" s="28">
        <v>6.4842738954628318</v>
      </c>
      <c r="B1554" s="27">
        <v>0</v>
      </c>
      <c r="C1554" s="27">
        <v>15</v>
      </c>
      <c r="E1554" s="18"/>
    </row>
    <row r="1555" spans="1:5" ht="16.5" thickTop="1" thickBot="1" x14ac:dyDescent="0.3">
      <c r="A1555" s="28">
        <v>1.6464708380962367E-2</v>
      </c>
      <c r="B1555" s="27">
        <v>0</v>
      </c>
      <c r="C1555" s="27">
        <v>15</v>
      </c>
      <c r="E1555" s="18"/>
    </row>
    <row r="1556" spans="1:5" ht="16.5" thickTop="1" thickBot="1" x14ac:dyDescent="0.3">
      <c r="A1556" s="28">
        <v>6.2526555511230537</v>
      </c>
      <c r="B1556" s="27">
        <v>0</v>
      </c>
      <c r="C1556" s="27">
        <v>15</v>
      </c>
      <c r="E1556" s="18"/>
    </row>
    <row r="1557" spans="1:5" ht="16.5" thickTop="1" thickBot="1" x14ac:dyDescent="0.3">
      <c r="A1557" s="28">
        <v>2.6023472561292089</v>
      </c>
      <c r="B1557" s="27">
        <v>0</v>
      </c>
      <c r="C1557" s="27">
        <v>15</v>
      </c>
      <c r="E1557" s="18"/>
    </row>
    <row r="1558" spans="1:5" ht="16.5" thickTop="1" thickBot="1" x14ac:dyDescent="0.3">
      <c r="A1558" s="28">
        <v>2.9729397182952977</v>
      </c>
      <c r="B1558" s="27">
        <v>0</v>
      </c>
      <c r="C1558" s="27">
        <v>15</v>
      </c>
      <c r="E1558" s="18"/>
    </row>
    <row r="1559" spans="1:5" ht="16.5" thickTop="1" thickBot="1" x14ac:dyDescent="0.3">
      <c r="A1559" s="28">
        <v>5.3781823787513456</v>
      </c>
      <c r="B1559" s="27">
        <v>0</v>
      </c>
      <c r="C1559" s="27">
        <v>13.7</v>
      </c>
      <c r="E1559" s="18"/>
    </row>
    <row r="1560" spans="1:5" ht="16.5" thickTop="1" thickBot="1" x14ac:dyDescent="0.3">
      <c r="A1560" s="28">
        <v>5.7248062652893212</v>
      </c>
      <c r="B1560" s="27">
        <v>0</v>
      </c>
      <c r="C1560" s="27">
        <v>13.7</v>
      </c>
      <c r="E1560" s="18"/>
    </row>
    <row r="1561" spans="1:5" ht="16.5" thickTop="1" thickBot="1" x14ac:dyDescent="0.3">
      <c r="A1561" s="28">
        <v>11.338940270322791</v>
      </c>
      <c r="B1561" s="27">
        <v>0</v>
      </c>
      <c r="C1561" s="27">
        <v>13.7</v>
      </c>
      <c r="E1561" s="18"/>
    </row>
    <row r="1562" spans="1:5" ht="16.5" thickTop="1" thickBot="1" x14ac:dyDescent="0.3">
      <c r="A1562" s="28">
        <v>1.4902060228866194</v>
      </c>
      <c r="B1562" s="27">
        <v>0</v>
      </c>
      <c r="C1562" s="27">
        <v>13.7</v>
      </c>
      <c r="E1562" s="18"/>
    </row>
    <row r="1563" spans="1:5" ht="16.5" thickTop="1" thickBot="1" x14ac:dyDescent="0.3">
      <c r="A1563" s="28">
        <v>4.7380839506912551</v>
      </c>
      <c r="B1563" s="27">
        <v>0</v>
      </c>
      <c r="C1563" s="27">
        <v>13.7</v>
      </c>
      <c r="E1563" s="18"/>
    </row>
    <row r="1564" spans="1:5" ht="16.5" thickTop="1" thickBot="1" x14ac:dyDescent="0.3">
      <c r="A1564" s="28">
        <v>3.879594890531215</v>
      </c>
      <c r="B1564" s="27">
        <v>0</v>
      </c>
      <c r="C1564" s="27">
        <v>13.7</v>
      </c>
      <c r="E1564" s="18"/>
    </row>
    <row r="1565" spans="1:5" ht="16.5" thickTop="1" thickBot="1" x14ac:dyDescent="0.3">
      <c r="A1565" s="28">
        <v>10.967207612865918</v>
      </c>
      <c r="B1565" s="27">
        <v>0</v>
      </c>
      <c r="C1565" s="27">
        <v>13.7</v>
      </c>
      <c r="E1565" s="18"/>
    </row>
    <row r="1566" spans="1:5" ht="16.5" thickTop="1" thickBot="1" x14ac:dyDescent="0.3">
      <c r="A1566" s="28">
        <v>3.3160431058364224</v>
      </c>
      <c r="B1566" s="27">
        <v>0</v>
      </c>
      <c r="C1566" s="27">
        <v>13.7</v>
      </c>
      <c r="E1566" s="18"/>
    </row>
    <row r="1567" spans="1:5" ht="16.5" thickTop="1" thickBot="1" x14ac:dyDescent="0.3">
      <c r="A1567" s="28">
        <v>4.0594294133938114</v>
      </c>
      <c r="B1567" s="27">
        <v>0</v>
      </c>
      <c r="C1567" s="27">
        <v>13.7</v>
      </c>
      <c r="E1567" s="18"/>
    </row>
    <row r="1568" spans="1:5" ht="16.5" thickTop="1" thickBot="1" x14ac:dyDescent="0.3">
      <c r="A1568" s="28">
        <v>3.6469449192094965</v>
      </c>
      <c r="B1568" s="27">
        <v>0</v>
      </c>
      <c r="C1568" s="27">
        <v>13.7</v>
      </c>
      <c r="E1568" s="18"/>
    </row>
    <row r="1569" spans="1:5" ht="16.5" thickTop="1" thickBot="1" x14ac:dyDescent="0.3">
      <c r="A1569" s="28">
        <v>4.9908338692866971</v>
      </c>
      <c r="B1569" s="27">
        <v>0</v>
      </c>
      <c r="C1569" s="27">
        <v>13.7</v>
      </c>
      <c r="E1569" s="18"/>
    </row>
    <row r="1570" spans="1:5" ht="16.5" thickTop="1" thickBot="1" x14ac:dyDescent="0.3">
      <c r="A1570" s="28">
        <v>4.0094214362005749</v>
      </c>
      <c r="B1570" s="27">
        <v>0</v>
      </c>
      <c r="C1570" s="27">
        <v>13.7</v>
      </c>
      <c r="E1570" s="18"/>
    </row>
    <row r="1571" spans="1:5" ht="16.5" thickTop="1" thickBot="1" x14ac:dyDescent="0.3">
      <c r="A1571" s="28">
        <v>7.1149606075445302</v>
      </c>
      <c r="B1571" s="27">
        <v>0</v>
      </c>
      <c r="C1571" s="27">
        <v>13.7</v>
      </c>
      <c r="E1571" s="18"/>
    </row>
    <row r="1572" spans="1:5" ht="16.5" thickTop="1" thickBot="1" x14ac:dyDescent="0.3">
      <c r="A1572" s="28">
        <v>6.6919286331022931</v>
      </c>
      <c r="B1572" s="27">
        <v>0</v>
      </c>
      <c r="C1572" s="27">
        <v>13.7</v>
      </c>
      <c r="E1572" s="18"/>
    </row>
    <row r="1573" spans="1:5" ht="16.5" thickTop="1" thickBot="1" x14ac:dyDescent="0.3">
      <c r="A1573" s="28">
        <v>3.5159492434558208</v>
      </c>
      <c r="B1573" s="27">
        <v>0</v>
      </c>
      <c r="C1573" s="27">
        <v>13.7</v>
      </c>
      <c r="E1573" s="18"/>
    </row>
    <row r="1574" spans="1:5" ht="16.5" thickTop="1" thickBot="1" x14ac:dyDescent="0.3">
      <c r="A1574" s="28">
        <v>1.5980320419882821</v>
      </c>
      <c r="B1574" s="27">
        <v>0</v>
      </c>
      <c r="C1574" s="27">
        <v>13.7</v>
      </c>
      <c r="E1574" s="18"/>
    </row>
    <row r="1575" spans="1:5" ht="16.5" thickTop="1" thickBot="1" x14ac:dyDescent="0.3">
      <c r="A1575" s="28">
        <v>8.1820306595882109</v>
      </c>
      <c r="B1575" s="27">
        <v>0</v>
      </c>
      <c r="C1575" s="27">
        <v>13.7</v>
      </c>
      <c r="E1575" s="18"/>
    </row>
    <row r="1576" spans="1:5" ht="16.5" thickTop="1" thickBot="1" x14ac:dyDescent="0.3">
      <c r="A1576" s="28">
        <v>6.1202270089607316</v>
      </c>
      <c r="B1576" s="27">
        <v>0</v>
      </c>
      <c r="C1576" s="27">
        <v>22.5</v>
      </c>
      <c r="E1576" s="18"/>
    </row>
    <row r="1577" spans="1:5" ht="16.5" thickTop="1" thickBot="1" x14ac:dyDescent="0.3">
      <c r="A1577" s="28">
        <v>1.1662131824558117</v>
      </c>
      <c r="B1577" s="27">
        <v>0</v>
      </c>
      <c r="C1577" s="27">
        <v>22.5</v>
      </c>
      <c r="E1577" s="18"/>
    </row>
    <row r="1578" spans="1:5" ht="16.5" thickTop="1" thickBot="1" x14ac:dyDescent="0.3">
      <c r="A1578" s="28">
        <v>1.6498588232490528</v>
      </c>
      <c r="B1578" s="27">
        <v>0</v>
      </c>
      <c r="C1578" s="27">
        <v>22.5</v>
      </c>
      <c r="E1578" s="18"/>
    </row>
    <row r="1579" spans="1:5" ht="16.5" thickTop="1" thickBot="1" x14ac:dyDescent="0.3">
      <c r="A1579" s="28">
        <v>0.7925167088571512</v>
      </c>
      <c r="B1579" s="27">
        <v>0</v>
      </c>
      <c r="C1579" s="27">
        <v>22.5</v>
      </c>
      <c r="E1579" s="18"/>
    </row>
    <row r="1580" spans="1:5" ht="16.5" thickTop="1" thickBot="1" x14ac:dyDescent="0.3">
      <c r="A1580" s="28">
        <v>4.2530411492492348</v>
      </c>
      <c r="B1580" s="27">
        <v>0</v>
      </c>
      <c r="C1580" s="27">
        <v>22.5</v>
      </c>
      <c r="E1580" s="18"/>
    </row>
    <row r="1581" spans="1:5" ht="16.5" thickTop="1" thickBot="1" x14ac:dyDescent="0.3">
      <c r="A1581" s="28">
        <v>1.6302926776040261</v>
      </c>
      <c r="B1581" s="27">
        <v>0</v>
      </c>
      <c r="C1581" s="27">
        <v>22.5</v>
      </c>
      <c r="E1581" s="18"/>
    </row>
    <row r="1582" spans="1:5" ht="16.5" thickTop="1" thickBot="1" x14ac:dyDescent="0.3">
      <c r="A1582" s="28">
        <v>3.2489503107497315</v>
      </c>
      <c r="B1582" s="27">
        <v>0</v>
      </c>
      <c r="C1582" s="27">
        <v>22.5</v>
      </c>
      <c r="E1582" s="18"/>
    </row>
    <row r="1583" spans="1:5" ht="16.5" thickTop="1" thickBot="1" x14ac:dyDescent="0.3">
      <c r="A1583" s="28">
        <v>7.2722138007611985</v>
      </c>
      <c r="B1583" s="27">
        <v>0</v>
      </c>
      <c r="C1583" s="27">
        <v>22.5</v>
      </c>
      <c r="E1583" s="18"/>
    </row>
    <row r="1584" spans="1:5" ht="16.5" thickTop="1" thickBot="1" x14ac:dyDescent="0.3">
      <c r="A1584" s="28">
        <v>0.86608272351521665</v>
      </c>
      <c r="B1584" s="27">
        <v>0</v>
      </c>
      <c r="C1584" s="27">
        <v>22.5</v>
      </c>
      <c r="E1584" s="18"/>
    </row>
    <row r="1585" spans="1:5" ht="16.5" thickTop="1" thickBot="1" x14ac:dyDescent="0.3">
      <c r="A1585" s="28">
        <v>1.9927316605152412</v>
      </c>
      <c r="B1585" s="27">
        <v>0</v>
      </c>
      <c r="C1585" s="27">
        <v>22.5</v>
      </c>
      <c r="E1585" s="18"/>
    </row>
    <row r="1586" spans="1:5" ht="16.5" thickTop="1" thickBot="1" x14ac:dyDescent="0.3">
      <c r="A1586" s="28">
        <v>3.5724895931184153</v>
      </c>
      <c r="B1586" s="27">
        <v>0</v>
      </c>
      <c r="C1586" s="27">
        <v>22.5</v>
      </c>
      <c r="E1586" s="18"/>
    </row>
    <row r="1587" spans="1:5" ht="16.5" thickTop="1" thickBot="1" x14ac:dyDescent="0.3">
      <c r="A1587" s="28">
        <v>9.8458542879686224</v>
      </c>
      <c r="B1587" s="27">
        <v>0</v>
      </c>
      <c r="C1587" s="27">
        <v>22.5</v>
      </c>
      <c r="E1587" s="18"/>
    </row>
    <row r="1588" spans="1:5" ht="16.5" thickTop="1" thickBot="1" x14ac:dyDescent="0.3">
      <c r="A1588" s="28">
        <v>0.99024854350171387</v>
      </c>
      <c r="B1588" s="27">
        <v>0</v>
      </c>
      <c r="C1588" s="27">
        <v>22.5</v>
      </c>
      <c r="E1588" s="18"/>
    </row>
    <row r="1589" spans="1:5" ht="16.5" thickTop="1" thickBot="1" x14ac:dyDescent="0.3">
      <c r="A1589" s="28">
        <v>4.7846869013286426</v>
      </c>
      <c r="B1589" s="27">
        <v>0</v>
      </c>
      <c r="C1589" s="27">
        <v>22.5</v>
      </c>
      <c r="E1589" s="18"/>
    </row>
    <row r="1590" spans="1:5" ht="16.5" thickTop="1" thickBot="1" x14ac:dyDescent="0.3">
      <c r="A1590" s="28">
        <v>0.54955184628421805</v>
      </c>
      <c r="B1590" s="27">
        <v>0</v>
      </c>
      <c r="C1590" s="27">
        <v>22.5</v>
      </c>
      <c r="E1590" s="18"/>
    </row>
    <row r="1591" spans="1:5" ht="16.5" thickTop="1" thickBot="1" x14ac:dyDescent="0.3">
      <c r="A1591" s="28">
        <v>3.5396468682481657</v>
      </c>
      <c r="B1591" s="27">
        <v>0</v>
      </c>
      <c r="C1591" s="27">
        <v>22.5</v>
      </c>
      <c r="E1591" s="18"/>
    </row>
    <row r="1592" spans="1:5" ht="16.5" thickTop="1" thickBot="1" x14ac:dyDescent="0.3">
      <c r="A1592" s="28">
        <v>2.3157175010465751</v>
      </c>
      <c r="B1592" s="27">
        <v>0</v>
      </c>
      <c r="C1592" s="27">
        <v>22.5</v>
      </c>
      <c r="E1592" s="18"/>
    </row>
    <row r="1593" spans="1:5" ht="16.5" thickTop="1" thickBot="1" x14ac:dyDescent="0.3">
      <c r="A1593" s="28">
        <v>1.2313966023156211</v>
      </c>
      <c r="B1593" s="27">
        <v>0</v>
      </c>
      <c r="C1593" s="27">
        <v>18.100000000000001</v>
      </c>
      <c r="E1593" s="18"/>
    </row>
    <row r="1594" spans="1:5" ht="16.5" thickTop="1" thickBot="1" x14ac:dyDescent="0.3">
      <c r="A1594" s="28">
        <v>0.93761493266186025</v>
      </c>
      <c r="B1594" s="27">
        <v>0</v>
      </c>
      <c r="C1594" s="27">
        <v>18.100000000000001</v>
      </c>
      <c r="E1594" s="18"/>
    </row>
    <row r="1595" spans="1:5" ht="16.5" thickTop="1" thickBot="1" x14ac:dyDescent="0.3">
      <c r="A1595" s="28">
        <v>9.0174920921092561</v>
      </c>
      <c r="B1595" s="27">
        <v>0</v>
      </c>
      <c r="C1595" s="27">
        <v>18.100000000000001</v>
      </c>
      <c r="E1595" s="18"/>
    </row>
    <row r="1596" spans="1:5" ht="16.5" thickTop="1" thickBot="1" x14ac:dyDescent="0.3">
      <c r="A1596" s="28">
        <v>5.434632574065847</v>
      </c>
      <c r="B1596" s="27">
        <v>0</v>
      </c>
      <c r="C1596" s="27">
        <v>18.100000000000001</v>
      </c>
      <c r="E1596" s="18"/>
    </row>
    <row r="1597" spans="1:5" ht="16.5" thickTop="1" thickBot="1" x14ac:dyDescent="0.3">
      <c r="A1597" s="28">
        <v>0.11141416182255437</v>
      </c>
      <c r="B1597" s="27">
        <v>0</v>
      </c>
      <c r="C1597" s="27">
        <v>18.100000000000001</v>
      </c>
      <c r="E1597" s="18"/>
    </row>
    <row r="1598" spans="1:5" ht="16.5" thickTop="1" thickBot="1" x14ac:dyDescent="0.3">
      <c r="A1598" s="28">
        <v>0.43700090571361216</v>
      </c>
      <c r="B1598" s="27">
        <v>0</v>
      </c>
      <c r="C1598" s="27">
        <v>18.100000000000001</v>
      </c>
      <c r="E1598" s="18"/>
    </row>
    <row r="1599" spans="1:5" ht="16.5" thickTop="1" thickBot="1" x14ac:dyDescent="0.3">
      <c r="A1599" s="28">
        <v>3.3233697411830749</v>
      </c>
      <c r="B1599" s="27">
        <v>0</v>
      </c>
      <c r="C1599" s="27">
        <v>18.100000000000001</v>
      </c>
      <c r="E1599" s="18"/>
    </row>
    <row r="1600" spans="1:5" ht="16.5" thickTop="1" thickBot="1" x14ac:dyDescent="0.3">
      <c r="A1600" s="28">
        <v>1.5579569825251092</v>
      </c>
      <c r="B1600" s="27">
        <v>0</v>
      </c>
      <c r="C1600" s="27">
        <v>18.100000000000001</v>
      </c>
      <c r="E1600" s="18"/>
    </row>
    <row r="1601" spans="1:5" ht="16.5" thickTop="1" thickBot="1" x14ac:dyDescent="0.3">
      <c r="A1601" s="28">
        <v>7.3659756645741759</v>
      </c>
      <c r="B1601" s="27">
        <v>0</v>
      </c>
      <c r="C1601" s="27">
        <v>18.100000000000001</v>
      </c>
      <c r="E1601" s="18"/>
    </row>
    <row r="1602" spans="1:5" ht="16.5" thickTop="1" thickBot="1" x14ac:dyDescent="0.3">
      <c r="A1602" s="28">
        <v>0.33639656782293492</v>
      </c>
      <c r="B1602" s="27">
        <v>0</v>
      </c>
      <c r="C1602" s="27">
        <v>18.100000000000001</v>
      </c>
      <c r="E1602" s="18"/>
    </row>
    <row r="1603" spans="1:5" ht="16.5" thickTop="1" thickBot="1" x14ac:dyDescent="0.3">
      <c r="A1603" s="28">
        <v>0.26949754286466776</v>
      </c>
      <c r="B1603" s="27">
        <v>0</v>
      </c>
      <c r="C1603" s="27">
        <v>18.100000000000001</v>
      </c>
      <c r="E1603" s="18"/>
    </row>
    <row r="1604" spans="1:5" ht="16.5" thickTop="1" thickBot="1" x14ac:dyDescent="0.3">
      <c r="A1604" s="28">
        <v>2.0718534530474693</v>
      </c>
      <c r="B1604" s="27">
        <v>0</v>
      </c>
      <c r="C1604" s="27">
        <v>18.100000000000001</v>
      </c>
      <c r="E1604" s="18"/>
    </row>
    <row r="1605" spans="1:5" ht="16.5" thickTop="1" thickBot="1" x14ac:dyDescent="0.3">
      <c r="A1605" s="28">
        <v>2.9359447625798212</v>
      </c>
      <c r="B1605" s="27">
        <v>0</v>
      </c>
      <c r="C1605" s="27">
        <v>18.100000000000001</v>
      </c>
      <c r="E1605" s="18"/>
    </row>
    <row r="1606" spans="1:5" ht="16.5" thickTop="1" thickBot="1" x14ac:dyDescent="0.3">
      <c r="A1606" s="28">
        <v>4.0067184676591978</v>
      </c>
      <c r="B1606" s="27">
        <v>0</v>
      </c>
      <c r="C1606" s="27">
        <v>18.100000000000001</v>
      </c>
      <c r="E1606" s="18"/>
    </row>
    <row r="1607" spans="1:5" ht="16.5" thickTop="1" thickBot="1" x14ac:dyDescent="0.3">
      <c r="A1607" s="28">
        <v>1.7975375415374892</v>
      </c>
      <c r="B1607" s="27">
        <v>0</v>
      </c>
      <c r="C1607" s="27">
        <v>18.100000000000001</v>
      </c>
      <c r="E1607" s="18"/>
    </row>
    <row r="1608" spans="1:5" ht="16.5" thickTop="1" thickBot="1" x14ac:dyDescent="0.3">
      <c r="A1608" s="28">
        <v>4.2985076323741813</v>
      </c>
      <c r="B1608" s="27">
        <v>0</v>
      </c>
      <c r="C1608" s="27">
        <v>18.100000000000001</v>
      </c>
      <c r="E1608" s="18"/>
    </row>
    <row r="1609" spans="1:5" ht="16.5" thickTop="1" thickBot="1" x14ac:dyDescent="0.3">
      <c r="A1609" s="28">
        <v>8.2988198376500719</v>
      </c>
      <c r="B1609" s="27">
        <v>0</v>
      </c>
      <c r="C1609" s="27">
        <v>18.100000000000001</v>
      </c>
      <c r="E1609" s="18"/>
    </row>
    <row r="1610" spans="1:5" ht="16.5" thickTop="1" thickBot="1" x14ac:dyDescent="0.3">
      <c r="A1610" s="28">
        <v>5.9277130314769999E-2</v>
      </c>
      <c r="B1610" s="27">
        <v>0</v>
      </c>
      <c r="C1610" s="27">
        <v>16.3</v>
      </c>
      <c r="E1610" s="18"/>
    </row>
    <row r="1611" spans="1:5" ht="16.5" thickTop="1" thickBot="1" x14ac:dyDescent="0.3">
      <c r="A1611" s="28">
        <v>8.2757022860703291</v>
      </c>
      <c r="B1611" s="27">
        <v>0</v>
      </c>
      <c r="C1611" s="27">
        <v>16.3</v>
      </c>
      <c r="E1611" s="18"/>
    </row>
    <row r="1612" spans="1:5" ht="16.5" thickTop="1" thickBot="1" x14ac:dyDescent="0.3">
      <c r="A1612" s="28">
        <v>5.9814898499971347</v>
      </c>
      <c r="B1612" s="27">
        <v>0</v>
      </c>
      <c r="C1612" s="27">
        <v>16.3</v>
      </c>
      <c r="E1612" s="18"/>
    </row>
    <row r="1613" spans="1:5" ht="16.5" thickTop="1" thickBot="1" x14ac:dyDescent="0.3">
      <c r="A1613" s="28">
        <v>0.57334499723239762</v>
      </c>
      <c r="B1613" s="27">
        <v>0</v>
      </c>
      <c r="C1613" s="27">
        <v>16.3</v>
      </c>
      <c r="E1613" s="18"/>
    </row>
    <row r="1614" spans="1:5" ht="16.5" thickTop="1" thickBot="1" x14ac:dyDescent="0.3">
      <c r="A1614" s="28">
        <v>4.6042004447382912</v>
      </c>
      <c r="B1614" s="27">
        <v>0</v>
      </c>
      <c r="C1614" s="27">
        <v>16.3</v>
      </c>
      <c r="E1614" s="18"/>
    </row>
    <row r="1615" spans="1:5" ht="16.5" thickTop="1" thickBot="1" x14ac:dyDescent="0.3">
      <c r="A1615" s="28">
        <v>6.2043030045730179</v>
      </c>
      <c r="B1615" s="27">
        <v>0</v>
      </c>
      <c r="C1615" s="27">
        <v>16.3</v>
      </c>
      <c r="E1615" s="18"/>
    </row>
    <row r="1616" spans="1:5" ht="16.5" thickTop="1" thickBot="1" x14ac:dyDescent="0.3">
      <c r="A1616" s="28">
        <v>6.6600544327832596</v>
      </c>
      <c r="B1616" s="27">
        <v>0</v>
      </c>
      <c r="C1616" s="27">
        <v>16.3</v>
      </c>
      <c r="E1616" s="18"/>
    </row>
    <row r="1617" spans="1:5" ht="16.5" thickTop="1" thickBot="1" x14ac:dyDescent="0.3">
      <c r="A1617" s="28">
        <v>10.251727594043633</v>
      </c>
      <c r="B1617" s="27">
        <v>0</v>
      </c>
      <c r="C1617" s="27">
        <v>16.3</v>
      </c>
      <c r="E1617" s="18"/>
    </row>
    <row r="1618" spans="1:5" ht="16.5" thickTop="1" thickBot="1" x14ac:dyDescent="0.3">
      <c r="A1618" s="28">
        <v>4.6578963540597886</v>
      </c>
      <c r="B1618" s="27">
        <v>0</v>
      </c>
      <c r="C1618" s="27">
        <v>16.3</v>
      </c>
      <c r="E1618" s="18"/>
    </row>
    <row r="1619" spans="1:5" ht="16.5" thickTop="1" thickBot="1" x14ac:dyDescent="0.3">
      <c r="A1619" s="28">
        <v>10.23162971920339</v>
      </c>
      <c r="B1619" s="27">
        <v>0</v>
      </c>
      <c r="C1619" s="27">
        <v>16.3</v>
      </c>
      <c r="E1619" s="18"/>
    </row>
    <row r="1620" spans="1:5" ht="16.5" thickTop="1" thickBot="1" x14ac:dyDescent="0.3">
      <c r="A1620" s="28">
        <v>0.15300141468322281</v>
      </c>
      <c r="B1620" s="27">
        <v>0</v>
      </c>
      <c r="C1620" s="27">
        <v>16.3</v>
      </c>
      <c r="E1620" s="18"/>
    </row>
    <row r="1621" spans="1:5" ht="16.5" thickTop="1" thickBot="1" x14ac:dyDescent="0.3">
      <c r="A1621" s="28">
        <v>3.562089992549681</v>
      </c>
      <c r="B1621" s="27">
        <v>0</v>
      </c>
      <c r="C1621" s="27">
        <v>16.3</v>
      </c>
      <c r="E1621" s="18"/>
    </row>
    <row r="1622" spans="1:5" ht="16.5" thickTop="1" thickBot="1" x14ac:dyDescent="0.3">
      <c r="A1622" s="28">
        <v>3.7524436970159636</v>
      </c>
      <c r="B1622" s="27">
        <v>0</v>
      </c>
      <c r="C1622" s="27">
        <v>16.3</v>
      </c>
      <c r="E1622" s="18"/>
    </row>
    <row r="1623" spans="1:5" ht="16.5" thickTop="1" thickBot="1" x14ac:dyDescent="0.3">
      <c r="A1623" s="28">
        <v>1.980146331111627</v>
      </c>
      <c r="B1623" s="27">
        <v>0</v>
      </c>
      <c r="C1623" s="27">
        <v>16.3</v>
      </c>
      <c r="E1623" s="18"/>
    </row>
    <row r="1624" spans="1:5" ht="16.5" thickTop="1" thickBot="1" x14ac:dyDescent="0.3">
      <c r="A1624" s="28">
        <v>3.0005372033507864</v>
      </c>
      <c r="B1624" s="27">
        <v>0</v>
      </c>
      <c r="C1624" s="27">
        <v>16.3</v>
      </c>
      <c r="E1624" s="18"/>
    </row>
    <row r="1625" spans="1:5" ht="16.5" thickTop="1" thickBot="1" x14ac:dyDescent="0.3">
      <c r="A1625" s="28">
        <v>10.895737268043488</v>
      </c>
      <c r="B1625" s="27">
        <v>0</v>
      </c>
      <c r="C1625" s="27">
        <v>16.3</v>
      </c>
      <c r="E1625" s="18"/>
    </row>
    <row r="1626" spans="1:5" ht="16.5" thickTop="1" thickBot="1" x14ac:dyDescent="0.3">
      <c r="A1626" s="28">
        <v>5.4893877137637999</v>
      </c>
      <c r="B1626" s="27">
        <v>0</v>
      </c>
      <c r="C1626" s="27">
        <v>16.3</v>
      </c>
      <c r="E1626" s="18"/>
    </row>
    <row r="1627" spans="1:5" ht="16.5" thickTop="1" thickBot="1" x14ac:dyDescent="0.3">
      <c r="A1627" s="28">
        <v>2.3252894131797439</v>
      </c>
      <c r="B1627" s="27">
        <v>0</v>
      </c>
      <c r="C1627" s="27">
        <v>13.3</v>
      </c>
      <c r="E1627" s="18"/>
    </row>
    <row r="1628" spans="1:5" ht="16.5" thickTop="1" thickBot="1" x14ac:dyDescent="0.3">
      <c r="A1628" s="28">
        <v>2.3869109530475301</v>
      </c>
      <c r="B1628" s="27">
        <v>0</v>
      </c>
      <c r="C1628" s="27">
        <v>13.3</v>
      </c>
      <c r="E1628" s="18"/>
    </row>
    <row r="1629" spans="1:5" ht="16.5" thickTop="1" thickBot="1" x14ac:dyDescent="0.3">
      <c r="A1629" s="28">
        <v>6.769075215406148</v>
      </c>
      <c r="B1629" s="27">
        <v>0</v>
      </c>
      <c r="C1629" s="27">
        <v>13.3</v>
      </c>
      <c r="E1629" s="18"/>
    </row>
    <row r="1630" spans="1:5" ht="16.5" thickTop="1" thickBot="1" x14ac:dyDescent="0.3">
      <c r="A1630" s="28">
        <v>1.7414736594241309</v>
      </c>
      <c r="B1630" s="27">
        <v>0</v>
      </c>
      <c r="C1630" s="27">
        <v>13.3</v>
      </c>
      <c r="E1630" s="18"/>
    </row>
    <row r="1631" spans="1:5" ht="16.5" thickTop="1" thickBot="1" x14ac:dyDescent="0.3">
      <c r="A1631" s="28">
        <v>8.4878206831376737</v>
      </c>
      <c r="B1631" s="27">
        <v>0</v>
      </c>
      <c r="C1631" s="27">
        <v>13.3</v>
      </c>
      <c r="E1631" s="18"/>
    </row>
    <row r="1632" spans="1:5" ht="16.5" thickTop="1" thickBot="1" x14ac:dyDescent="0.3">
      <c r="A1632" s="28">
        <v>1.6414757657071521</v>
      </c>
      <c r="B1632" s="27">
        <v>0</v>
      </c>
      <c r="C1632" s="27">
        <v>13.3</v>
      </c>
      <c r="E1632" s="18"/>
    </row>
    <row r="1633" spans="1:5" ht="16.5" thickTop="1" thickBot="1" x14ac:dyDescent="0.3">
      <c r="A1633" s="28">
        <v>0.17516451701376878</v>
      </c>
      <c r="B1633" s="27">
        <v>0</v>
      </c>
      <c r="C1633" s="27">
        <v>13.3</v>
      </c>
      <c r="E1633" s="18"/>
    </row>
    <row r="1634" spans="1:5" ht="16.5" thickTop="1" thickBot="1" x14ac:dyDescent="0.3">
      <c r="A1634" s="28">
        <v>6.4500742565621145</v>
      </c>
      <c r="B1634" s="27">
        <v>0</v>
      </c>
      <c r="C1634" s="27">
        <v>13.3</v>
      </c>
      <c r="E1634" s="18"/>
    </row>
    <row r="1635" spans="1:5" ht="16.5" thickTop="1" thickBot="1" x14ac:dyDescent="0.3">
      <c r="A1635" s="28">
        <v>1.7269366327949371</v>
      </c>
      <c r="B1635" s="27">
        <v>0</v>
      </c>
      <c r="C1635" s="27">
        <v>13.3</v>
      </c>
      <c r="E1635" s="18"/>
    </row>
    <row r="1636" spans="1:5" ht="16.5" thickTop="1" thickBot="1" x14ac:dyDescent="0.3">
      <c r="A1636" s="28">
        <v>5.3167794546480538</v>
      </c>
      <c r="B1636" s="27">
        <v>0</v>
      </c>
      <c r="C1636" s="27">
        <v>13.3</v>
      </c>
      <c r="E1636" s="18"/>
    </row>
    <row r="1637" spans="1:5" ht="16.5" thickTop="1" thickBot="1" x14ac:dyDescent="0.3">
      <c r="A1637" s="28">
        <v>1.5581726009652073</v>
      </c>
      <c r="B1637" s="27">
        <v>0</v>
      </c>
      <c r="C1637" s="27">
        <v>13.3</v>
      </c>
      <c r="E1637" s="18"/>
    </row>
    <row r="1638" spans="1:5" ht="16.5" thickTop="1" thickBot="1" x14ac:dyDescent="0.3">
      <c r="A1638" s="28">
        <v>5.6089101317508048</v>
      </c>
      <c r="B1638" s="27">
        <v>0</v>
      </c>
      <c r="C1638" s="27">
        <v>13.3</v>
      </c>
      <c r="E1638" s="18"/>
    </row>
    <row r="1639" spans="1:5" ht="16.5" thickTop="1" thickBot="1" x14ac:dyDescent="0.3">
      <c r="A1639" s="28">
        <v>4.8553501723478911</v>
      </c>
      <c r="B1639" s="27">
        <v>0</v>
      </c>
      <c r="C1639" s="27">
        <v>13.3</v>
      </c>
      <c r="E1639" s="18"/>
    </row>
    <row r="1640" spans="1:5" ht="16.5" thickTop="1" thickBot="1" x14ac:dyDescent="0.3">
      <c r="A1640" s="28">
        <v>0.36147778409417475</v>
      </c>
      <c r="B1640" s="27">
        <v>0</v>
      </c>
      <c r="C1640" s="27">
        <v>13.3</v>
      </c>
      <c r="E1640" s="18"/>
    </row>
    <row r="1641" spans="1:5" ht="16.5" thickTop="1" thickBot="1" x14ac:dyDescent="0.3">
      <c r="A1641" s="28">
        <v>2.5432004630018912</v>
      </c>
      <c r="B1641" s="27">
        <v>0</v>
      </c>
      <c r="C1641" s="27">
        <v>13.3</v>
      </c>
      <c r="E1641" s="18"/>
    </row>
    <row r="1642" spans="1:5" ht="16.5" thickTop="1" thickBot="1" x14ac:dyDescent="0.3">
      <c r="A1642" s="28">
        <v>2.3132353632542615</v>
      </c>
      <c r="B1642" s="27">
        <v>0</v>
      </c>
      <c r="C1642" s="27">
        <v>13.3</v>
      </c>
      <c r="E1642" s="18"/>
    </row>
    <row r="1643" spans="1:5" ht="16.5" thickTop="1" thickBot="1" x14ac:dyDescent="0.3">
      <c r="A1643" s="28">
        <v>6.3372714178887346</v>
      </c>
      <c r="B1643" s="27">
        <v>0</v>
      </c>
      <c r="C1643" s="27">
        <v>13.3</v>
      </c>
      <c r="E1643" s="18"/>
    </row>
    <row r="1644" spans="1:5" ht="16.5" thickTop="1" thickBot="1" x14ac:dyDescent="0.3">
      <c r="A1644" s="28">
        <v>1.6136675116043131</v>
      </c>
      <c r="B1644" s="27">
        <v>0</v>
      </c>
      <c r="C1644" s="27">
        <v>21.3</v>
      </c>
      <c r="E1644" s="18"/>
    </row>
    <row r="1645" spans="1:5" ht="16.5" thickTop="1" thickBot="1" x14ac:dyDescent="0.3">
      <c r="A1645" s="28">
        <v>3.6411233516306218</v>
      </c>
      <c r="B1645" s="27">
        <v>0</v>
      </c>
      <c r="C1645" s="27">
        <v>21.3</v>
      </c>
      <c r="E1645" s="18"/>
    </row>
    <row r="1646" spans="1:5" ht="16.5" thickTop="1" thickBot="1" x14ac:dyDescent="0.3">
      <c r="A1646" s="28">
        <v>3.2581672262659498</v>
      </c>
      <c r="B1646" s="27">
        <v>0</v>
      </c>
      <c r="C1646" s="27">
        <v>21.3</v>
      </c>
      <c r="E1646" s="18"/>
    </row>
    <row r="1647" spans="1:5" ht="16.5" thickTop="1" thickBot="1" x14ac:dyDescent="0.3">
      <c r="A1647" s="28">
        <v>7.5878432246334206</v>
      </c>
      <c r="B1647" s="27">
        <v>0</v>
      </c>
      <c r="C1647" s="27">
        <v>21.3</v>
      </c>
      <c r="E1647" s="18"/>
    </row>
    <row r="1648" spans="1:5" ht="16.5" thickTop="1" thickBot="1" x14ac:dyDescent="0.3">
      <c r="A1648" s="28">
        <v>6.6497084884053459</v>
      </c>
      <c r="B1648" s="27">
        <v>0</v>
      </c>
      <c r="C1648" s="27">
        <v>21.3</v>
      </c>
      <c r="E1648" s="18"/>
    </row>
    <row r="1649" spans="1:5" ht="16.5" thickTop="1" thickBot="1" x14ac:dyDescent="0.3">
      <c r="A1649" s="28">
        <v>11.477218365979018</v>
      </c>
      <c r="B1649" s="27">
        <v>0</v>
      </c>
      <c r="C1649" s="27">
        <v>21.3</v>
      </c>
      <c r="E1649" s="18"/>
    </row>
    <row r="1650" spans="1:5" ht="16.5" thickTop="1" thickBot="1" x14ac:dyDescent="0.3">
      <c r="A1650" s="28">
        <v>2.7804012757066796</v>
      </c>
      <c r="B1650" s="27">
        <v>0</v>
      </c>
      <c r="C1650" s="27">
        <v>21.3</v>
      </c>
      <c r="E1650" s="18"/>
    </row>
    <row r="1651" spans="1:5" ht="16.5" thickTop="1" thickBot="1" x14ac:dyDescent="0.3">
      <c r="A1651" s="28">
        <v>8.7253704971497577</v>
      </c>
      <c r="B1651" s="27">
        <v>0</v>
      </c>
      <c r="C1651" s="27">
        <v>21.3</v>
      </c>
      <c r="E1651" s="18"/>
    </row>
    <row r="1652" spans="1:5" ht="16.5" thickTop="1" thickBot="1" x14ac:dyDescent="0.3">
      <c r="A1652" s="28">
        <v>3.2496935251277876</v>
      </c>
      <c r="B1652" s="27">
        <v>0</v>
      </c>
      <c r="C1652" s="27">
        <v>21.3</v>
      </c>
      <c r="E1652" s="18"/>
    </row>
    <row r="1653" spans="1:5" ht="16.5" thickTop="1" thickBot="1" x14ac:dyDescent="0.3">
      <c r="A1653" s="28">
        <v>3.9147376461443177</v>
      </c>
      <c r="B1653" s="27">
        <v>0</v>
      </c>
      <c r="C1653" s="27">
        <v>21.3</v>
      </c>
      <c r="E1653" s="18"/>
    </row>
    <row r="1654" spans="1:5" ht="16.5" thickTop="1" thickBot="1" x14ac:dyDescent="0.3">
      <c r="A1654" s="28">
        <v>2.421857496766342</v>
      </c>
      <c r="B1654" s="27">
        <v>0</v>
      </c>
      <c r="C1654" s="27">
        <v>21.3</v>
      </c>
      <c r="E1654" s="18"/>
    </row>
    <row r="1655" spans="1:5" ht="16.5" thickTop="1" thickBot="1" x14ac:dyDescent="0.3">
      <c r="A1655" s="28">
        <v>2.2249164829544914</v>
      </c>
      <c r="B1655" s="27">
        <v>0</v>
      </c>
      <c r="C1655" s="27">
        <v>21.3</v>
      </c>
      <c r="E1655" s="18"/>
    </row>
    <row r="1656" spans="1:5" ht="16.5" thickTop="1" thickBot="1" x14ac:dyDescent="0.3">
      <c r="A1656" s="28">
        <v>5.6555318358203603</v>
      </c>
      <c r="B1656" s="27">
        <v>0</v>
      </c>
      <c r="C1656" s="27">
        <v>21.3</v>
      </c>
      <c r="E1656" s="18"/>
    </row>
    <row r="1657" spans="1:5" ht="16.5" thickTop="1" thickBot="1" x14ac:dyDescent="0.3">
      <c r="A1657" s="28">
        <v>3.6861192098705993</v>
      </c>
      <c r="B1657" s="27">
        <v>0</v>
      </c>
      <c r="C1657" s="27">
        <v>21.3</v>
      </c>
      <c r="E1657" s="18"/>
    </row>
    <row r="1658" spans="1:5" ht="16.5" thickTop="1" thickBot="1" x14ac:dyDescent="0.3">
      <c r="A1658" s="28">
        <v>3.70415765062089</v>
      </c>
      <c r="B1658" s="27">
        <v>0</v>
      </c>
      <c r="C1658" s="27">
        <v>21.3</v>
      </c>
      <c r="E1658" s="18"/>
    </row>
    <row r="1659" spans="1:5" ht="16.5" thickTop="1" thickBot="1" x14ac:dyDescent="0.3">
      <c r="A1659" s="28">
        <v>1.9628046416723768</v>
      </c>
      <c r="B1659" s="27">
        <v>0</v>
      </c>
      <c r="C1659" s="27">
        <v>21.3</v>
      </c>
      <c r="E1659" s="18"/>
    </row>
    <row r="1660" spans="1:5" ht="16.5" thickTop="1" thickBot="1" x14ac:dyDescent="0.3">
      <c r="A1660" s="28">
        <v>3.566805313697416</v>
      </c>
      <c r="B1660" s="27">
        <v>0</v>
      </c>
      <c r="C1660" s="27">
        <v>11.6</v>
      </c>
      <c r="E1660" s="18"/>
    </row>
    <row r="1661" spans="1:5" ht="16.5" thickTop="1" thickBot="1" x14ac:dyDescent="0.3">
      <c r="A1661" s="28">
        <v>10.865574460494184</v>
      </c>
      <c r="B1661" s="27">
        <v>0</v>
      </c>
      <c r="C1661" s="27">
        <v>11.6</v>
      </c>
      <c r="E1661" s="18"/>
    </row>
    <row r="1662" spans="1:5" ht="16.5" thickTop="1" thickBot="1" x14ac:dyDescent="0.3">
      <c r="A1662" s="28">
        <v>5.026014851028469</v>
      </c>
      <c r="B1662" s="27">
        <v>0</v>
      </c>
      <c r="C1662" s="27">
        <v>11.6</v>
      </c>
      <c r="E1662" s="18"/>
    </row>
    <row r="1663" spans="1:5" ht="16.5" thickTop="1" thickBot="1" x14ac:dyDescent="0.3">
      <c r="A1663" s="28">
        <v>3.9008360515577625</v>
      </c>
      <c r="B1663" s="27">
        <v>0</v>
      </c>
      <c r="C1663" s="27">
        <v>11.6</v>
      </c>
      <c r="E1663" s="18"/>
    </row>
    <row r="1664" spans="1:5" ht="16.5" thickTop="1" thickBot="1" x14ac:dyDescent="0.3">
      <c r="A1664" s="28">
        <v>3.8796310195887926</v>
      </c>
      <c r="B1664" s="27">
        <v>0</v>
      </c>
      <c r="C1664" s="27">
        <v>11.6</v>
      </c>
      <c r="E1664" s="18"/>
    </row>
    <row r="1665" spans="1:5" ht="16.5" thickTop="1" thickBot="1" x14ac:dyDescent="0.3">
      <c r="A1665" s="28">
        <v>0.91620122321079567</v>
      </c>
      <c r="B1665" s="27">
        <v>0</v>
      </c>
      <c r="C1665" s="27">
        <v>11.6</v>
      </c>
      <c r="E1665" s="18"/>
    </row>
    <row r="1666" spans="1:5" ht="16.5" thickTop="1" thickBot="1" x14ac:dyDescent="0.3">
      <c r="A1666" s="28">
        <v>7.7101653925369495E-2</v>
      </c>
      <c r="B1666" s="27">
        <v>0</v>
      </c>
      <c r="C1666" s="27">
        <v>11.6</v>
      </c>
      <c r="E1666" s="18"/>
    </row>
    <row r="1667" spans="1:5" ht="16.5" thickTop="1" thickBot="1" x14ac:dyDescent="0.3">
      <c r="A1667" s="28">
        <v>11.176211796708142</v>
      </c>
      <c r="B1667" s="27">
        <v>0</v>
      </c>
      <c r="C1667" s="27">
        <v>11.6</v>
      </c>
      <c r="E1667" s="18"/>
    </row>
    <row r="1668" spans="1:5" ht="16.5" thickTop="1" thickBot="1" x14ac:dyDescent="0.3">
      <c r="A1668" s="28">
        <v>0.11627130387692353</v>
      </c>
      <c r="B1668" s="27">
        <v>0</v>
      </c>
      <c r="C1668" s="27">
        <v>11.6</v>
      </c>
      <c r="E1668" s="18"/>
    </row>
    <row r="1669" spans="1:5" ht="16.5" thickTop="1" thickBot="1" x14ac:dyDescent="0.3">
      <c r="A1669" s="28">
        <v>6.8173974787865017</v>
      </c>
      <c r="B1669" s="27">
        <v>0</v>
      </c>
      <c r="C1669" s="27">
        <v>11.6</v>
      </c>
      <c r="E1669" s="18"/>
    </row>
    <row r="1670" spans="1:5" ht="16.5" thickTop="1" thickBot="1" x14ac:dyDescent="0.3">
      <c r="A1670" s="28">
        <v>6.109861924258734</v>
      </c>
      <c r="B1670" s="27">
        <v>0</v>
      </c>
      <c r="C1670" s="27">
        <v>11.6</v>
      </c>
      <c r="E1670" s="18"/>
    </row>
    <row r="1671" spans="1:5" ht="16.5" thickTop="1" thickBot="1" x14ac:dyDescent="0.3">
      <c r="A1671" s="28">
        <v>10.140395751792603</v>
      </c>
      <c r="B1671" s="27">
        <v>0</v>
      </c>
      <c r="C1671" s="27">
        <v>11.6</v>
      </c>
      <c r="E1671" s="18"/>
    </row>
    <row r="1672" spans="1:5" ht="16.5" thickTop="1" thickBot="1" x14ac:dyDescent="0.3">
      <c r="A1672" s="28">
        <v>2.7555900345340638</v>
      </c>
      <c r="B1672" s="27">
        <v>0</v>
      </c>
      <c r="C1672" s="27">
        <v>11.6</v>
      </c>
      <c r="E1672" s="18"/>
    </row>
    <row r="1673" spans="1:5" ht="16.5" thickTop="1" thickBot="1" x14ac:dyDescent="0.3">
      <c r="A1673" s="28">
        <v>6.0505090401805006</v>
      </c>
      <c r="B1673" s="27">
        <v>0</v>
      </c>
      <c r="C1673" s="27">
        <v>11.6</v>
      </c>
      <c r="E1673" s="18"/>
    </row>
    <row r="1674" spans="1:5" ht="16.5" thickTop="1" thickBot="1" x14ac:dyDescent="0.3">
      <c r="A1674" s="28">
        <v>0.21942154166281191</v>
      </c>
      <c r="B1674" s="27">
        <v>0</v>
      </c>
      <c r="C1674" s="27">
        <v>11.6</v>
      </c>
      <c r="E1674" s="18"/>
    </row>
    <row r="1675" spans="1:5" ht="16.5" thickTop="1" thickBot="1" x14ac:dyDescent="0.3">
      <c r="A1675" s="28">
        <v>1.072488683672582</v>
      </c>
      <c r="B1675" s="27">
        <v>0</v>
      </c>
      <c r="C1675" s="27">
        <v>11.6</v>
      </c>
      <c r="E1675" s="18"/>
    </row>
    <row r="1676" spans="1:5" ht="16.5" thickTop="1" thickBot="1" x14ac:dyDescent="0.3">
      <c r="A1676" s="28">
        <v>5.5816330150682534</v>
      </c>
      <c r="B1676" s="27">
        <v>0</v>
      </c>
      <c r="C1676" s="27">
        <v>14.5</v>
      </c>
      <c r="E1676" s="18"/>
    </row>
    <row r="1677" spans="1:5" ht="16.5" thickTop="1" thickBot="1" x14ac:dyDescent="0.3">
      <c r="A1677" s="28">
        <v>0.20793493196271084</v>
      </c>
      <c r="B1677" s="27">
        <v>0</v>
      </c>
      <c r="C1677" s="27">
        <v>14.5</v>
      </c>
      <c r="E1677" s="18"/>
    </row>
    <row r="1678" spans="1:5" ht="16.5" thickTop="1" thickBot="1" x14ac:dyDescent="0.3">
      <c r="A1678" s="28">
        <v>1.0035309407485569</v>
      </c>
      <c r="B1678" s="27">
        <v>0</v>
      </c>
      <c r="C1678" s="27">
        <v>14.5</v>
      </c>
      <c r="E1678" s="18"/>
    </row>
    <row r="1679" spans="1:5" ht="16.5" thickTop="1" thickBot="1" x14ac:dyDescent="0.3">
      <c r="A1679" s="28">
        <v>5.6688888948015803</v>
      </c>
      <c r="B1679" s="27">
        <v>0</v>
      </c>
      <c r="C1679" s="27">
        <v>14.5</v>
      </c>
      <c r="E1679" s="18"/>
    </row>
    <row r="1680" spans="1:5" ht="16.5" thickTop="1" thickBot="1" x14ac:dyDescent="0.3">
      <c r="A1680" s="28">
        <v>6.8182339391784259</v>
      </c>
      <c r="B1680" s="27">
        <v>0</v>
      </c>
      <c r="C1680" s="27">
        <v>14.5</v>
      </c>
      <c r="E1680" s="18"/>
    </row>
    <row r="1681" spans="1:5" ht="16.5" thickTop="1" thickBot="1" x14ac:dyDescent="0.3">
      <c r="A1681" s="28">
        <v>11.417094757990593</v>
      </c>
      <c r="B1681" s="27">
        <v>0</v>
      </c>
      <c r="C1681" s="27">
        <v>14.5</v>
      </c>
      <c r="E1681" s="18"/>
    </row>
    <row r="1682" spans="1:5" ht="16.5" thickTop="1" thickBot="1" x14ac:dyDescent="0.3">
      <c r="A1682" s="28">
        <v>1.7721810243310872</v>
      </c>
      <c r="B1682" s="27">
        <v>0</v>
      </c>
      <c r="C1682" s="27">
        <v>14.5</v>
      </c>
      <c r="E1682" s="18"/>
    </row>
    <row r="1683" spans="1:5" ht="16.5" thickTop="1" thickBot="1" x14ac:dyDescent="0.3">
      <c r="A1683" s="28">
        <v>6.6823613709599714</v>
      </c>
      <c r="B1683" s="27">
        <v>0</v>
      </c>
      <c r="C1683" s="27">
        <v>14.5</v>
      </c>
      <c r="E1683" s="18"/>
    </row>
    <row r="1684" spans="1:5" ht="16.5" thickTop="1" thickBot="1" x14ac:dyDescent="0.3">
      <c r="A1684" s="28">
        <v>5.2291651599517515</v>
      </c>
      <c r="B1684" s="27">
        <v>0</v>
      </c>
      <c r="C1684" s="27">
        <v>14.5</v>
      </c>
      <c r="E1684" s="18"/>
    </row>
    <row r="1685" spans="1:5" ht="16.5" thickTop="1" thickBot="1" x14ac:dyDescent="0.3">
      <c r="A1685" s="28">
        <v>5.4315168118334682</v>
      </c>
      <c r="B1685" s="27">
        <v>0</v>
      </c>
      <c r="C1685" s="27">
        <v>14.5</v>
      </c>
      <c r="E1685" s="18"/>
    </row>
    <row r="1686" spans="1:5" ht="16.5" thickTop="1" thickBot="1" x14ac:dyDescent="0.3">
      <c r="A1686" s="28">
        <v>0.71284639273903594</v>
      </c>
      <c r="B1686" s="27">
        <v>0</v>
      </c>
      <c r="C1686" s="27">
        <v>14.5</v>
      </c>
      <c r="E1686" s="18"/>
    </row>
    <row r="1687" spans="1:5" ht="16.5" thickTop="1" thickBot="1" x14ac:dyDescent="0.3">
      <c r="A1687" s="28">
        <v>6.5979439427288531</v>
      </c>
      <c r="B1687" s="27">
        <v>0</v>
      </c>
      <c r="C1687" s="27">
        <v>14.5</v>
      </c>
      <c r="E1687" s="18"/>
    </row>
    <row r="1688" spans="1:5" ht="16.5" thickTop="1" thickBot="1" x14ac:dyDescent="0.3">
      <c r="A1688" s="28">
        <v>6.8971457037114607</v>
      </c>
      <c r="B1688" s="27">
        <v>0</v>
      </c>
      <c r="C1688" s="27">
        <v>14.5</v>
      </c>
      <c r="E1688" s="18"/>
    </row>
    <row r="1689" spans="1:5" ht="16.5" thickTop="1" thickBot="1" x14ac:dyDescent="0.3">
      <c r="A1689" s="28">
        <v>0.43834127339543905</v>
      </c>
      <c r="B1689" s="27">
        <v>0</v>
      </c>
      <c r="C1689" s="27">
        <v>14.5</v>
      </c>
      <c r="E1689" s="18"/>
    </row>
    <row r="1690" spans="1:5" ht="16.5" thickTop="1" thickBot="1" x14ac:dyDescent="0.3">
      <c r="A1690" s="28">
        <v>4.8763662403310493</v>
      </c>
      <c r="B1690" s="27">
        <v>0</v>
      </c>
      <c r="C1690" s="27">
        <v>14.5</v>
      </c>
      <c r="E1690" s="18"/>
    </row>
    <row r="1691" spans="1:5" ht="16.5" thickTop="1" thickBot="1" x14ac:dyDescent="0.3">
      <c r="A1691" s="28">
        <v>10.13477181270328</v>
      </c>
      <c r="B1691" s="27">
        <v>0</v>
      </c>
      <c r="C1691" s="27">
        <v>14.5</v>
      </c>
      <c r="E1691" s="18"/>
    </row>
    <row r="1692" spans="1:5" ht="16.5" thickTop="1" thickBot="1" x14ac:dyDescent="0.3">
      <c r="A1692" s="28">
        <v>1.7632920419861859</v>
      </c>
      <c r="B1692" s="27">
        <v>0</v>
      </c>
      <c r="C1692" s="27">
        <v>14.5</v>
      </c>
      <c r="E1692" s="18"/>
    </row>
    <row r="1693" spans="1:5" ht="16.5" thickTop="1" thickBot="1" x14ac:dyDescent="0.3">
      <c r="A1693" s="28">
        <v>6.9327340412576017</v>
      </c>
      <c r="B1693" s="27">
        <v>0</v>
      </c>
      <c r="C1693" s="27">
        <v>14.9</v>
      </c>
      <c r="E1693" s="18"/>
    </row>
    <row r="1694" spans="1:5" ht="16.5" thickTop="1" thickBot="1" x14ac:dyDescent="0.3">
      <c r="A1694" s="28">
        <v>2.4249393056611006</v>
      </c>
      <c r="B1694" s="27">
        <v>0</v>
      </c>
      <c r="C1694" s="27">
        <v>14.9</v>
      </c>
      <c r="E1694" s="18"/>
    </row>
    <row r="1695" spans="1:5" ht="16.5" thickTop="1" thickBot="1" x14ac:dyDescent="0.3">
      <c r="A1695" s="28">
        <v>5.8117788268742014</v>
      </c>
      <c r="B1695" s="27">
        <v>0</v>
      </c>
      <c r="C1695" s="27">
        <v>14.9</v>
      </c>
      <c r="E1695" s="18"/>
    </row>
    <row r="1696" spans="1:5" ht="16.5" thickTop="1" thickBot="1" x14ac:dyDescent="0.3">
      <c r="A1696" s="28">
        <v>3.762848794772379</v>
      </c>
      <c r="B1696" s="27">
        <v>0</v>
      </c>
      <c r="C1696" s="27">
        <v>14.9</v>
      </c>
      <c r="E1696" s="18"/>
    </row>
    <row r="1697" spans="1:5" ht="16.5" thickTop="1" thickBot="1" x14ac:dyDescent="0.3">
      <c r="A1697" s="28">
        <v>7.9270088961488172</v>
      </c>
      <c r="B1697" s="27">
        <v>0</v>
      </c>
      <c r="C1697" s="27">
        <v>14.9</v>
      </c>
      <c r="E1697" s="18"/>
    </row>
    <row r="1698" spans="1:5" ht="16.5" thickTop="1" thickBot="1" x14ac:dyDescent="0.3">
      <c r="A1698" s="28">
        <v>3.8916829119229917</v>
      </c>
      <c r="B1698" s="27">
        <v>0</v>
      </c>
      <c r="C1698" s="27">
        <v>14.9</v>
      </c>
      <c r="E1698" s="18"/>
    </row>
    <row r="1699" spans="1:5" ht="16.5" thickTop="1" thickBot="1" x14ac:dyDescent="0.3">
      <c r="A1699" s="28">
        <v>1.9593812635410743</v>
      </c>
      <c r="B1699" s="27">
        <v>0</v>
      </c>
      <c r="C1699" s="27">
        <v>14.9</v>
      </c>
      <c r="E1699" s="18"/>
    </row>
    <row r="1700" spans="1:5" ht="16.5" thickTop="1" thickBot="1" x14ac:dyDescent="0.3">
      <c r="A1700" s="28">
        <v>1.7789193712126674</v>
      </c>
      <c r="B1700" s="27">
        <v>0</v>
      </c>
      <c r="C1700" s="27">
        <v>14.9</v>
      </c>
      <c r="E1700" s="18"/>
    </row>
    <row r="1701" spans="1:5" ht="16.5" thickTop="1" thickBot="1" x14ac:dyDescent="0.3">
      <c r="A1701" s="28">
        <v>9.7881336895793662</v>
      </c>
      <c r="B1701" s="27">
        <v>0</v>
      </c>
      <c r="C1701" s="27">
        <v>14.9</v>
      </c>
      <c r="E1701" s="18"/>
    </row>
    <row r="1702" spans="1:5" ht="16.5" thickTop="1" thickBot="1" x14ac:dyDescent="0.3">
      <c r="A1702" s="28">
        <v>5.0351790027217156</v>
      </c>
      <c r="B1702" s="27">
        <v>0</v>
      </c>
      <c r="C1702" s="27">
        <v>14.9</v>
      </c>
      <c r="E1702" s="18"/>
    </row>
    <row r="1703" spans="1:5" ht="16.5" thickTop="1" thickBot="1" x14ac:dyDescent="0.3">
      <c r="A1703" s="28">
        <v>10.42511454625542</v>
      </c>
      <c r="B1703" s="27">
        <v>0</v>
      </c>
      <c r="C1703" s="27">
        <v>14.9</v>
      </c>
      <c r="E1703" s="18"/>
    </row>
    <row r="1704" spans="1:5" ht="16.5" thickTop="1" thickBot="1" x14ac:dyDescent="0.3">
      <c r="A1704" s="28">
        <v>0.18964638209196627</v>
      </c>
      <c r="B1704" s="27">
        <v>0</v>
      </c>
      <c r="C1704" s="27">
        <v>14.9</v>
      </c>
      <c r="E1704" s="18"/>
    </row>
    <row r="1705" spans="1:5" ht="16.5" thickTop="1" thickBot="1" x14ac:dyDescent="0.3">
      <c r="A1705" s="28">
        <v>5.6481481598396011</v>
      </c>
      <c r="B1705" s="27">
        <v>0</v>
      </c>
      <c r="C1705" s="27">
        <v>14.9</v>
      </c>
      <c r="E1705" s="18"/>
    </row>
    <row r="1706" spans="1:5" ht="16.5" thickTop="1" thickBot="1" x14ac:dyDescent="0.3">
      <c r="A1706" s="28">
        <v>0.55541750086330177</v>
      </c>
      <c r="B1706" s="27">
        <v>0</v>
      </c>
      <c r="C1706" s="27">
        <v>14.9</v>
      </c>
      <c r="E1706" s="18"/>
    </row>
    <row r="1707" spans="1:5" ht="16.5" thickTop="1" thickBot="1" x14ac:dyDescent="0.3">
      <c r="A1707" s="28">
        <v>5.7655653441953447</v>
      </c>
      <c r="B1707" s="27">
        <v>0</v>
      </c>
      <c r="C1707" s="27">
        <v>14.9</v>
      </c>
      <c r="E1707" s="18"/>
    </row>
    <row r="1708" spans="1:5" ht="16.5" thickTop="1" thickBot="1" x14ac:dyDescent="0.3">
      <c r="A1708" s="28">
        <v>3.6167577409681373</v>
      </c>
      <c r="B1708" s="27">
        <v>0</v>
      </c>
      <c r="C1708" s="27">
        <v>14.9</v>
      </c>
      <c r="E1708" s="18"/>
    </row>
    <row r="1709" spans="1:5" ht="16.5" thickTop="1" thickBot="1" x14ac:dyDescent="0.3">
      <c r="A1709" s="28">
        <v>4.3088714168034894</v>
      </c>
      <c r="B1709" s="27">
        <v>0</v>
      </c>
      <c r="C1709" s="27">
        <v>14.9</v>
      </c>
      <c r="E1709" s="18"/>
    </row>
    <row r="1710" spans="1:5" ht="16.5" thickTop="1" thickBot="1" x14ac:dyDescent="0.3">
      <c r="A1710" s="28">
        <v>5.7512446651789793</v>
      </c>
      <c r="B1710" s="27">
        <v>0</v>
      </c>
      <c r="C1710" s="27">
        <v>16.8</v>
      </c>
      <c r="E1710" s="18"/>
    </row>
    <row r="1711" spans="1:5" ht="16.5" thickTop="1" thickBot="1" x14ac:dyDescent="0.3">
      <c r="A1711" s="28">
        <v>10.570205159362665</v>
      </c>
      <c r="B1711" s="27">
        <v>0</v>
      </c>
      <c r="C1711" s="27">
        <v>16.8</v>
      </c>
      <c r="E1711" s="18"/>
    </row>
    <row r="1712" spans="1:5" ht="16.5" thickTop="1" thickBot="1" x14ac:dyDescent="0.3">
      <c r="A1712" s="28">
        <v>0.84075093884270524</v>
      </c>
      <c r="B1712" s="27">
        <v>0</v>
      </c>
      <c r="C1712" s="27">
        <v>16.8</v>
      </c>
      <c r="E1712" s="18"/>
    </row>
    <row r="1713" spans="1:5" ht="16.5" thickTop="1" thickBot="1" x14ac:dyDescent="0.3">
      <c r="A1713" s="28">
        <v>11.650000557914133</v>
      </c>
      <c r="B1713" s="27">
        <v>0</v>
      </c>
      <c r="C1713" s="27">
        <v>16.8</v>
      </c>
      <c r="E1713" s="18"/>
    </row>
    <row r="1714" spans="1:5" ht="16.5" thickTop="1" thickBot="1" x14ac:dyDescent="0.3">
      <c r="A1714" s="28">
        <v>0.12636224272802299</v>
      </c>
      <c r="B1714" s="27">
        <v>0</v>
      </c>
      <c r="C1714" s="27">
        <v>16.8</v>
      </c>
      <c r="E1714" s="18"/>
    </row>
    <row r="1715" spans="1:5" ht="16.5" thickTop="1" thickBot="1" x14ac:dyDescent="0.3">
      <c r="A1715" s="28">
        <v>2.5072586882745198</v>
      </c>
      <c r="B1715" s="27">
        <v>0</v>
      </c>
      <c r="C1715" s="27">
        <v>16.8</v>
      </c>
      <c r="E1715" s="18"/>
    </row>
    <row r="1716" spans="1:5" ht="16.5" thickTop="1" thickBot="1" x14ac:dyDescent="0.3">
      <c r="A1716" s="28">
        <v>0.48118917897311797</v>
      </c>
      <c r="B1716" s="27">
        <v>0</v>
      </c>
      <c r="C1716" s="27">
        <v>16.8</v>
      </c>
      <c r="E1716" s="18"/>
    </row>
    <row r="1717" spans="1:5" ht="16.5" thickTop="1" thickBot="1" x14ac:dyDescent="0.3">
      <c r="A1717" s="28">
        <v>11.402011289361777</v>
      </c>
      <c r="B1717" s="27">
        <v>0</v>
      </c>
      <c r="C1717" s="27">
        <v>16.8</v>
      </c>
      <c r="E1717" s="18"/>
    </row>
    <row r="1718" spans="1:5" ht="16.5" thickTop="1" thickBot="1" x14ac:dyDescent="0.3">
      <c r="A1718" s="28">
        <v>6.9368869305944303</v>
      </c>
      <c r="B1718" s="27">
        <v>0</v>
      </c>
      <c r="C1718" s="27">
        <v>16.8</v>
      </c>
      <c r="E1718" s="18"/>
    </row>
    <row r="1719" spans="1:5" ht="16.5" thickTop="1" thickBot="1" x14ac:dyDescent="0.3">
      <c r="A1719" s="28">
        <v>5.25812724854522</v>
      </c>
      <c r="B1719" s="27">
        <v>0</v>
      </c>
      <c r="C1719" s="27">
        <v>16.8</v>
      </c>
      <c r="E1719" s="18"/>
    </row>
    <row r="1720" spans="1:5" ht="16.5" thickTop="1" thickBot="1" x14ac:dyDescent="0.3">
      <c r="A1720" s="28">
        <v>0.57485226966423586</v>
      </c>
      <c r="B1720" s="27">
        <v>0</v>
      </c>
      <c r="C1720" s="27">
        <v>16.8</v>
      </c>
      <c r="E1720" s="18"/>
    </row>
    <row r="1721" spans="1:5" ht="16.5" thickTop="1" thickBot="1" x14ac:dyDescent="0.3">
      <c r="A1721" s="28">
        <v>6.6645238189045681</v>
      </c>
      <c r="B1721" s="27">
        <v>0</v>
      </c>
      <c r="C1721" s="27">
        <v>16.8</v>
      </c>
      <c r="E1721" s="18"/>
    </row>
    <row r="1722" spans="1:5" ht="16.5" thickTop="1" thickBot="1" x14ac:dyDescent="0.3">
      <c r="A1722" s="28">
        <v>1.2929483442812986</v>
      </c>
      <c r="B1722" s="27">
        <v>0</v>
      </c>
      <c r="C1722" s="27">
        <v>16.8</v>
      </c>
      <c r="E1722" s="18"/>
    </row>
    <row r="1723" spans="1:5" ht="16.5" thickTop="1" thickBot="1" x14ac:dyDescent="0.3">
      <c r="A1723" s="28">
        <v>8.2109623605978435</v>
      </c>
      <c r="B1723" s="27">
        <v>0</v>
      </c>
      <c r="C1723" s="27">
        <v>16.8</v>
      </c>
      <c r="E1723" s="18"/>
    </row>
    <row r="1724" spans="1:5" ht="16.5" thickTop="1" thickBot="1" x14ac:dyDescent="0.3">
      <c r="A1724" s="28">
        <v>3.7141656274343298</v>
      </c>
      <c r="B1724" s="27">
        <v>0</v>
      </c>
      <c r="C1724" s="27">
        <v>16.8</v>
      </c>
      <c r="E1724" s="18"/>
    </row>
    <row r="1725" spans="1:5" ht="16.5" thickTop="1" thickBot="1" x14ac:dyDescent="0.3">
      <c r="A1725" s="28">
        <v>0.68089867834904227</v>
      </c>
      <c r="B1725" s="27">
        <v>0</v>
      </c>
      <c r="C1725" s="27">
        <v>16.8</v>
      </c>
      <c r="E1725" s="18"/>
    </row>
    <row r="1726" spans="1:5" ht="16.5" thickTop="1" thickBot="1" x14ac:dyDescent="0.3">
      <c r="A1726" s="28">
        <v>0.77341987438849347</v>
      </c>
      <c r="B1726" s="27">
        <v>0</v>
      </c>
      <c r="C1726" s="27">
        <v>16.8</v>
      </c>
      <c r="E1726" s="18"/>
    </row>
    <row r="1727" spans="1:5" ht="16.5" thickTop="1" thickBot="1" x14ac:dyDescent="0.3">
      <c r="A1727" s="28">
        <v>0.45186668949562803</v>
      </c>
      <c r="B1727" s="27">
        <v>0</v>
      </c>
      <c r="C1727" s="27">
        <v>12</v>
      </c>
      <c r="E1727" s="18"/>
    </row>
    <row r="1728" spans="1:5" ht="16.5" thickTop="1" thickBot="1" x14ac:dyDescent="0.3">
      <c r="A1728" s="28">
        <v>6.7011780874092128</v>
      </c>
      <c r="B1728" s="27">
        <v>0</v>
      </c>
      <c r="C1728" s="27">
        <v>12</v>
      </c>
      <c r="E1728" s="18"/>
    </row>
    <row r="1729" spans="1:5" ht="16.5" thickTop="1" thickBot="1" x14ac:dyDescent="0.3">
      <c r="A1729" s="28">
        <v>7.8435377519105263</v>
      </c>
      <c r="B1729" s="27">
        <v>0</v>
      </c>
      <c r="C1729" s="27">
        <v>12</v>
      </c>
      <c r="E1729" s="18"/>
    </row>
    <row r="1730" spans="1:5" ht="16.5" thickTop="1" thickBot="1" x14ac:dyDescent="0.3">
      <c r="A1730" s="28">
        <v>0.54796829817025161</v>
      </c>
      <c r="B1730" s="27">
        <v>0</v>
      </c>
      <c r="C1730" s="27">
        <v>12</v>
      </c>
      <c r="E1730" s="18"/>
    </row>
    <row r="1731" spans="1:5" ht="16.5" thickTop="1" thickBot="1" x14ac:dyDescent="0.3">
      <c r="A1731" s="28">
        <v>7.3813522822670441</v>
      </c>
      <c r="B1731" s="27">
        <v>0</v>
      </c>
      <c r="C1731" s="27">
        <v>12</v>
      </c>
      <c r="E1731" s="18"/>
    </row>
    <row r="1732" spans="1:5" ht="16.5" thickTop="1" thickBot="1" x14ac:dyDescent="0.3">
      <c r="A1732" s="28">
        <v>0.93511886072671901</v>
      </c>
      <c r="B1732" s="27">
        <v>0</v>
      </c>
      <c r="C1732" s="27">
        <v>12</v>
      </c>
      <c r="E1732" s="18"/>
    </row>
    <row r="1733" spans="1:5" ht="16.5" thickTop="1" thickBot="1" x14ac:dyDescent="0.3">
      <c r="A1733" s="28">
        <v>2.3608113327597318</v>
      </c>
      <c r="B1733" s="27">
        <v>0</v>
      </c>
      <c r="C1733" s="27">
        <v>12</v>
      </c>
      <c r="E1733" s="18"/>
    </row>
    <row r="1734" spans="1:5" ht="16.5" thickTop="1" thickBot="1" x14ac:dyDescent="0.3">
      <c r="A1734" s="28">
        <v>1.8015328277892473</v>
      </c>
      <c r="B1734" s="27">
        <v>0</v>
      </c>
      <c r="C1734" s="27">
        <v>12</v>
      </c>
      <c r="E1734" s="18"/>
    </row>
    <row r="1735" spans="1:5" ht="16.5" thickTop="1" thickBot="1" x14ac:dyDescent="0.3">
      <c r="A1735" s="28">
        <v>0.40961620742554317</v>
      </c>
      <c r="B1735" s="27">
        <v>0</v>
      </c>
      <c r="C1735" s="27">
        <v>12</v>
      </c>
      <c r="E1735" s="18"/>
    </row>
    <row r="1736" spans="1:5" ht="16.5" thickTop="1" thickBot="1" x14ac:dyDescent="0.3">
      <c r="A1736" s="28">
        <v>5.6269327044669843</v>
      </c>
      <c r="B1736" s="27">
        <v>0</v>
      </c>
      <c r="C1736" s="27">
        <v>12</v>
      </c>
      <c r="E1736" s="18"/>
    </row>
    <row r="1737" spans="1:5" ht="16.5" thickTop="1" thickBot="1" x14ac:dyDescent="0.3">
      <c r="A1737" s="28">
        <v>10.49085900383797</v>
      </c>
      <c r="B1737" s="27">
        <v>0</v>
      </c>
      <c r="C1737" s="27">
        <v>12</v>
      </c>
      <c r="E1737" s="18"/>
    </row>
    <row r="1738" spans="1:5" ht="16.5" thickTop="1" thickBot="1" x14ac:dyDescent="0.3">
      <c r="A1738" s="28">
        <v>5.6979488442668327</v>
      </c>
      <c r="B1738" s="27">
        <v>0</v>
      </c>
      <c r="C1738" s="27">
        <v>12</v>
      </c>
      <c r="E1738" s="18"/>
    </row>
    <row r="1739" spans="1:5" ht="16.5" thickTop="1" thickBot="1" x14ac:dyDescent="0.3">
      <c r="A1739" s="28">
        <v>7.1220844869919677</v>
      </c>
      <c r="B1739" s="27">
        <v>0</v>
      </c>
      <c r="C1739" s="27">
        <v>12</v>
      </c>
      <c r="E1739" s="18"/>
    </row>
    <row r="1740" spans="1:5" ht="16.5" thickTop="1" thickBot="1" x14ac:dyDescent="0.3">
      <c r="A1740" s="28">
        <v>2.8252599621043188</v>
      </c>
      <c r="B1740" s="27">
        <v>0</v>
      </c>
      <c r="C1740" s="27">
        <v>12</v>
      </c>
      <c r="E1740" s="18"/>
    </row>
    <row r="1741" spans="1:5" ht="16.5" thickTop="1" thickBot="1" x14ac:dyDescent="0.3">
      <c r="A1741" s="28">
        <v>4.3697529626840055</v>
      </c>
      <c r="B1741" s="27">
        <v>0</v>
      </c>
      <c r="C1741" s="27">
        <v>10.6</v>
      </c>
      <c r="E1741" s="18"/>
    </row>
    <row r="1742" spans="1:5" ht="16.5" thickTop="1" thickBot="1" x14ac:dyDescent="0.3">
      <c r="A1742" s="28">
        <v>0.27583750286236275</v>
      </c>
      <c r="B1742" s="27">
        <v>0</v>
      </c>
      <c r="C1742" s="27">
        <v>10.6</v>
      </c>
      <c r="E1742" s="18"/>
    </row>
    <row r="1743" spans="1:5" ht="16.5" thickTop="1" thickBot="1" x14ac:dyDescent="0.3">
      <c r="A1743" s="28">
        <v>8.2310640608650072</v>
      </c>
      <c r="B1743" s="27">
        <v>0</v>
      </c>
      <c r="C1743" s="27">
        <v>10.6</v>
      </c>
      <c r="E1743" s="18"/>
    </row>
    <row r="1744" spans="1:5" ht="16.5" thickTop="1" thickBot="1" x14ac:dyDescent="0.3">
      <c r="A1744" s="28">
        <v>3.7357815281098938</v>
      </c>
      <c r="B1744" s="27">
        <v>0</v>
      </c>
      <c r="C1744" s="27">
        <v>10.6</v>
      </c>
      <c r="E1744" s="18"/>
    </row>
    <row r="1745" spans="1:5" ht="16.5" thickTop="1" thickBot="1" x14ac:dyDescent="0.3">
      <c r="A1745" s="28">
        <v>8.1954634514326408</v>
      </c>
      <c r="B1745" s="27">
        <v>0</v>
      </c>
      <c r="C1745" s="27">
        <v>10.6</v>
      </c>
      <c r="E1745" s="18"/>
    </row>
    <row r="1746" spans="1:5" ht="16.5" thickTop="1" thickBot="1" x14ac:dyDescent="0.3">
      <c r="A1746" s="28">
        <v>2.7044616828064916</v>
      </c>
      <c r="B1746" s="27">
        <v>0</v>
      </c>
      <c r="C1746" s="27">
        <v>10.6</v>
      </c>
      <c r="E1746" s="18"/>
    </row>
    <row r="1747" spans="1:5" ht="16.5" thickTop="1" thickBot="1" x14ac:dyDescent="0.3">
      <c r="A1747" s="28">
        <v>0.90267014321790118</v>
      </c>
      <c r="B1747" s="27">
        <v>0</v>
      </c>
      <c r="C1747" s="27">
        <v>10.6</v>
      </c>
      <c r="E1747" s="18"/>
    </row>
    <row r="1748" spans="1:5" ht="16.5" thickTop="1" thickBot="1" x14ac:dyDescent="0.3">
      <c r="A1748" s="28">
        <v>6.2037962984230344</v>
      </c>
      <c r="B1748" s="27">
        <v>0</v>
      </c>
      <c r="C1748" s="27">
        <v>10.6</v>
      </c>
      <c r="E1748" s="18"/>
    </row>
    <row r="1749" spans="1:5" ht="16.5" thickTop="1" thickBot="1" x14ac:dyDescent="0.3">
      <c r="A1749" s="28">
        <v>6.0758994533699671</v>
      </c>
      <c r="B1749" s="27">
        <v>0</v>
      </c>
      <c r="C1749" s="27">
        <v>10.6</v>
      </c>
      <c r="E1749" s="18"/>
    </row>
    <row r="1750" spans="1:5" ht="16.5" thickTop="1" thickBot="1" x14ac:dyDescent="0.3">
      <c r="A1750" s="28">
        <v>0.97191478433637579</v>
      </c>
      <c r="B1750" s="27">
        <v>0</v>
      </c>
      <c r="C1750" s="27">
        <v>10.6</v>
      </c>
      <c r="E1750" s="18"/>
    </row>
    <row r="1751" spans="1:5" ht="16.5" thickTop="1" thickBot="1" x14ac:dyDescent="0.3">
      <c r="A1751" s="28">
        <v>1.8424860727180938</v>
      </c>
      <c r="B1751" s="27">
        <v>0</v>
      </c>
      <c r="C1751" s="27">
        <v>10.6</v>
      </c>
      <c r="E1751" s="18"/>
    </row>
    <row r="1752" spans="1:5" ht="16.5" thickTop="1" thickBot="1" x14ac:dyDescent="0.3">
      <c r="A1752" s="28">
        <v>4.6059381311514818</v>
      </c>
      <c r="B1752" s="27">
        <v>0</v>
      </c>
      <c r="C1752" s="27">
        <v>10.6</v>
      </c>
      <c r="E1752" s="18"/>
    </row>
    <row r="1753" spans="1:5" ht="16.5" thickTop="1" thickBot="1" x14ac:dyDescent="0.3">
      <c r="A1753" s="28">
        <v>2.2099445568553371</v>
      </c>
      <c r="B1753" s="27">
        <v>0</v>
      </c>
      <c r="C1753" s="27">
        <v>10.6</v>
      </c>
      <c r="E1753" s="18"/>
    </row>
    <row r="1754" spans="1:5" ht="16.5" thickTop="1" thickBot="1" x14ac:dyDescent="0.3">
      <c r="A1754" s="28">
        <v>0.18818548283157988</v>
      </c>
      <c r="B1754" s="27">
        <v>0</v>
      </c>
      <c r="C1754" s="27">
        <v>10.6</v>
      </c>
      <c r="E1754" s="18"/>
    </row>
    <row r="1755" spans="1:5" ht="16.5" thickTop="1" thickBot="1" x14ac:dyDescent="0.3">
      <c r="A1755" s="28">
        <v>3.7143152854010175</v>
      </c>
      <c r="B1755" s="27">
        <v>0</v>
      </c>
      <c r="C1755" s="27">
        <v>10.6</v>
      </c>
      <c r="E1755" s="18"/>
    </row>
    <row r="1756" spans="1:5" ht="16.5" thickTop="1" thickBot="1" x14ac:dyDescent="0.3">
      <c r="A1756" s="28">
        <v>1.0281537801938487</v>
      </c>
      <c r="B1756" s="27">
        <v>0</v>
      </c>
      <c r="C1756" s="27">
        <v>10.6</v>
      </c>
      <c r="E1756" s="18"/>
    </row>
    <row r="1757" spans="1:5" ht="16.5" thickTop="1" thickBot="1" x14ac:dyDescent="0.3">
      <c r="A1757" s="28">
        <v>5.5343654057330642</v>
      </c>
      <c r="B1757" s="27">
        <v>0</v>
      </c>
      <c r="C1757" s="27">
        <v>15.3</v>
      </c>
      <c r="E1757" s="18"/>
    </row>
    <row r="1758" spans="1:5" ht="16.5" thickTop="1" thickBot="1" x14ac:dyDescent="0.3">
      <c r="A1758" s="28">
        <v>5.3317394454539651</v>
      </c>
      <c r="B1758" s="27">
        <v>0</v>
      </c>
      <c r="C1758" s="27">
        <v>15.3</v>
      </c>
      <c r="E1758" s="18"/>
    </row>
    <row r="1759" spans="1:5" ht="16.5" thickTop="1" thickBot="1" x14ac:dyDescent="0.3">
      <c r="A1759" s="28">
        <v>11.384489640063993</v>
      </c>
      <c r="B1759" s="27">
        <v>0</v>
      </c>
      <c r="C1759" s="27">
        <v>15.3</v>
      </c>
      <c r="E1759" s="18"/>
    </row>
    <row r="1760" spans="1:5" ht="16.5" thickTop="1" thickBot="1" x14ac:dyDescent="0.3">
      <c r="A1760" s="28">
        <v>4.1714495904795852</v>
      </c>
      <c r="B1760" s="27">
        <v>0</v>
      </c>
      <c r="C1760" s="27">
        <v>15.3</v>
      </c>
      <c r="E1760" s="18"/>
    </row>
    <row r="1761" spans="1:5" ht="16.5" thickTop="1" thickBot="1" x14ac:dyDescent="0.3">
      <c r="A1761" s="28">
        <v>1.1916752767512584</v>
      </c>
      <c r="B1761" s="27">
        <v>0</v>
      </c>
      <c r="C1761" s="27">
        <v>15.3</v>
      </c>
      <c r="E1761" s="18"/>
    </row>
    <row r="1762" spans="1:5" ht="16.5" thickTop="1" thickBot="1" x14ac:dyDescent="0.3">
      <c r="A1762" s="28">
        <v>6.2422559393184347</v>
      </c>
      <c r="B1762" s="27">
        <v>0</v>
      </c>
      <c r="C1762" s="27">
        <v>15.3</v>
      </c>
      <c r="E1762" s="18"/>
    </row>
    <row r="1763" spans="1:5" ht="16.5" thickTop="1" thickBot="1" x14ac:dyDescent="0.3">
      <c r="A1763" s="28">
        <v>10.861476148405746</v>
      </c>
      <c r="B1763" s="27">
        <v>0</v>
      </c>
      <c r="C1763" s="27">
        <v>15.3</v>
      </c>
      <c r="E1763" s="18"/>
    </row>
    <row r="1764" spans="1:5" ht="16.5" thickTop="1" thickBot="1" x14ac:dyDescent="0.3">
      <c r="A1764" s="28">
        <v>2.015773526366047</v>
      </c>
      <c r="B1764" s="27">
        <v>0</v>
      </c>
      <c r="C1764" s="27">
        <v>15.3</v>
      </c>
      <c r="E1764" s="18"/>
    </row>
    <row r="1765" spans="1:5" ht="16.5" thickTop="1" thickBot="1" x14ac:dyDescent="0.3">
      <c r="A1765" s="28">
        <v>6.47070688631735</v>
      </c>
      <c r="B1765" s="27">
        <v>0</v>
      </c>
      <c r="C1765" s="27">
        <v>15.3</v>
      </c>
      <c r="E1765" s="18"/>
    </row>
    <row r="1766" spans="1:5" ht="16.5" thickTop="1" thickBot="1" x14ac:dyDescent="0.3">
      <c r="A1766" s="28">
        <v>3.7416332295580141</v>
      </c>
      <c r="B1766" s="27">
        <v>0</v>
      </c>
      <c r="C1766" s="27">
        <v>15.3</v>
      </c>
      <c r="E1766" s="18"/>
    </row>
    <row r="1767" spans="1:5" ht="16.5" thickTop="1" thickBot="1" x14ac:dyDescent="0.3">
      <c r="A1767" s="28">
        <v>0.23356861262869621</v>
      </c>
      <c r="B1767" s="27">
        <v>0</v>
      </c>
      <c r="C1767" s="27">
        <v>15.3</v>
      </c>
      <c r="E1767" s="18"/>
    </row>
    <row r="1768" spans="1:5" ht="16.5" thickTop="1" thickBot="1" x14ac:dyDescent="0.3">
      <c r="A1768" s="28">
        <v>3.0275530516065468</v>
      </c>
      <c r="B1768" s="27">
        <v>0</v>
      </c>
      <c r="C1768" s="27">
        <v>15.3</v>
      </c>
      <c r="E1768" s="18"/>
    </row>
    <row r="1769" spans="1:5" ht="16.5" thickTop="1" thickBot="1" x14ac:dyDescent="0.3">
      <c r="A1769" s="28">
        <v>5.2781892722513373</v>
      </c>
      <c r="B1769" s="27">
        <v>0</v>
      </c>
      <c r="C1769" s="27">
        <v>15.3</v>
      </c>
      <c r="E1769" s="18"/>
    </row>
    <row r="1770" spans="1:5" ht="16.5" thickTop="1" thickBot="1" x14ac:dyDescent="0.3">
      <c r="A1770" s="28">
        <v>4.5082132538909727</v>
      </c>
      <c r="B1770" s="27">
        <v>0</v>
      </c>
      <c r="C1770" s="27">
        <v>15.3</v>
      </c>
      <c r="E1770" s="18"/>
    </row>
    <row r="1771" spans="1:5" ht="16.5" thickTop="1" thickBot="1" x14ac:dyDescent="0.3">
      <c r="A1771" s="28">
        <v>2.7169209970017385</v>
      </c>
      <c r="B1771" s="27">
        <v>0</v>
      </c>
      <c r="C1771" s="27">
        <v>15.3</v>
      </c>
      <c r="E1771" s="18"/>
    </row>
    <row r="1772" spans="1:5" ht="16.5" thickTop="1" thickBot="1" x14ac:dyDescent="0.3">
      <c r="A1772" s="28">
        <v>0.86796307385062088</v>
      </c>
      <c r="B1772" s="27">
        <v>0</v>
      </c>
      <c r="C1772" s="27">
        <v>15.3</v>
      </c>
      <c r="E1772" s="18"/>
    </row>
    <row r="1773" spans="1:5" ht="16.5" thickTop="1" thickBot="1" x14ac:dyDescent="0.3">
      <c r="A1773" s="28">
        <v>11.540937392136865</v>
      </c>
      <c r="B1773" s="27">
        <v>0</v>
      </c>
      <c r="C1773" s="27">
        <v>14.1</v>
      </c>
      <c r="E1773" s="18"/>
    </row>
    <row r="1774" spans="1:5" ht="16.5" thickTop="1" thickBot="1" x14ac:dyDescent="0.3">
      <c r="A1774" s="28">
        <v>5.3667646010077972</v>
      </c>
      <c r="B1774" s="27">
        <v>0</v>
      </c>
      <c r="C1774" s="27">
        <v>14.1</v>
      </c>
      <c r="E1774" s="18"/>
    </row>
    <row r="1775" spans="1:5" ht="16.5" thickTop="1" thickBot="1" x14ac:dyDescent="0.3">
      <c r="A1775" s="28">
        <v>3.7628156046902705</v>
      </c>
      <c r="B1775" s="27">
        <v>0</v>
      </c>
      <c r="C1775" s="27">
        <v>14.1</v>
      </c>
      <c r="E1775" s="18"/>
    </row>
    <row r="1776" spans="1:5" ht="16.5" thickTop="1" thickBot="1" x14ac:dyDescent="0.3">
      <c r="A1776" s="28">
        <v>4.9720150480306984</v>
      </c>
      <c r="B1776" s="27">
        <v>0</v>
      </c>
      <c r="C1776" s="27">
        <v>14.1</v>
      </c>
      <c r="E1776" s="18"/>
    </row>
    <row r="1777" spans="1:5" ht="16.5" thickTop="1" thickBot="1" x14ac:dyDescent="0.3">
      <c r="A1777" s="28">
        <v>5.520371633733987</v>
      </c>
      <c r="B1777" s="27">
        <v>0</v>
      </c>
      <c r="C1777" s="27">
        <v>14.1</v>
      </c>
      <c r="E1777" s="18"/>
    </row>
    <row r="1778" spans="1:5" ht="16.5" thickTop="1" thickBot="1" x14ac:dyDescent="0.3">
      <c r="A1778" s="28">
        <v>4.1643184512164435</v>
      </c>
      <c r="B1778" s="27">
        <v>0</v>
      </c>
      <c r="C1778" s="27">
        <v>14.1</v>
      </c>
      <c r="E1778" s="18"/>
    </row>
    <row r="1779" spans="1:5" ht="16.5" thickTop="1" thickBot="1" x14ac:dyDescent="0.3">
      <c r="A1779" s="28">
        <v>10.517172134941742</v>
      </c>
      <c r="B1779" s="27">
        <v>0</v>
      </c>
      <c r="C1779" s="27">
        <v>14.1</v>
      </c>
      <c r="E1779" s="18"/>
    </row>
    <row r="1780" spans="1:5" ht="16.5" thickTop="1" thickBot="1" x14ac:dyDescent="0.3">
      <c r="A1780" s="28">
        <v>6.9480643973561858</v>
      </c>
      <c r="B1780" s="27">
        <v>0</v>
      </c>
      <c r="C1780" s="27">
        <v>14.1</v>
      </c>
      <c r="E1780" s="18"/>
    </row>
    <row r="1781" spans="1:5" ht="16.5" thickTop="1" thickBot="1" x14ac:dyDescent="0.3">
      <c r="A1781" s="28">
        <v>8.7885230582761835</v>
      </c>
      <c r="B1781" s="27">
        <v>0</v>
      </c>
      <c r="C1781" s="27">
        <v>14.1</v>
      </c>
      <c r="E1781" s="18"/>
    </row>
    <row r="1782" spans="1:5" ht="16.5" thickTop="1" thickBot="1" x14ac:dyDescent="0.3">
      <c r="A1782" s="28">
        <v>1.0049532663724685</v>
      </c>
      <c r="B1782" s="27">
        <v>0</v>
      </c>
      <c r="C1782" s="27">
        <v>14.1</v>
      </c>
      <c r="E1782" s="18"/>
    </row>
    <row r="1783" spans="1:5" ht="16.5" thickTop="1" thickBot="1" x14ac:dyDescent="0.3">
      <c r="A1783" s="28">
        <v>3.3102481246887412</v>
      </c>
      <c r="B1783" s="27">
        <v>0</v>
      </c>
      <c r="C1783" s="27">
        <v>14.1</v>
      </c>
      <c r="E1783" s="18"/>
    </row>
    <row r="1784" spans="1:5" ht="16.5" thickTop="1" thickBot="1" x14ac:dyDescent="0.3">
      <c r="A1784" s="28">
        <v>6.9936582891303205</v>
      </c>
      <c r="B1784" s="27">
        <v>0</v>
      </c>
      <c r="C1784" s="27">
        <v>14.1</v>
      </c>
      <c r="E1784" s="18"/>
    </row>
    <row r="1785" spans="1:5" ht="16.5" thickTop="1" thickBot="1" x14ac:dyDescent="0.3">
      <c r="A1785" s="28">
        <v>9.1898437389683725</v>
      </c>
      <c r="B1785" s="27">
        <v>0</v>
      </c>
      <c r="C1785" s="27">
        <v>14.1</v>
      </c>
      <c r="E1785" s="18"/>
    </row>
    <row r="1786" spans="1:5" ht="16.5" thickTop="1" thickBot="1" x14ac:dyDescent="0.3">
      <c r="A1786" s="28">
        <v>6.9868417715233315</v>
      </c>
      <c r="B1786" s="27">
        <v>0</v>
      </c>
      <c r="C1786" s="27">
        <v>14.1</v>
      </c>
      <c r="E1786" s="18"/>
    </row>
    <row r="1787" spans="1:5" ht="16.5" thickTop="1" thickBot="1" x14ac:dyDescent="0.3">
      <c r="A1787" s="28">
        <v>3.3572031063732366</v>
      </c>
      <c r="B1787" s="27">
        <v>0</v>
      </c>
      <c r="C1787" s="27">
        <v>14.1</v>
      </c>
      <c r="E1787" s="18"/>
    </row>
    <row r="1788" spans="1:5" ht="16.5" thickTop="1" thickBot="1" x14ac:dyDescent="0.3">
      <c r="A1788" s="28">
        <v>3.1490809004018456</v>
      </c>
      <c r="B1788" s="27">
        <v>0</v>
      </c>
      <c r="C1788" s="27">
        <v>14.1</v>
      </c>
      <c r="E1788" s="18"/>
    </row>
    <row r="1789" spans="1:5" ht="16.5" thickTop="1" thickBot="1" x14ac:dyDescent="0.3">
      <c r="A1789" s="28">
        <v>1.0039092611441696</v>
      </c>
      <c r="B1789" s="27">
        <v>0</v>
      </c>
      <c r="C1789" s="27">
        <v>14.1</v>
      </c>
      <c r="E1789" s="18"/>
    </row>
    <row r="1790" spans="1:5" ht="16.5" thickTop="1" thickBot="1" x14ac:dyDescent="0.3">
      <c r="A1790" s="28">
        <v>5.914812978726558</v>
      </c>
      <c r="B1790" s="27">
        <v>0</v>
      </c>
      <c r="C1790" s="27">
        <v>10.5</v>
      </c>
      <c r="E1790" s="18"/>
    </row>
    <row r="1791" spans="1:5" ht="16.5" thickTop="1" thickBot="1" x14ac:dyDescent="0.3">
      <c r="A1791" s="28">
        <v>7.8700359686284731</v>
      </c>
      <c r="B1791" s="27">
        <v>0</v>
      </c>
      <c r="C1791" s="27">
        <v>10.5</v>
      </c>
      <c r="E1791" s="18"/>
    </row>
    <row r="1792" spans="1:5" ht="16.5" thickTop="1" thickBot="1" x14ac:dyDescent="0.3">
      <c r="A1792" s="28">
        <v>0.58861532063137478</v>
      </c>
      <c r="B1792" s="27">
        <v>0</v>
      </c>
      <c r="C1792" s="27">
        <v>10.5</v>
      </c>
      <c r="E1792" s="18"/>
    </row>
    <row r="1793" spans="1:5" ht="16.5" thickTop="1" thickBot="1" x14ac:dyDescent="0.3">
      <c r="A1793" s="28">
        <v>3.9094086171625926</v>
      </c>
      <c r="B1793" s="27">
        <v>0</v>
      </c>
      <c r="C1793" s="27">
        <v>10.5</v>
      </c>
      <c r="E1793" s="18"/>
    </row>
    <row r="1794" spans="1:5" ht="16.5" thickTop="1" thickBot="1" x14ac:dyDescent="0.3">
      <c r="A1794" s="28">
        <v>4.1631720552124394</v>
      </c>
      <c r="B1794" s="27">
        <v>0</v>
      </c>
      <c r="C1794" s="27">
        <v>10.5</v>
      </c>
      <c r="E1794" s="18"/>
    </row>
    <row r="1795" spans="1:5" ht="16.5" thickTop="1" thickBot="1" x14ac:dyDescent="0.3">
      <c r="A1795" s="28">
        <v>5.4270041422982729</v>
      </c>
      <c r="B1795" s="27">
        <v>0</v>
      </c>
      <c r="C1795" s="27">
        <v>10.5</v>
      </c>
      <c r="E1795" s="18"/>
    </row>
    <row r="1796" spans="1:5" ht="16.5" thickTop="1" thickBot="1" x14ac:dyDescent="0.3">
      <c r="A1796" s="28">
        <v>4.8113769357011318</v>
      </c>
      <c r="B1796" s="27">
        <v>0</v>
      </c>
      <c r="C1796" s="27">
        <v>10.5</v>
      </c>
      <c r="E1796" s="18"/>
    </row>
    <row r="1797" spans="1:5" ht="16.5" thickTop="1" thickBot="1" x14ac:dyDescent="0.3">
      <c r="A1797" s="28">
        <v>8.2067739656645138</v>
      </c>
      <c r="B1797" s="27">
        <v>0</v>
      </c>
      <c r="C1797" s="27">
        <v>10.5</v>
      </c>
      <c r="E1797" s="18"/>
    </row>
    <row r="1798" spans="1:5" ht="16.5" thickTop="1" thickBot="1" x14ac:dyDescent="0.3">
      <c r="A1798" s="28">
        <v>4.1175597706649461</v>
      </c>
      <c r="B1798" s="27">
        <v>0</v>
      </c>
      <c r="C1798" s="27">
        <v>10.5</v>
      </c>
      <c r="E1798" s="18"/>
    </row>
    <row r="1799" spans="1:5" ht="16.5" thickTop="1" thickBot="1" x14ac:dyDescent="0.3">
      <c r="A1799" s="28">
        <v>3.9199746587967401</v>
      </c>
      <c r="B1799" s="27">
        <v>0</v>
      </c>
      <c r="C1799" s="27">
        <v>10.5</v>
      </c>
      <c r="E1799" s="18"/>
    </row>
    <row r="1800" spans="1:5" ht="16.5" thickTop="1" thickBot="1" x14ac:dyDescent="0.3">
      <c r="A1800" s="28">
        <v>6.6830939532874005</v>
      </c>
      <c r="B1800" s="27">
        <v>0</v>
      </c>
      <c r="C1800" s="27">
        <v>10.5</v>
      </c>
      <c r="E1800" s="18"/>
    </row>
    <row r="1801" spans="1:5" ht="16.5" thickTop="1" thickBot="1" x14ac:dyDescent="0.3">
      <c r="A1801" s="28">
        <v>6.9746828421050537</v>
      </c>
      <c r="B1801" s="27">
        <v>0</v>
      </c>
      <c r="C1801" s="27">
        <v>10.5</v>
      </c>
      <c r="E1801" s="18"/>
    </row>
    <row r="1802" spans="1:5" ht="16.5" thickTop="1" thickBot="1" x14ac:dyDescent="0.3">
      <c r="A1802" s="28">
        <v>6.2153621948061142</v>
      </c>
      <c r="B1802" s="27">
        <v>0</v>
      </c>
      <c r="C1802" s="27">
        <v>10.5</v>
      </c>
      <c r="E1802" s="18"/>
    </row>
    <row r="1803" spans="1:5" ht="16.5" thickTop="1" thickBot="1" x14ac:dyDescent="0.3">
      <c r="A1803" s="28">
        <v>6.0442112094430369</v>
      </c>
      <c r="B1803" s="27">
        <v>0</v>
      </c>
      <c r="C1803" s="27">
        <v>10.5</v>
      </c>
      <c r="E1803" s="18"/>
    </row>
    <row r="1804" spans="1:5" ht="16.5" thickTop="1" thickBot="1" x14ac:dyDescent="0.3">
      <c r="A1804" s="28">
        <v>1.4709412258214543</v>
      </c>
      <c r="B1804" s="27">
        <v>0</v>
      </c>
      <c r="C1804" s="27">
        <v>10.5</v>
      </c>
      <c r="E1804" s="18"/>
    </row>
    <row r="1805" spans="1:5" ht="16.5" thickTop="1" thickBot="1" x14ac:dyDescent="0.3">
      <c r="A1805" s="28">
        <v>10.607148689480352</v>
      </c>
      <c r="B1805" s="27">
        <v>0</v>
      </c>
      <c r="C1805" s="27">
        <v>10.5</v>
      </c>
      <c r="E1805" s="18"/>
    </row>
    <row r="1806" spans="1:5" ht="16.5" thickTop="1" thickBot="1" x14ac:dyDescent="0.3">
      <c r="A1806" s="28">
        <v>3.8791972888751434</v>
      </c>
      <c r="B1806" s="27">
        <v>0</v>
      </c>
      <c r="C1806" s="27">
        <v>10.5</v>
      </c>
      <c r="E1806" s="18"/>
    </row>
    <row r="1807" spans="1:5" ht="16.5" thickTop="1" thickBot="1" x14ac:dyDescent="0.3">
      <c r="A1807" s="28">
        <v>10.836361632700136</v>
      </c>
      <c r="B1807" s="27">
        <v>0</v>
      </c>
      <c r="C1807" s="27">
        <v>26.2</v>
      </c>
      <c r="E1807" s="18"/>
    </row>
    <row r="1808" spans="1:5" ht="16.5" thickTop="1" thickBot="1" x14ac:dyDescent="0.3">
      <c r="A1808" s="28">
        <v>6.880164601223699</v>
      </c>
      <c r="B1808" s="27">
        <v>0</v>
      </c>
      <c r="C1808" s="27">
        <v>26.2</v>
      </c>
      <c r="E1808" s="18"/>
    </row>
    <row r="1809" spans="1:5" ht="16.5" thickTop="1" thickBot="1" x14ac:dyDescent="0.3">
      <c r="A1809" s="28">
        <v>10.861743573977838</v>
      </c>
      <c r="B1809" s="27">
        <v>0</v>
      </c>
      <c r="C1809" s="27">
        <v>26.2</v>
      </c>
      <c r="E1809" s="18"/>
    </row>
    <row r="1810" spans="1:5" ht="16.5" thickTop="1" thickBot="1" x14ac:dyDescent="0.3">
      <c r="A1810" s="28">
        <v>0.38230656338322455</v>
      </c>
      <c r="B1810" s="27">
        <v>0</v>
      </c>
      <c r="C1810" s="27">
        <v>26.2</v>
      </c>
      <c r="E1810" s="18"/>
    </row>
    <row r="1811" spans="1:5" ht="16.5" thickTop="1" thickBot="1" x14ac:dyDescent="0.3">
      <c r="A1811" s="28">
        <v>6.3793700173463392</v>
      </c>
      <c r="B1811" s="27">
        <v>0</v>
      </c>
      <c r="C1811" s="27">
        <v>26.2</v>
      </c>
      <c r="E1811" s="18"/>
    </row>
    <row r="1812" spans="1:5" ht="16.5" thickTop="1" thickBot="1" x14ac:dyDescent="0.3">
      <c r="A1812" s="28">
        <v>1.5805902287816991</v>
      </c>
      <c r="B1812" s="27">
        <v>0</v>
      </c>
      <c r="C1812" s="27">
        <v>26.2</v>
      </c>
      <c r="E1812" s="18"/>
    </row>
    <row r="1813" spans="1:5" ht="16.5" thickTop="1" thickBot="1" x14ac:dyDescent="0.3">
      <c r="A1813" s="28">
        <v>5.7665347410116485</v>
      </c>
      <c r="B1813" s="27">
        <v>0</v>
      </c>
      <c r="C1813" s="27">
        <v>26.2</v>
      </c>
      <c r="E1813" s="18"/>
    </row>
    <row r="1814" spans="1:5" ht="16.5" thickTop="1" thickBot="1" x14ac:dyDescent="0.3">
      <c r="A1814" s="28">
        <v>1.7215193201814665</v>
      </c>
      <c r="B1814" s="27">
        <v>0</v>
      </c>
      <c r="C1814" s="27">
        <v>26.2</v>
      </c>
      <c r="E1814" s="18"/>
    </row>
    <row r="1815" spans="1:5" ht="16.5" thickTop="1" thickBot="1" x14ac:dyDescent="0.3">
      <c r="A1815" s="28">
        <v>10.658382224263608</v>
      </c>
      <c r="B1815" s="27">
        <v>0</v>
      </c>
      <c r="C1815" s="27">
        <v>26.2</v>
      </c>
      <c r="E1815" s="18"/>
    </row>
    <row r="1816" spans="1:5" ht="16.5" thickTop="1" thickBot="1" x14ac:dyDescent="0.3">
      <c r="A1816" s="28">
        <v>2.3644492964584574</v>
      </c>
      <c r="B1816" s="27">
        <v>0</v>
      </c>
      <c r="C1816" s="27">
        <v>26.2</v>
      </c>
      <c r="E1816" s="18"/>
    </row>
    <row r="1817" spans="1:5" ht="16.5" thickTop="1" thickBot="1" x14ac:dyDescent="0.3">
      <c r="A1817" s="28">
        <v>11.147157024037762</v>
      </c>
      <c r="B1817" s="27">
        <v>0</v>
      </c>
      <c r="C1817" s="27">
        <v>26.2</v>
      </c>
      <c r="E1817" s="18"/>
    </row>
    <row r="1818" spans="1:5" ht="16.5" thickTop="1" thickBot="1" x14ac:dyDescent="0.3">
      <c r="A1818" s="28">
        <v>0.29013488145020994</v>
      </c>
      <c r="B1818" s="27">
        <v>0</v>
      </c>
      <c r="C1818" s="27">
        <v>26.2</v>
      </c>
      <c r="E1818" s="18"/>
    </row>
    <row r="1819" spans="1:5" ht="16.5" thickTop="1" thickBot="1" x14ac:dyDescent="0.3">
      <c r="A1819" s="28">
        <v>1.3727265522248362</v>
      </c>
      <c r="B1819" s="27">
        <v>0</v>
      </c>
      <c r="C1819" s="27">
        <v>26.2</v>
      </c>
      <c r="E1819" s="18"/>
    </row>
    <row r="1820" spans="1:5" ht="16.5" thickTop="1" thickBot="1" x14ac:dyDescent="0.3">
      <c r="A1820" s="28">
        <v>6.6078212510139345</v>
      </c>
      <c r="B1820" s="27">
        <v>0</v>
      </c>
      <c r="C1820" s="27">
        <v>26.2</v>
      </c>
      <c r="E1820" s="18"/>
    </row>
    <row r="1821" spans="1:5" ht="16.5" thickTop="1" thickBot="1" x14ac:dyDescent="0.3">
      <c r="A1821" s="28">
        <v>1.9629490473799192</v>
      </c>
      <c r="B1821" s="27">
        <v>0</v>
      </c>
      <c r="C1821" s="27">
        <v>15.2</v>
      </c>
      <c r="E1821" s="18"/>
    </row>
    <row r="1822" spans="1:5" ht="16.5" thickTop="1" thickBot="1" x14ac:dyDescent="0.3">
      <c r="A1822" s="28">
        <v>1.9744552127401129</v>
      </c>
      <c r="B1822" s="27">
        <v>0</v>
      </c>
      <c r="C1822" s="27">
        <v>15.2</v>
      </c>
      <c r="E1822" s="18"/>
    </row>
    <row r="1823" spans="1:5" ht="16.5" thickTop="1" thickBot="1" x14ac:dyDescent="0.3">
      <c r="A1823" s="28">
        <v>6.8467396012745319</v>
      </c>
      <c r="B1823" s="27">
        <v>0</v>
      </c>
      <c r="C1823" s="27">
        <v>15.2</v>
      </c>
      <c r="E1823" s="18"/>
    </row>
    <row r="1824" spans="1:5" ht="16.5" thickTop="1" thickBot="1" x14ac:dyDescent="0.3">
      <c r="A1824" s="28">
        <v>0.71728701759395852</v>
      </c>
      <c r="B1824" s="27">
        <v>0</v>
      </c>
      <c r="C1824" s="27">
        <v>15.2</v>
      </c>
      <c r="E1824" s="18"/>
    </row>
    <row r="1825" spans="1:5" ht="16.5" thickTop="1" thickBot="1" x14ac:dyDescent="0.3">
      <c r="A1825" s="28">
        <v>2.715729601936999</v>
      </c>
      <c r="B1825" s="27">
        <v>0</v>
      </c>
      <c r="C1825" s="27">
        <v>15.2</v>
      </c>
      <c r="E1825" s="18"/>
    </row>
    <row r="1826" spans="1:5" ht="16.5" thickTop="1" thickBot="1" x14ac:dyDescent="0.3">
      <c r="A1826" s="28">
        <v>3.340881076104127</v>
      </c>
      <c r="B1826" s="27">
        <v>0</v>
      </c>
      <c r="C1826" s="27">
        <v>15.2</v>
      </c>
      <c r="E1826" s="18"/>
    </row>
    <row r="1827" spans="1:5" ht="16.5" thickTop="1" thickBot="1" x14ac:dyDescent="0.3">
      <c r="A1827" s="28">
        <v>5.650449938566374</v>
      </c>
      <c r="B1827" s="27">
        <v>0</v>
      </c>
      <c r="C1827" s="27">
        <v>15.2</v>
      </c>
      <c r="E1827" s="18"/>
    </row>
    <row r="1828" spans="1:5" ht="16.5" thickTop="1" thickBot="1" x14ac:dyDescent="0.3">
      <c r="A1828" s="28">
        <v>5.9084222944575453</v>
      </c>
      <c r="B1828" s="27">
        <v>0</v>
      </c>
      <c r="C1828" s="27">
        <v>15.2</v>
      </c>
      <c r="E1828" s="18"/>
    </row>
    <row r="1829" spans="1:5" ht="16.5" thickTop="1" thickBot="1" x14ac:dyDescent="0.3">
      <c r="A1829" s="28">
        <v>0.95492839057778278</v>
      </c>
      <c r="B1829" s="27">
        <v>0</v>
      </c>
      <c r="C1829" s="27">
        <v>15.2</v>
      </c>
      <c r="E1829" s="18"/>
    </row>
    <row r="1830" spans="1:5" ht="16.5" thickTop="1" thickBot="1" x14ac:dyDescent="0.3">
      <c r="A1830" s="28">
        <v>4.3976795128973603</v>
      </c>
      <c r="B1830" s="27">
        <v>0</v>
      </c>
      <c r="C1830" s="27">
        <v>15.2</v>
      </c>
      <c r="E1830" s="18"/>
    </row>
    <row r="1831" spans="1:5" ht="16.5" thickTop="1" thickBot="1" x14ac:dyDescent="0.3">
      <c r="A1831" s="28">
        <v>4.9347265713454167</v>
      </c>
      <c r="B1831" s="27">
        <v>0</v>
      </c>
      <c r="C1831" s="27">
        <v>15.2</v>
      </c>
      <c r="E1831" s="18"/>
    </row>
    <row r="1832" spans="1:5" ht="16.5" thickTop="1" thickBot="1" x14ac:dyDescent="0.3">
      <c r="A1832" s="28">
        <v>6.2698252089842743</v>
      </c>
      <c r="B1832" s="27">
        <v>0</v>
      </c>
      <c r="C1832" s="27">
        <v>15.2</v>
      </c>
      <c r="E1832" s="18"/>
    </row>
    <row r="1833" spans="1:5" ht="16.5" thickTop="1" thickBot="1" x14ac:dyDescent="0.3">
      <c r="A1833" s="28">
        <v>5.1801175328042603</v>
      </c>
      <c r="B1833" s="27">
        <v>0</v>
      </c>
      <c r="C1833" s="27">
        <v>15.2</v>
      </c>
      <c r="E1833" s="18"/>
    </row>
    <row r="1834" spans="1:5" ht="16.5" thickTop="1" thickBot="1" x14ac:dyDescent="0.3">
      <c r="A1834" s="28">
        <v>6.5684633177759224</v>
      </c>
      <c r="B1834" s="27">
        <v>0</v>
      </c>
      <c r="C1834" s="27">
        <v>15.2</v>
      </c>
      <c r="E1834" s="18"/>
    </row>
    <row r="1835" spans="1:5" ht="16.5" thickTop="1" thickBot="1" x14ac:dyDescent="0.3">
      <c r="A1835" s="28">
        <v>11.177489254751448</v>
      </c>
      <c r="B1835" s="27">
        <v>0</v>
      </c>
      <c r="C1835" s="27">
        <v>15.2</v>
      </c>
      <c r="E1835" s="18"/>
    </row>
    <row r="1836" spans="1:5" ht="16.5" thickTop="1" thickBot="1" x14ac:dyDescent="0.3">
      <c r="A1836" s="28">
        <v>3.9240603311592683</v>
      </c>
      <c r="B1836" s="27">
        <v>0</v>
      </c>
      <c r="C1836" s="27">
        <v>15.2</v>
      </c>
      <c r="E1836" s="18"/>
    </row>
    <row r="1837" spans="1:5" ht="16.5" thickTop="1" thickBot="1" x14ac:dyDescent="0.3">
      <c r="A1837" s="28">
        <v>8.3465136981687778</v>
      </c>
      <c r="B1837" s="27">
        <v>0</v>
      </c>
      <c r="C1837" s="27">
        <v>15.2</v>
      </c>
      <c r="E1837" s="18"/>
    </row>
    <row r="1838" spans="1:5" ht="16.5" thickTop="1" thickBot="1" x14ac:dyDescent="0.3">
      <c r="A1838" s="28">
        <v>6.1636998425231715</v>
      </c>
      <c r="B1838" s="27">
        <v>0</v>
      </c>
      <c r="C1838" s="27">
        <v>8.6</v>
      </c>
      <c r="E1838" s="18"/>
    </row>
    <row r="1839" spans="1:5" ht="16.5" thickTop="1" thickBot="1" x14ac:dyDescent="0.3">
      <c r="A1839" s="28">
        <v>4.0575277681444195</v>
      </c>
      <c r="B1839" s="27">
        <v>0</v>
      </c>
      <c r="C1839" s="27">
        <v>8.6</v>
      </c>
      <c r="E1839" s="18"/>
    </row>
    <row r="1840" spans="1:5" ht="16.5" thickTop="1" thickBot="1" x14ac:dyDescent="0.3">
      <c r="A1840" s="28">
        <v>2.1222880653532168</v>
      </c>
      <c r="B1840" s="27">
        <v>0</v>
      </c>
      <c r="C1840" s="27">
        <v>8.6</v>
      </c>
      <c r="E1840" s="18"/>
    </row>
    <row r="1841" spans="1:5" ht="16.5" thickTop="1" thickBot="1" x14ac:dyDescent="0.3">
      <c r="A1841" s="28">
        <v>10.173345228367785</v>
      </c>
      <c r="B1841" s="27">
        <v>0</v>
      </c>
      <c r="C1841" s="27">
        <v>8.6</v>
      </c>
      <c r="E1841" s="18"/>
    </row>
    <row r="1842" spans="1:5" ht="16.5" thickTop="1" thickBot="1" x14ac:dyDescent="0.3">
      <c r="A1842" s="28">
        <v>2.2650461543922762</v>
      </c>
      <c r="B1842" s="27">
        <v>0</v>
      </c>
      <c r="C1842" s="27">
        <v>8.6</v>
      </c>
      <c r="E1842" s="18"/>
    </row>
    <row r="1843" spans="1:5" ht="16.5" thickTop="1" thickBot="1" x14ac:dyDescent="0.3">
      <c r="A1843" s="28">
        <v>5.5983351556288863</v>
      </c>
      <c r="B1843" s="27">
        <v>0</v>
      </c>
      <c r="C1843" s="27">
        <v>8.6</v>
      </c>
      <c r="E1843" s="18"/>
    </row>
    <row r="1844" spans="1:5" ht="16.5" thickTop="1" thickBot="1" x14ac:dyDescent="0.3">
      <c r="A1844" s="28">
        <v>6.1841380190616952</v>
      </c>
      <c r="B1844" s="27">
        <v>0</v>
      </c>
      <c r="C1844" s="27">
        <v>8.6</v>
      </c>
      <c r="E1844" s="18"/>
    </row>
    <row r="1845" spans="1:5" ht="16.5" thickTop="1" thickBot="1" x14ac:dyDescent="0.3">
      <c r="A1845" s="28">
        <v>6.7343979139160082</v>
      </c>
      <c r="B1845" s="27">
        <v>0</v>
      </c>
      <c r="C1845" s="27">
        <v>8.6</v>
      </c>
      <c r="E1845" s="18"/>
    </row>
    <row r="1846" spans="1:5" ht="16.5" thickTop="1" thickBot="1" x14ac:dyDescent="0.3">
      <c r="A1846" s="28">
        <v>3.2600700207957729</v>
      </c>
      <c r="B1846" s="27">
        <v>0</v>
      </c>
      <c r="C1846" s="27">
        <v>8.6</v>
      </c>
      <c r="E1846" s="18"/>
    </row>
    <row r="1847" spans="1:5" ht="16.5" thickTop="1" thickBot="1" x14ac:dyDescent="0.3">
      <c r="A1847" s="28">
        <v>1.5714894991969497</v>
      </c>
      <c r="B1847" s="27">
        <v>0</v>
      </c>
      <c r="C1847" s="27">
        <v>8.6</v>
      </c>
      <c r="E1847" s="18"/>
    </row>
    <row r="1848" spans="1:5" ht="16.5" thickTop="1" thickBot="1" x14ac:dyDescent="0.3">
      <c r="A1848" s="28">
        <v>3.9320703502174092</v>
      </c>
      <c r="B1848" s="27">
        <v>0</v>
      </c>
      <c r="C1848" s="27">
        <v>8.6</v>
      </c>
      <c r="E1848" s="18"/>
    </row>
    <row r="1849" spans="1:5" ht="16.5" thickTop="1" thickBot="1" x14ac:dyDescent="0.3">
      <c r="A1849" s="28">
        <v>11.290422969019414</v>
      </c>
      <c r="B1849" s="27">
        <v>0</v>
      </c>
      <c r="C1849" s="27">
        <v>8.6</v>
      </c>
      <c r="E1849" s="18"/>
    </row>
    <row r="1850" spans="1:5" ht="16.5" thickTop="1" thickBot="1" x14ac:dyDescent="0.3">
      <c r="A1850" s="28">
        <v>2.2139286323767875</v>
      </c>
      <c r="B1850" s="27">
        <v>0</v>
      </c>
      <c r="C1850" s="27">
        <v>8.6</v>
      </c>
      <c r="E1850" s="18"/>
    </row>
    <row r="1851" spans="1:5" ht="16.5" thickTop="1" thickBot="1" x14ac:dyDescent="0.3">
      <c r="A1851" s="28">
        <v>0.37696636780250881</v>
      </c>
      <c r="B1851" s="27">
        <v>0</v>
      </c>
      <c r="C1851" s="27">
        <v>8.6</v>
      </c>
      <c r="E1851" s="18"/>
    </row>
    <row r="1852" spans="1:5" ht="16.5" thickTop="1" thickBot="1" x14ac:dyDescent="0.3">
      <c r="A1852" s="28">
        <v>0.16130049903917132</v>
      </c>
      <c r="B1852" s="27">
        <v>0</v>
      </c>
      <c r="C1852" s="27">
        <v>8.6</v>
      </c>
      <c r="E1852" s="18"/>
    </row>
    <row r="1853" spans="1:5" ht="16.5" thickTop="1" thickBot="1" x14ac:dyDescent="0.3">
      <c r="A1853" s="28">
        <v>4.6905293928551348</v>
      </c>
      <c r="B1853" s="27">
        <v>0</v>
      </c>
      <c r="C1853" s="27">
        <v>8.6</v>
      </c>
      <c r="E1853" s="18"/>
    </row>
    <row r="1854" spans="1:5" ht="16.5" thickTop="1" thickBot="1" x14ac:dyDescent="0.3">
      <c r="A1854" s="28">
        <v>2.8897749964997961</v>
      </c>
      <c r="B1854" s="27">
        <v>0</v>
      </c>
      <c r="C1854" s="27">
        <v>8.9</v>
      </c>
      <c r="E1854" s="18"/>
    </row>
    <row r="1855" spans="1:5" ht="16.5" thickTop="1" thickBot="1" x14ac:dyDescent="0.3">
      <c r="A1855" s="28">
        <v>6.4144712514310003</v>
      </c>
      <c r="B1855" s="27">
        <v>0</v>
      </c>
      <c r="C1855" s="27">
        <v>8.9</v>
      </c>
      <c r="E1855" s="18"/>
    </row>
    <row r="1856" spans="1:5" ht="16.5" thickTop="1" thickBot="1" x14ac:dyDescent="0.3">
      <c r="A1856" s="28">
        <v>0.10129063890897805</v>
      </c>
      <c r="B1856" s="27">
        <v>0</v>
      </c>
      <c r="C1856" s="27">
        <v>8.9</v>
      </c>
      <c r="E1856" s="18"/>
    </row>
    <row r="1857" spans="1:5" ht="16.5" thickTop="1" thickBot="1" x14ac:dyDescent="0.3">
      <c r="A1857" s="28">
        <v>7.482945303513505</v>
      </c>
      <c r="B1857" s="27">
        <v>0</v>
      </c>
      <c r="C1857" s="27">
        <v>8.9</v>
      </c>
      <c r="E1857" s="18"/>
    </row>
    <row r="1858" spans="1:5" ht="16.5" thickTop="1" thickBot="1" x14ac:dyDescent="0.3">
      <c r="A1858" s="28">
        <v>5.1589868580234288</v>
      </c>
      <c r="B1858" s="27">
        <v>0</v>
      </c>
      <c r="C1858" s="27">
        <v>8.9</v>
      </c>
      <c r="E1858" s="18"/>
    </row>
    <row r="1859" spans="1:5" ht="16.5" thickTop="1" thickBot="1" x14ac:dyDescent="0.3">
      <c r="A1859" s="28">
        <v>5.7899493739968362</v>
      </c>
      <c r="B1859" s="27">
        <v>0</v>
      </c>
      <c r="C1859" s="27">
        <v>8.9</v>
      </c>
      <c r="E1859" s="18"/>
    </row>
    <row r="1860" spans="1:5" ht="16.5" thickTop="1" thickBot="1" x14ac:dyDescent="0.3">
      <c r="A1860" s="28">
        <v>0.56041880318368453</v>
      </c>
      <c r="B1860" s="27">
        <v>0</v>
      </c>
      <c r="C1860" s="27">
        <v>8.9</v>
      </c>
      <c r="E1860" s="18"/>
    </row>
    <row r="1861" spans="1:5" ht="16.5" thickTop="1" thickBot="1" x14ac:dyDescent="0.3">
      <c r="A1861" s="28">
        <v>10.840408685358268</v>
      </c>
      <c r="B1861" s="27">
        <v>0</v>
      </c>
      <c r="C1861" s="27">
        <v>8.9</v>
      </c>
      <c r="E1861" s="18"/>
    </row>
    <row r="1862" spans="1:5" ht="16.5" thickTop="1" thickBot="1" x14ac:dyDescent="0.3">
      <c r="A1862" s="28">
        <v>3.6743334072119525</v>
      </c>
      <c r="B1862" s="27">
        <v>0</v>
      </c>
      <c r="C1862" s="27">
        <v>8.9</v>
      </c>
      <c r="E1862" s="18"/>
    </row>
    <row r="1863" spans="1:5" ht="16.5" thickTop="1" thickBot="1" x14ac:dyDescent="0.3">
      <c r="A1863" s="28">
        <v>7.7371387908126277</v>
      </c>
      <c r="B1863" s="27">
        <v>0</v>
      </c>
      <c r="C1863" s="27">
        <v>8.9</v>
      </c>
      <c r="E1863" s="18"/>
    </row>
    <row r="1864" spans="1:5" ht="16.5" thickTop="1" thickBot="1" x14ac:dyDescent="0.3">
      <c r="A1864" s="28">
        <v>6.6393557543083643</v>
      </c>
      <c r="B1864" s="27">
        <v>0</v>
      </c>
      <c r="C1864" s="27">
        <v>8.9</v>
      </c>
      <c r="E1864" s="18"/>
    </row>
    <row r="1865" spans="1:5" ht="16.5" thickTop="1" thickBot="1" x14ac:dyDescent="0.3">
      <c r="A1865" s="28">
        <v>10.57509686730198</v>
      </c>
      <c r="B1865" s="27">
        <v>0</v>
      </c>
      <c r="C1865" s="27">
        <v>8.9</v>
      </c>
      <c r="E1865" s="18"/>
    </row>
    <row r="1866" spans="1:5" ht="16.5" thickTop="1" thickBot="1" x14ac:dyDescent="0.3">
      <c r="A1866" s="28">
        <v>3.6124874184303835</v>
      </c>
      <c r="B1866" s="27">
        <v>0</v>
      </c>
      <c r="C1866" s="27">
        <v>8.9</v>
      </c>
      <c r="E1866" s="18"/>
    </row>
    <row r="1867" spans="1:5" ht="16.5" thickTop="1" thickBot="1" x14ac:dyDescent="0.3">
      <c r="A1867" s="28">
        <v>11.801279003107748</v>
      </c>
      <c r="B1867" s="27">
        <v>0</v>
      </c>
      <c r="C1867" s="27">
        <v>8.9</v>
      </c>
      <c r="E1867" s="18"/>
    </row>
    <row r="1868" spans="1:5" ht="16.5" thickTop="1" thickBot="1" x14ac:dyDescent="0.3">
      <c r="A1868" s="28">
        <v>1.949568842618647</v>
      </c>
      <c r="B1868" s="27">
        <v>0</v>
      </c>
      <c r="C1868" s="27">
        <v>8.9</v>
      </c>
      <c r="E1868" s="18"/>
    </row>
    <row r="1869" spans="1:5" ht="16.5" thickTop="1" thickBot="1" x14ac:dyDescent="0.3">
      <c r="A1869" s="28">
        <v>2.1240334800043561</v>
      </c>
      <c r="B1869" s="27">
        <v>0</v>
      </c>
      <c r="C1869" s="27">
        <v>8.9</v>
      </c>
      <c r="E1869" s="18"/>
    </row>
    <row r="1870" spans="1:5" ht="16.5" thickTop="1" thickBot="1" x14ac:dyDescent="0.3">
      <c r="A1870" s="28">
        <v>3.560066218189621</v>
      </c>
      <c r="B1870" s="27">
        <v>0</v>
      </c>
      <c r="C1870" s="27">
        <v>20.5</v>
      </c>
      <c r="E1870" s="18"/>
    </row>
    <row r="1871" spans="1:5" ht="16.5" thickTop="1" thickBot="1" x14ac:dyDescent="0.3">
      <c r="A1871" s="28">
        <v>6.8068213586682642</v>
      </c>
      <c r="B1871" s="27">
        <v>0</v>
      </c>
      <c r="C1871" s="27">
        <v>20.5</v>
      </c>
      <c r="E1871" s="18"/>
    </row>
    <row r="1872" spans="1:5" ht="16.5" thickTop="1" thickBot="1" x14ac:dyDescent="0.3">
      <c r="A1872" s="28">
        <v>6.7416252633652647</v>
      </c>
      <c r="B1872" s="27">
        <v>0</v>
      </c>
      <c r="C1872" s="27">
        <v>20.5</v>
      </c>
      <c r="E1872" s="18"/>
    </row>
    <row r="1873" spans="1:5" ht="16.5" thickTop="1" thickBot="1" x14ac:dyDescent="0.3">
      <c r="A1873" s="28">
        <v>10.022871834190139</v>
      </c>
      <c r="B1873" s="27">
        <v>0</v>
      </c>
      <c r="C1873" s="27">
        <v>20.5</v>
      </c>
      <c r="E1873" s="18"/>
    </row>
    <row r="1874" spans="1:5" ht="16.5" thickTop="1" thickBot="1" x14ac:dyDescent="0.3">
      <c r="A1874" s="28">
        <v>4.3054963881095034</v>
      </c>
      <c r="B1874" s="27">
        <v>0</v>
      </c>
      <c r="C1874" s="27">
        <v>20.5</v>
      </c>
      <c r="E1874" s="18"/>
    </row>
    <row r="1875" spans="1:5" ht="16.5" thickTop="1" thickBot="1" x14ac:dyDescent="0.3">
      <c r="A1875" s="28">
        <v>8.8143820186510844</v>
      </c>
      <c r="B1875" s="27">
        <v>0</v>
      </c>
      <c r="C1875" s="27">
        <v>20.5</v>
      </c>
      <c r="E1875" s="18"/>
    </row>
    <row r="1876" spans="1:5" ht="16.5" thickTop="1" thickBot="1" x14ac:dyDescent="0.3">
      <c r="A1876" s="28">
        <v>2.6112893872405212</v>
      </c>
      <c r="B1876" s="27">
        <v>0</v>
      </c>
      <c r="C1876" s="27">
        <v>20.5</v>
      </c>
      <c r="E1876" s="18"/>
    </row>
    <row r="1877" spans="1:5" ht="16.5" thickTop="1" thickBot="1" x14ac:dyDescent="0.3">
      <c r="A1877" s="28">
        <v>9.1917855374017599</v>
      </c>
      <c r="B1877" s="27">
        <v>0</v>
      </c>
      <c r="C1877" s="27">
        <v>20.5</v>
      </c>
      <c r="E1877" s="18"/>
    </row>
    <row r="1878" spans="1:5" ht="16.5" thickTop="1" thickBot="1" x14ac:dyDescent="0.3">
      <c r="A1878" s="28">
        <v>0.61185541930409848</v>
      </c>
      <c r="B1878" s="27">
        <v>0</v>
      </c>
      <c r="C1878" s="27">
        <v>20.5</v>
      </c>
      <c r="E1878" s="18"/>
    </row>
    <row r="1879" spans="1:5" ht="16.5" thickTop="1" thickBot="1" x14ac:dyDescent="0.3">
      <c r="A1879" s="28">
        <v>0.35113970414401718</v>
      </c>
      <c r="B1879" s="27">
        <v>0</v>
      </c>
      <c r="C1879" s="27">
        <v>20.5</v>
      </c>
      <c r="E1879" s="18"/>
    </row>
    <row r="1880" spans="1:5" ht="16.5" thickTop="1" thickBot="1" x14ac:dyDescent="0.3">
      <c r="A1880" s="28">
        <v>1.2047316403415211</v>
      </c>
      <c r="B1880" s="27">
        <v>0</v>
      </c>
      <c r="C1880" s="27">
        <v>20.5</v>
      </c>
      <c r="E1880" s="18"/>
    </row>
    <row r="1881" spans="1:5" ht="16.5" thickTop="1" thickBot="1" x14ac:dyDescent="0.3">
      <c r="A1881" s="28">
        <v>3.3114792351288811</v>
      </c>
      <c r="B1881" s="27">
        <v>0</v>
      </c>
      <c r="C1881" s="27">
        <v>20.5</v>
      </c>
      <c r="E1881" s="18"/>
    </row>
    <row r="1882" spans="1:5" ht="16.5" thickTop="1" thickBot="1" x14ac:dyDescent="0.3">
      <c r="A1882" s="28">
        <v>6.1943087776793204</v>
      </c>
      <c r="B1882" s="27">
        <v>0</v>
      </c>
      <c r="C1882" s="27">
        <v>20.5</v>
      </c>
      <c r="E1882" s="18"/>
    </row>
    <row r="1883" spans="1:5" ht="16.5" thickTop="1" thickBot="1" x14ac:dyDescent="0.3">
      <c r="A1883" s="28">
        <v>7.4557708901698865</v>
      </c>
      <c r="B1883" s="27">
        <v>0</v>
      </c>
      <c r="C1883" s="27">
        <v>20.5</v>
      </c>
      <c r="E1883" s="18"/>
    </row>
    <row r="1884" spans="1:5" ht="16.5" thickTop="1" thickBot="1" x14ac:dyDescent="0.3">
      <c r="A1884" s="28">
        <v>2.29799448445858</v>
      </c>
      <c r="B1884" s="27">
        <v>0</v>
      </c>
      <c r="C1884" s="27">
        <v>20.5</v>
      </c>
      <c r="E1884" s="18"/>
    </row>
    <row r="1885" spans="1:5" ht="16.5" thickTop="1" thickBot="1" x14ac:dyDescent="0.3">
      <c r="A1885" s="28">
        <v>11.318364065463134</v>
      </c>
      <c r="B1885" s="27">
        <v>0</v>
      </c>
      <c r="C1885" s="27">
        <v>20.5</v>
      </c>
      <c r="E1885" s="18"/>
    </row>
    <row r="1886" spans="1:5" ht="16.5" thickTop="1" thickBot="1" x14ac:dyDescent="0.3">
      <c r="A1886" s="28">
        <v>0.62441983329047868</v>
      </c>
      <c r="B1886" s="27">
        <v>0</v>
      </c>
      <c r="C1886" s="27">
        <v>8.4</v>
      </c>
      <c r="E1886" s="18"/>
    </row>
    <row r="1887" spans="1:5" ht="16.5" thickTop="1" thickBot="1" x14ac:dyDescent="0.3">
      <c r="A1887" s="28">
        <v>8.2922676851638766</v>
      </c>
      <c r="B1887" s="27">
        <v>0</v>
      </c>
      <c r="C1887" s="27">
        <v>8.4</v>
      </c>
      <c r="E1887" s="18"/>
    </row>
    <row r="1888" spans="1:5" ht="16.5" thickTop="1" thickBot="1" x14ac:dyDescent="0.3">
      <c r="A1888" s="28">
        <v>3.0706140578131849</v>
      </c>
      <c r="B1888" s="27">
        <v>0</v>
      </c>
      <c r="C1888" s="27">
        <v>8.4</v>
      </c>
      <c r="E1888" s="18"/>
    </row>
    <row r="1889" spans="1:5" ht="16.5" thickTop="1" thickBot="1" x14ac:dyDescent="0.3">
      <c r="A1889" s="28">
        <v>8.360333954765176</v>
      </c>
      <c r="B1889" s="27">
        <v>0</v>
      </c>
      <c r="C1889" s="27">
        <v>8.4</v>
      </c>
      <c r="E1889" s="18"/>
    </row>
    <row r="1890" spans="1:5" ht="16.5" thickTop="1" thickBot="1" x14ac:dyDescent="0.3">
      <c r="A1890" s="28">
        <v>4.3424649558704349</v>
      </c>
      <c r="B1890" s="27">
        <v>0</v>
      </c>
      <c r="C1890" s="27">
        <v>8.4</v>
      </c>
      <c r="E1890" s="18"/>
    </row>
    <row r="1891" spans="1:5" ht="16.5" thickTop="1" thickBot="1" x14ac:dyDescent="0.3">
      <c r="A1891" s="28">
        <v>7.2172495735641053</v>
      </c>
      <c r="B1891" s="27">
        <v>0</v>
      </c>
      <c r="C1891" s="27">
        <v>8.4</v>
      </c>
      <c r="E1891" s="18"/>
    </row>
    <row r="1892" spans="1:5" ht="16.5" thickTop="1" thickBot="1" x14ac:dyDescent="0.3">
      <c r="A1892" s="28">
        <v>6.0570382794275215</v>
      </c>
      <c r="B1892" s="27">
        <v>0</v>
      </c>
      <c r="C1892" s="27">
        <v>8.4</v>
      </c>
      <c r="E1892" s="18"/>
    </row>
    <row r="1893" spans="1:5" ht="16.5" thickTop="1" thickBot="1" x14ac:dyDescent="0.3">
      <c r="A1893" s="28">
        <v>0.24335644236341691</v>
      </c>
      <c r="B1893" s="27">
        <v>0</v>
      </c>
      <c r="C1893" s="27">
        <v>8.4</v>
      </c>
      <c r="E1893" s="18"/>
    </row>
    <row r="1894" spans="1:5" ht="16.5" thickTop="1" thickBot="1" x14ac:dyDescent="0.3">
      <c r="A1894" s="28">
        <v>1.0982341040058154</v>
      </c>
      <c r="B1894" s="27">
        <v>0</v>
      </c>
      <c r="C1894" s="27">
        <v>8.4</v>
      </c>
      <c r="E1894" s="18"/>
    </row>
    <row r="1895" spans="1:5" ht="16.5" thickTop="1" thickBot="1" x14ac:dyDescent="0.3">
      <c r="A1895" s="28">
        <v>9.7745733433016113</v>
      </c>
      <c r="B1895" s="27">
        <v>0</v>
      </c>
      <c r="C1895" s="27">
        <v>8.4</v>
      </c>
      <c r="E1895" s="18"/>
    </row>
    <row r="1896" spans="1:5" ht="16.5" thickTop="1" thickBot="1" x14ac:dyDescent="0.3">
      <c r="A1896" s="28">
        <v>6.504685253346806</v>
      </c>
      <c r="B1896" s="27">
        <v>0</v>
      </c>
      <c r="C1896" s="27">
        <v>8.4</v>
      </c>
      <c r="E1896" s="18"/>
    </row>
    <row r="1897" spans="1:5" ht="16.5" thickTop="1" thickBot="1" x14ac:dyDescent="0.3">
      <c r="A1897" s="28">
        <v>1.8967637142035128</v>
      </c>
      <c r="B1897" s="27">
        <v>0</v>
      </c>
      <c r="C1897" s="27">
        <v>8.4</v>
      </c>
      <c r="E1897" s="18"/>
    </row>
    <row r="1898" spans="1:5" ht="16.5" thickTop="1" thickBot="1" x14ac:dyDescent="0.3">
      <c r="A1898" s="28">
        <v>1.8861913855009182</v>
      </c>
      <c r="B1898" s="27">
        <v>0</v>
      </c>
      <c r="C1898" s="27">
        <v>8.4</v>
      </c>
      <c r="E1898" s="18"/>
    </row>
    <row r="1899" spans="1:5" ht="16.5" thickTop="1" thickBot="1" x14ac:dyDescent="0.3">
      <c r="A1899" s="28">
        <v>11.672115532292198</v>
      </c>
      <c r="B1899" s="27">
        <v>0</v>
      </c>
      <c r="C1899" s="27">
        <v>8.4</v>
      </c>
      <c r="E1899" s="18"/>
    </row>
    <row r="1900" spans="1:5" ht="16.5" thickTop="1" thickBot="1" x14ac:dyDescent="0.3">
      <c r="A1900" s="28">
        <v>1.5090033389721087</v>
      </c>
      <c r="B1900" s="27">
        <v>0</v>
      </c>
      <c r="C1900" s="27">
        <v>8.4</v>
      </c>
      <c r="E1900" s="18"/>
    </row>
    <row r="1901" spans="1:5" ht="16.5" thickTop="1" thickBot="1" x14ac:dyDescent="0.3">
      <c r="A1901" s="28">
        <v>0.92525029026566985</v>
      </c>
      <c r="B1901" s="27">
        <v>0</v>
      </c>
      <c r="C1901" s="27">
        <v>8.4</v>
      </c>
      <c r="E1901" s="18"/>
    </row>
    <row r="1902" spans="1:5" ht="16.5" thickTop="1" thickBot="1" x14ac:dyDescent="0.3">
      <c r="A1902" s="28">
        <v>3.427718925885527</v>
      </c>
      <c r="B1902" s="27">
        <v>0</v>
      </c>
      <c r="C1902" s="27">
        <v>8.4</v>
      </c>
      <c r="E1902" s="18"/>
    </row>
    <row r="1903" spans="1:5" ht="16.5" thickTop="1" thickBot="1" x14ac:dyDescent="0.3">
      <c r="A1903" s="28">
        <v>2.8564075068886186</v>
      </c>
      <c r="B1903" s="27">
        <v>0</v>
      </c>
      <c r="C1903" s="27">
        <v>15.3</v>
      </c>
      <c r="E1903" s="18"/>
    </row>
    <row r="1904" spans="1:5" ht="16.5" thickTop="1" thickBot="1" x14ac:dyDescent="0.3">
      <c r="A1904" s="28">
        <v>0.60045833066326026</v>
      </c>
      <c r="B1904" s="27">
        <v>0</v>
      </c>
      <c r="C1904" s="27">
        <v>15.3</v>
      </c>
      <c r="E1904" s="18"/>
    </row>
    <row r="1905" spans="1:5" ht="16.5" thickTop="1" thickBot="1" x14ac:dyDescent="0.3">
      <c r="A1905" s="28">
        <v>4.1771190491183043</v>
      </c>
      <c r="B1905" s="27">
        <v>0</v>
      </c>
      <c r="C1905" s="27">
        <v>15.3</v>
      </c>
      <c r="E1905" s="18"/>
    </row>
    <row r="1906" spans="1:5" ht="16.5" thickTop="1" thickBot="1" x14ac:dyDescent="0.3">
      <c r="A1906" s="28">
        <v>5.7200901122874575</v>
      </c>
      <c r="B1906" s="27">
        <v>0</v>
      </c>
      <c r="C1906" s="27">
        <v>15.3</v>
      </c>
      <c r="E1906" s="18"/>
    </row>
    <row r="1907" spans="1:5" ht="16.5" thickTop="1" thickBot="1" x14ac:dyDescent="0.3">
      <c r="A1907" s="28">
        <v>9.1385512238509179</v>
      </c>
      <c r="B1907" s="27">
        <v>0</v>
      </c>
      <c r="C1907" s="27">
        <v>15.3</v>
      </c>
      <c r="E1907" s="18"/>
    </row>
    <row r="1908" spans="1:5" ht="16.5" thickTop="1" thickBot="1" x14ac:dyDescent="0.3">
      <c r="A1908" s="28">
        <v>2.7417912102182207</v>
      </c>
      <c r="B1908" s="27">
        <v>0</v>
      </c>
      <c r="C1908" s="27">
        <v>15.3</v>
      </c>
      <c r="E1908" s="18"/>
    </row>
    <row r="1909" spans="1:5" ht="16.5" thickTop="1" thickBot="1" x14ac:dyDescent="0.3">
      <c r="A1909" s="28">
        <v>10.954874122259614</v>
      </c>
      <c r="B1909" s="27">
        <v>0</v>
      </c>
      <c r="C1909" s="27">
        <v>15.3</v>
      </c>
      <c r="E1909" s="18"/>
    </row>
    <row r="1910" spans="1:5" ht="16.5" thickTop="1" thickBot="1" x14ac:dyDescent="0.3">
      <c r="A1910" s="28">
        <v>2.3117390569426823</v>
      </c>
      <c r="B1910" s="27">
        <v>0</v>
      </c>
      <c r="C1910" s="27">
        <v>15.3</v>
      </c>
      <c r="E1910" s="18"/>
    </row>
    <row r="1911" spans="1:5" ht="16.5" thickTop="1" thickBot="1" x14ac:dyDescent="0.3">
      <c r="A1911" s="28">
        <v>4.5344745484023035</v>
      </c>
      <c r="B1911" s="27">
        <v>0</v>
      </c>
      <c r="C1911" s="27">
        <v>15.3</v>
      </c>
      <c r="E1911" s="18"/>
    </row>
    <row r="1912" spans="1:5" ht="16.5" thickTop="1" thickBot="1" x14ac:dyDescent="0.3">
      <c r="A1912" s="28">
        <v>0.31991806482124763</v>
      </c>
      <c r="B1912" s="27">
        <v>0</v>
      </c>
      <c r="C1912" s="27">
        <v>15.3</v>
      </c>
      <c r="E1912" s="18"/>
    </row>
    <row r="1913" spans="1:5" ht="16.5" thickTop="1" thickBot="1" x14ac:dyDescent="0.3">
      <c r="A1913" s="28">
        <v>6.6343788137941484</v>
      </c>
      <c r="B1913" s="27">
        <v>0</v>
      </c>
      <c r="C1913" s="27">
        <v>15.3</v>
      </c>
      <c r="E1913" s="18"/>
    </row>
    <row r="1914" spans="1:5" ht="16.5" thickTop="1" thickBot="1" x14ac:dyDescent="0.3">
      <c r="A1914" s="28">
        <v>2.8189873494752309</v>
      </c>
      <c r="B1914" s="27">
        <v>0</v>
      </c>
      <c r="C1914" s="27">
        <v>15.3</v>
      </c>
      <c r="E1914" s="18"/>
    </row>
    <row r="1915" spans="1:5" ht="16.5" thickTop="1" thickBot="1" x14ac:dyDescent="0.3">
      <c r="A1915" s="28">
        <v>3.3912970447629598</v>
      </c>
      <c r="B1915" s="27">
        <v>0</v>
      </c>
      <c r="C1915" s="27">
        <v>15.3</v>
      </c>
      <c r="E1915" s="18"/>
    </row>
    <row r="1916" spans="1:5" ht="16.5" thickTop="1" thickBot="1" x14ac:dyDescent="0.3">
      <c r="A1916" s="28">
        <v>0.99399717787649788</v>
      </c>
      <c r="B1916" s="27">
        <v>0</v>
      </c>
      <c r="C1916" s="27">
        <v>15.3</v>
      </c>
      <c r="E1916" s="18"/>
    </row>
    <row r="1917" spans="1:5" ht="16.5" thickTop="1" thickBot="1" x14ac:dyDescent="0.3">
      <c r="A1917" s="28">
        <v>0.91957111568772065</v>
      </c>
      <c r="B1917" s="27">
        <v>0</v>
      </c>
      <c r="C1917" s="27">
        <v>15.3</v>
      </c>
      <c r="E1917" s="18"/>
    </row>
    <row r="1918" spans="1:5" ht="16.5" thickTop="1" thickBot="1" x14ac:dyDescent="0.3">
      <c r="A1918" s="28">
        <v>3.0093444565423901</v>
      </c>
      <c r="B1918" s="27">
        <v>0</v>
      </c>
      <c r="C1918" s="27">
        <v>15.3</v>
      </c>
      <c r="E1918" s="18"/>
    </row>
    <row r="1919" spans="1:5" ht="16.5" thickTop="1" thickBot="1" x14ac:dyDescent="0.3">
      <c r="A1919" s="28">
        <v>6.3837779721153218</v>
      </c>
      <c r="B1919" s="27">
        <v>0</v>
      </c>
      <c r="C1919" s="27">
        <v>15.3</v>
      </c>
      <c r="E1919" s="18"/>
    </row>
    <row r="1920" spans="1:5" ht="16.5" thickTop="1" thickBot="1" x14ac:dyDescent="0.3">
      <c r="A1920" s="28">
        <v>4.9728006286398205</v>
      </c>
      <c r="B1920" s="27">
        <v>0</v>
      </c>
      <c r="C1920" s="27">
        <v>13.1</v>
      </c>
      <c r="E1920" s="18"/>
    </row>
    <row r="1921" spans="1:5" ht="16.5" thickTop="1" thickBot="1" x14ac:dyDescent="0.3">
      <c r="A1921" s="28">
        <v>11.312670058871261</v>
      </c>
      <c r="B1921" s="27">
        <v>0</v>
      </c>
      <c r="C1921" s="27">
        <v>13.1</v>
      </c>
      <c r="E1921" s="18"/>
    </row>
    <row r="1922" spans="1:5" ht="16.5" thickTop="1" thickBot="1" x14ac:dyDescent="0.3">
      <c r="A1922" s="28">
        <v>0.46897112547884034</v>
      </c>
      <c r="B1922" s="27">
        <v>0</v>
      </c>
      <c r="C1922" s="27">
        <v>13.1</v>
      </c>
      <c r="E1922" s="18"/>
    </row>
    <row r="1923" spans="1:5" ht="16.5" thickTop="1" thickBot="1" x14ac:dyDescent="0.3">
      <c r="A1923" s="28">
        <v>6.3636018989228038</v>
      </c>
      <c r="B1923" s="27">
        <v>0</v>
      </c>
      <c r="C1923" s="27">
        <v>13.1</v>
      </c>
      <c r="E1923" s="18"/>
    </row>
    <row r="1924" spans="1:5" ht="16.5" thickTop="1" thickBot="1" x14ac:dyDescent="0.3">
      <c r="A1924" s="28">
        <v>0.19145545571252776</v>
      </c>
      <c r="B1924" s="27">
        <v>0</v>
      </c>
      <c r="C1924" s="27">
        <v>13.1</v>
      </c>
      <c r="E1924" s="18"/>
    </row>
    <row r="1925" spans="1:5" ht="16.5" thickTop="1" thickBot="1" x14ac:dyDescent="0.3">
      <c r="A1925" s="28">
        <v>10.619424465182764</v>
      </c>
      <c r="B1925" s="27">
        <v>0</v>
      </c>
      <c r="C1925" s="27">
        <v>13.1</v>
      </c>
      <c r="E1925" s="18"/>
    </row>
    <row r="1926" spans="1:5" ht="16.5" thickTop="1" thickBot="1" x14ac:dyDescent="0.3">
      <c r="A1926" s="28">
        <v>0.12081362048479061</v>
      </c>
      <c r="B1926" s="27">
        <v>0</v>
      </c>
      <c r="C1926" s="27">
        <v>13.1</v>
      </c>
      <c r="E1926" s="18"/>
    </row>
    <row r="1927" spans="1:5" ht="16.5" thickTop="1" thickBot="1" x14ac:dyDescent="0.3">
      <c r="A1927" s="28">
        <v>7.4141034283383718</v>
      </c>
      <c r="B1927" s="27">
        <v>0</v>
      </c>
      <c r="C1927" s="27">
        <v>13.1</v>
      </c>
      <c r="E1927" s="18"/>
    </row>
    <row r="1928" spans="1:5" ht="16.5" thickTop="1" thickBot="1" x14ac:dyDescent="0.3">
      <c r="A1928" s="28">
        <v>6.5791330883247507</v>
      </c>
      <c r="B1928" s="27">
        <v>0</v>
      </c>
      <c r="C1928" s="27">
        <v>13.1</v>
      </c>
      <c r="E1928" s="18"/>
    </row>
    <row r="1929" spans="1:5" ht="16.5" thickTop="1" thickBot="1" x14ac:dyDescent="0.3">
      <c r="A1929" s="28">
        <v>5.6652242235642198</v>
      </c>
      <c r="B1929" s="27">
        <v>0</v>
      </c>
      <c r="C1929" s="27">
        <v>13.1</v>
      </c>
      <c r="E1929" s="18"/>
    </row>
    <row r="1930" spans="1:5" ht="16.5" thickTop="1" thickBot="1" x14ac:dyDescent="0.3">
      <c r="A1930" s="28">
        <v>6.79011578750411</v>
      </c>
      <c r="B1930" s="27">
        <v>0</v>
      </c>
      <c r="C1930" s="27">
        <v>13.1</v>
      </c>
      <c r="E1930" s="18"/>
    </row>
    <row r="1931" spans="1:5" ht="16.5" thickTop="1" thickBot="1" x14ac:dyDescent="0.3">
      <c r="A1931" s="28">
        <v>11.87553999101433</v>
      </c>
      <c r="B1931" s="27">
        <v>0</v>
      </c>
      <c r="C1931" s="27">
        <v>13.1</v>
      </c>
      <c r="E1931" s="18"/>
    </row>
    <row r="1932" spans="1:5" ht="16.5" thickTop="1" thickBot="1" x14ac:dyDescent="0.3">
      <c r="A1932" s="28">
        <v>0.92125169154416642</v>
      </c>
      <c r="B1932" s="27">
        <v>0</v>
      </c>
      <c r="C1932" s="27">
        <v>13.1</v>
      </c>
      <c r="E1932" s="18"/>
    </row>
    <row r="1933" spans="1:5" ht="16.5" thickTop="1" thickBot="1" x14ac:dyDescent="0.3">
      <c r="A1933" s="28">
        <v>5.9854405619495434</v>
      </c>
      <c r="B1933" s="27">
        <v>0</v>
      </c>
      <c r="C1933" s="27">
        <v>13.1</v>
      </c>
      <c r="E1933" s="18"/>
    </row>
    <row r="1934" spans="1:5" ht="16.5" thickTop="1" thickBot="1" x14ac:dyDescent="0.3">
      <c r="A1934" s="28">
        <v>6.9134251444045471</v>
      </c>
      <c r="B1934" s="27">
        <v>0</v>
      </c>
      <c r="C1934" s="27">
        <v>13.1</v>
      </c>
      <c r="E1934" s="18"/>
    </row>
    <row r="1935" spans="1:5" ht="16.5" thickTop="1" thickBot="1" x14ac:dyDescent="0.3">
      <c r="A1935" s="28">
        <v>1.7863497693295574</v>
      </c>
      <c r="B1935" s="27">
        <v>0</v>
      </c>
      <c r="C1935" s="27">
        <v>19.600000000000001</v>
      </c>
      <c r="E1935" s="18"/>
    </row>
    <row r="1936" spans="1:5" ht="16.5" thickTop="1" thickBot="1" x14ac:dyDescent="0.3">
      <c r="A1936" s="28">
        <v>5.1178949622471466</v>
      </c>
      <c r="B1936" s="27">
        <v>0</v>
      </c>
      <c r="C1936" s="27">
        <v>19.600000000000001</v>
      </c>
      <c r="E1936" s="18"/>
    </row>
    <row r="1937" spans="1:5" ht="16.5" thickTop="1" thickBot="1" x14ac:dyDescent="0.3">
      <c r="A1937" s="28">
        <v>7.7493409169303158</v>
      </c>
      <c r="B1937" s="27">
        <v>0</v>
      </c>
      <c r="C1937" s="27">
        <v>19.600000000000001</v>
      </c>
      <c r="E1937" s="18"/>
    </row>
    <row r="1938" spans="1:5" ht="16.5" thickTop="1" thickBot="1" x14ac:dyDescent="0.3">
      <c r="A1938" s="28">
        <v>6.7780949731053024</v>
      </c>
      <c r="B1938" s="27">
        <v>0</v>
      </c>
      <c r="C1938" s="27">
        <v>19.600000000000001</v>
      </c>
      <c r="E1938" s="18"/>
    </row>
    <row r="1939" spans="1:5" ht="16.5" thickTop="1" thickBot="1" x14ac:dyDescent="0.3">
      <c r="A1939" s="28">
        <v>6.8921927021965548</v>
      </c>
      <c r="B1939" s="27">
        <v>0</v>
      </c>
      <c r="C1939" s="27">
        <v>19.600000000000001</v>
      </c>
      <c r="E1939" s="18"/>
    </row>
    <row r="1940" spans="1:5" ht="16.5" thickTop="1" thickBot="1" x14ac:dyDescent="0.3">
      <c r="A1940" s="28">
        <v>2.5764621582977449</v>
      </c>
      <c r="B1940" s="27">
        <v>0</v>
      </c>
      <c r="C1940" s="27">
        <v>19.600000000000001</v>
      </c>
      <c r="E1940" s="18"/>
    </row>
    <row r="1941" spans="1:5" ht="16.5" thickTop="1" thickBot="1" x14ac:dyDescent="0.3">
      <c r="A1941" s="28">
        <v>3.8659269554987357</v>
      </c>
      <c r="B1941" s="27">
        <v>0</v>
      </c>
      <c r="C1941" s="27">
        <v>19.600000000000001</v>
      </c>
      <c r="E1941" s="18"/>
    </row>
    <row r="1942" spans="1:5" ht="16.5" thickTop="1" thickBot="1" x14ac:dyDescent="0.3">
      <c r="A1942" s="28">
        <v>2.1099002475063324</v>
      </c>
      <c r="B1942" s="27">
        <v>0</v>
      </c>
      <c r="C1942" s="27">
        <v>19.600000000000001</v>
      </c>
      <c r="E1942" s="18"/>
    </row>
    <row r="1943" spans="1:5" ht="16.5" thickTop="1" thickBot="1" x14ac:dyDescent="0.3">
      <c r="A1943" s="28">
        <v>6.9660881311938159</v>
      </c>
      <c r="B1943" s="27">
        <v>0</v>
      </c>
      <c r="C1943" s="27">
        <v>19.600000000000001</v>
      </c>
      <c r="E1943" s="18"/>
    </row>
    <row r="1944" spans="1:5" ht="16.5" thickTop="1" thickBot="1" x14ac:dyDescent="0.3">
      <c r="A1944" s="28">
        <v>1.4927467859365795</v>
      </c>
      <c r="B1944" s="27">
        <v>0</v>
      </c>
      <c r="C1944" s="27">
        <v>19.600000000000001</v>
      </c>
      <c r="E1944" s="18"/>
    </row>
    <row r="1945" spans="1:5" ht="16.5" thickTop="1" thickBot="1" x14ac:dyDescent="0.3">
      <c r="A1945" s="28">
        <v>0.2277612244161098</v>
      </c>
      <c r="B1945" s="27">
        <v>0</v>
      </c>
      <c r="C1945" s="27">
        <v>19.600000000000001</v>
      </c>
      <c r="E1945" s="18"/>
    </row>
    <row r="1946" spans="1:5" ht="16.5" thickTop="1" thickBot="1" x14ac:dyDescent="0.3">
      <c r="A1946" s="28">
        <v>4.6261905835475305</v>
      </c>
      <c r="B1946" s="27">
        <v>0</v>
      </c>
      <c r="C1946" s="27">
        <v>19.600000000000001</v>
      </c>
      <c r="E1946" s="18"/>
    </row>
    <row r="1947" spans="1:5" ht="16.5" thickTop="1" thickBot="1" x14ac:dyDescent="0.3">
      <c r="A1947" s="28">
        <v>0.62774614025704389</v>
      </c>
      <c r="B1947" s="27">
        <v>0</v>
      </c>
      <c r="C1947" s="27">
        <v>19.600000000000001</v>
      </c>
      <c r="E1947" s="18"/>
    </row>
    <row r="1948" spans="1:5" ht="16.5" thickTop="1" thickBot="1" x14ac:dyDescent="0.3">
      <c r="A1948" s="28">
        <v>1.5195524839183414</v>
      </c>
      <c r="B1948" s="27">
        <v>0</v>
      </c>
      <c r="C1948" s="27">
        <v>19.600000000000001</v>
      </c>
      <c r="E1948" s="18"/>
    </row>
    <row r="1949" spans="1:5" ht="16.5" thickTop="1" thickBot="1" x14ac:dyDescent="0.3">
      <c r="A1949" s="28">
        <v>6.8743009031826272</v>
      </c>
      <c r="B1949" s="27">
        <v>0</v>
      </c>
      <c r="C1949" s="27">
        <v>19.600000000000001</v>
      </c>
      <c r="E1949" s="18"/>
    </row>
    <row r="1950" spans="1:5" ht="16.5" thickTop="1" thickBot="1" x14ac:dyDescent="0.3">
      <c r="A1950" s="28">
        <v>6.3741694434747176</v>
      </c>
      <c r="B1950" s="27">
        <v>0</v>
      </c>
      <c r="C1950" s="27">
        <v>19.600000000000001</v>
      </c>
      <c r="E1950" s="18"/>
    </row>
    <row r="1951" spans="1:5" ht="16.5" thickTop="1" thickBot="1" x14ac:dyDescent="0.3">
      <c r="A1951" s="28">
        <v>1.563502815827702</v>
      </c>
      <c r="B1951" s="27">
        <v>0</v>
      </c>
      <c r="C1951" s="27">
        <v>7.7</v>
      </c>
      <c r="E1951" s="18"/>
    </row>
    <row r="1952" spans="1:5" ht="16.5" thickTop="1" thickBot="1" x14ac:dyDescent="0.3">
      <c r="A1952" s="28">
        <v>0.50164267801261997</v>
      </c>
      <c r="B1952" s="27">
        <v>0</v>
      </c>
      <c r="C1952" s="27">
        <v>7.7</v>
      </c>
      <c r="E1952" s="18"/>
    </row>
    <row r="1953" spans="1:5" ht="16.5" thickTop="1" thickBot="1" x14ac:dyDescent="0.3">
      <c r="A1953" s="28">
        <v>1.5993303706278397</v>
      </c>
      <c r="B1953" s="27">
        <v>0</v>
      </c>
      <c r="C1953" s="27">
        <v>7.7</v>
      </c>
      <c r="E1953" s="18"/>
    </row>
    <row r="1954" spans="1:5" ht="16.5" thickTop="1" thickBot="1" x14ac:dyDescent="0.3">
      <c r="A1954" s="28">
        <v>4.7854404443309795</v>
      </c>
      <c r="B1954" s="27">
        <v>0</v>
      </c>
      <c r="C1954" s="27">
        <v>7.7</v>
      </c>
      <c r="E1954" s="18"/>
    </row>
    <row r="1955" spans="1:5" ht="16.5" thickTop="1" thickBot="1" x14ac:dyDescent="0.3">
      <c r="A1955" s="28">
        <v>10.924464365764342</v>
      </c>
      <c r="B1955" s="27">
        <v>0</v>
      </c>
      <c r="C1955" s="27">
        <v>7.7</v>
      </c>
      <c r="E1955" s="18"/>
    </row>
    <row r="1956" spans="1:5" ht="16.5" thickTop="1" thickBot="1" x14ac:dyDescent="0.3">
      <c r="A1956" s="28">
        <v>1.8995584371524559</v>
      </c>
      <c r="B1956" s="27">
        <v>0</v>
      </c>
      <c r="C1956" s="27">
        <v>7.7</v>
      </c>
      <c r="E1956" s="18"/>
    </row>
    <row r="1957" spans="1:5" ht="16.5" thickTop="1" thickBot="1" x14ac:dyDescent="0.3">
      <c r="A1957" s="28">
        <v>7.1323489721455013</v>
      </c>
      <c r="B1957" s="27">
        <v>0</v>
      </c>
      <c r="C1957" s="27">
        <v>7.7</v>
      </c>
      <c r="E1957" s="18"/>
    </row>
    <row r="1958" spans="1:5" ht="16.5" thickTop="1" thickBot="1" x14ac:dyDescent="0.3">
      <c r="A1958" s="28">
        <v>4.3228946175610572</v>
      </c>
      <c r="B1958" s="27">
        <v>0</v>
      </c>
      <c r="C1958" s="27">
        <v>7.7</v>
      </c>
      <c r="E1958" s="18"/>
    </row>
    <row r="1959" spans="1:5" ht="16.5" thickTop="1" thickBot="1" x14ac:dyDescent="0.3">
      <c r="A1959" s="28">
        <v>6.7154901405565042</v>
      </c>
      <c r="B1959" s="27">
        <v>0</v>
      </c>
      <c r="C1959" s="27">
        <v>7.7</v>
      </c>
      <c r="E1959" s="18"/>
    </row>
    <row r="1960" spans="1:5" ht="16.5" thickTop="1" thickBot="1" x14ac:dyDescent="0.3">
      <c r="A1960" s="28">
        <v>0.30652570376502519</v>
      </c>
      <c r="B1960" s="27">
        <v>0</v>
      </c>
      <c r="C1960" s="27">
        <v>7.7</v>
      </c>
      <c r="E1960" s="18"/>
    </row>
    <row r="1961" spans="1:5" ht="16.5" thickTop="1" thickBot="1" x14ac:dyDescent="0.3">
      <c r="A1961" s="28">
        <v>9.1185811614047214</v>
      </c>
      <c r="B1961" s="27">
        <v>0</v>
      </c>
      <c r="C1961" s="27">
        <v>7.7</v>
      </c>
      <c r="E1961" s="18"/>
    </row>
    <row r="1962" spans="1:5" ht="16.5" thickTop="1" thickBot="1" x14ac:dyDescent="0.3">
      <c r="A1962" s="28">
        <v>2.7670908399046259</v>
      </c>
      <c r="B1962" s="27">
        <v>0</v>
      </c>
      <c r="C1962" s="27">
        <v>7.7</v>
      </c>
      <c r="E1962" s="18"/>
    </row>
    <row r="1963" spans="1:5" ht="16.5" thickTop="1" thickBot="1" x14ac:dyDescent="0.3">
      <c r="A1963" s="28">
        <v>2.446214720455822</v>
      </c>
      <c r="B1963" s="27">
        <v>0</v>
      </c>
      <c r="C1963" s="27">
        <v>7.7</v>
      </c>
      <c r="E1963" s="18"/>
    </row>
    <row r="1964" spans="1:5" ht="16.5" thickTop="1" thickBot="1" x14ac:dyDescent="0.3">
      <c r="A1964" s="28">
        <v>3.2956131366193793</v>
      </c>
      <c r="B1964" s="27">
        <v>0</v>
      </c>
      <c r="C1964" s="27">
        <v>7.7</v>
      </c>
      <c r="E1964" s="18"/>
    </row>
    <row r="1965" spans="1:5" ht="16.5" thickTop="1" thickBot="1" x14ac:dyDescent="0.3">
      <c r="A1965" s="28">
        <v>5.7304149494180283</v>
      </c>
      <c r="B1965" s="27">
        <v>0</v>
      </c>
      <c r="C1965" s="27">
        <v>7.7</v>
      </c>
      <c r="E1965" s="18"/>
    </row>
    <row r="1966" spans="1:5" ht="16.5" thickTop="1" thickBot="1" x14ac:dyDescent="0.3">
      <c r="A1966" s="28">
        <v>4.3881841950483551</v>
      </c>
      <c r="B1966" s="27">
        <v>0</v>
      </c>
      <c r="C1966" s="27">
        <v>7.7</v>
      </c>
      <c r="E1966" s="18"/>
    </row>
    <row r="1967" spans="1:5" ht="16.5" thickTop="1" thickBot="1" x14ac:dyDescent="0.3">
      <c r="A1967" s="28">
        <v>6.7916391787286434</v>
      </c>
      <c r="B1967" s="27">
        <v>0</v>
      </c>
      <c r="C1967" s="27">
        <v>7.1</v>
      </c>
      <c r="E1967" s="18"/>
    </row>
    <row r="1968" spans="1:5" ht="16.5" thickTop="1" thickBot="1" x14ac:dyDescent="0.3">
      <c r="A1968" s="28">
        <v>5.3782064122943565</v>
      </c>
      <c r="B1968" s="27">
        <v>0</v>
      </c>
      <c r="C1968" s="27">
        <v>7.1</v>
      </c>
      <c r="E1968" s="18"/>
    </row>
    <row r="1969" spans="1:5" ht="16.5" thickTop="1" thickBot="1" x14ac:dyDescent="0.3">
      <c r="A1969" s="28">
        <v>11.990135613775104</v>
      </c>
      <c r="B1969" s="27">
        <v>0</v>
      </c>
      <c r="C1969" s="27">
        <v>7.1</v>
      </c>
      <c r="E1969" s="18"/>
    </row>
    <row r="1970" spans="1:5" ht="16.5" thickTop="1" thickBot="1" x14ac:dyDescent="0.3">
      <c r="A1970" s="28">
        <v>3.1140109551392938</v>
      </c>
      <c r="B1970" s="27">
        <v>0</v>
      </c>
      <c r="C1970" s="27">
        <v>7.1</v>
      </c>
      <c r="E1970" s="18"/>
    </row>
    <row r="1971" spans="1:5" ht="16.5" thickTop="1" thickBot="1" x14ac:dyDescent="0.3">
      <c r="A1971" s="28">
        <v>1.8202178545077863</v>
      </c>
      <c r="B1971" s="27">
        <v>0</v>
      </c>
      <c r="C1971" s="27">
        <v>7.1</v>
      </c>
      <c r="E1971" s="18"/>
    </row>
    <row r="1972" spans="1:5" ht="16.5" thickTop="1" thickBot="1" x14ac:dyDescent="0.3">
      <c r="A1972" s="28">
        <v>4.8584650039388899</v>
      </c>
      <c r="B1972" s="27">
        <v>0</v>
      </c>
      <c r="C1972" s="27">
        <v>7.1</v>
      </c>
      <c r="E1972" s="18"/>
    </row>
    <row r="1973" spans="1:5" ht="16.5" thickTop="1" thickBot="1" x14ac:dyDescent="0.3">
      <c r="A1973" s="28">
        <v>7.9690713508414159</v>
      </c>
      <c r="B1973" s="27">
        <v>0</v>
      </c>
      <c r="C1973" s="27">
        <v>7.1</v>
      </c>
      <c r="E1973" s="18"/>
    </row>
    <row r="1974" spans="1:5" ht="16.5" thickTop="1" thickBot="1" x14ac:dyDescent="0.3">
      <c r="A1974" s="28">
        <v>3.1912809330005496</v>
      </c>
      <c r="B1974" s="27">
        <v>0</v>
      </c>
      <c r="C1974" s="27">
        <v>7.1</v>
      </c>
      <c r="E1974" s="18"/>
    </row>
    <row r="1975" spans="1:5" ht="16.5" thickTop="1" thickBot="1" x14ac:dyDescent="0.3">
      <c r="A1975" s="28">
        <v>5.4969262793844953</v>
      </c>
      <c r="B1975" s="27">
        <v>0</v>
      </c>
      <c r="C1975" s="27">
        <v>7.1</v>
      </c>
      <c r="E1975" s="18"/>
    </row>
    <row r="1976" spans="1:5" ht="16.5" thickTop="1" thickBot="1" x14ac:dyDescent="0.3">
      <c r="A1976" s="28">
        <v>1.3806176413972535</v>
      </c>
      <c r="B1976" s="27">
        <v>0</v>
      </c>
      <c r="C1976" s="27">
        <v>7.1</v>
      </c>
      <c r="E1976" s="18"/>
    </row>
    <row r="1977" spans="1:5" ht="16.5" thickTop="1" thickBot="1" x14ac:dyDescent="0.3">
      <c r="A1977" s="28">
        <v>0.10255533968494657</v>
      </c>
      <c r="B1977" s="27">
        <v>0</v>
      </c>
      <c r="C1977" s="27">
        <v>7.1</v>
      </c>
      <c r="E1977" s="18"/>
    </row>
    <row r="1978" spans="1:5" ht="16.5" thickTop="1" thickBot="1" x14ac:dyDescent="0.3">
      <c r="A1978" s="28">
        <v>5.7429011616418553</v>
      </c>
      <c r="B1978" s="27">
        <v>0</v>
      </c>
      <c r="C1978" s="27">
        <v>7.1</v>
      </c>
      <c r="E1978" s="18"/>
    </row>
    <row r="1979" spans="1:5" ht="16.5" thickTop="1" thickBot="1" x14ac:dyDescent="0.3">
      <c r="A1979" s="28">
        <v>4.8342615041123649</v>
      </c>
      <c r="B1979" s="27">
        <v>0</v>
      </c>
      <c r="C1979" s="27">
        <v>7.1</v>
      </c>
      <c r="E1979" s="18"/>
    </row>
    <row r="1980" spans="1:5" ht="16.5" thickTop="1" thickBot="1" x14ac:dyDescent="0.3">
      <c r="A1980" s="28">
        <v>2.7405917174512191</v>
      </c>
      <c r="B1980" s="27">
        <v>0</v>
      </c>
      <c r="C1980" s="27">
        <v>7.1</v>
      </c>
      <c r="E1980" s="18"/>
    </row>
    <row r="1981" spans="1:5" ht="16.5" thickTop="1" thickBot="1" x14ac:dyDescent="0.3">
      <c r="A1981" s="28">
        <v>6.401786018057825</v>
      </c>
      <c r="B1981" s="27">
        <v>0</v>
      </c>
      <c r="C1981" s="27">
        <v>7.1</v>
      </c>
      <c r="E1981" s="18"/>
    </row>
    <row r="1982" spans="1:5" ht="16.5" thickTop="1" thickBot="1" x14ac:dyDescent="0.3">
      <c r="A1982" s="28">
        <v>5.2401615614554782</v>
      </c>
      <c r="B1982" s="27">
        <v>0</v>
      </c>
      <c r="C1982" s="27">
        <v>19.100000000000001</v>
      </c>
      <c r="E1982" s="18"/>
    </row>
    <row r="1983" spans="1:5" ht="16.5" thickTop="1" thickBot="1" x14ac:dyDescent="0.3">
      <c r="A1983" s="28">
        <v>6.7226100080848878</v>
      </c>
      <c r="B1983" s="27">
        <v>0</v>
      </c>
      <c r="C1983" s="27">
        <v>19.100000000000001</v>
      </c>
      <c r="E1983" s="18"/>
    </row>
    <row r="1984" spans="1:5" ht="16.5" thickTop="1" thickBot="1" x14ac:dyDescent="0.3">
      <c r="A1984" s="28">
        <v>2.8203824201156311</v>
      </c>
      <c r="B1984" s="27">
        <v>0</v>
      </c>
      <c r="C1984" s="27">
        <v>19.100000000000001</v>
      </c>
      <c r="E1984" s="18"/>
    </row>
    <row r="1985" spans="1:5" ht="16.5" thickTop="1" thickBot="1" x14ac:dyDescent="0.3">
      <c r="A1985" s="28">
        <v>4.6928407696502346</v>
      </c>
      <c r="B1985" s="27">
        <v>0</v>
      </c>
      <c r="C1985" s="27">
        <v>19.100000000000001</v>
      </c>
      <c r="E1985" s="18"/>
    </row>
    <row r="1986" spans="1:5" ht="16.5" thickTop="1" thickBot="1" x14ac:dyDescent="0.3">
      <c r="A1986" s="28">
        <v>4.1989207409675959</v>
      </c>
      <c r="B1986" s="27">
        <v>0</v>
      </c>
      <c r="C1986" s="27">
        <v>19.100000000000001</v>
      </c>
      <c r="E1986" s="18"/>
    </row>
    <row r="1987" spans="1:5" ht="16.5" thickTop="1" thickBot="1" x14ac:dyDescent="0.3">
      <c r="A1987" s="28">
        <v>6.4883515182991536</v>
      </c>
      <c r="B1987" s="27">
        <v>0</v>
      </c>
      <c r="C1987" s="27">
        <v>19.100000000000001</v>
      </c>
      <c r="E1987" s="18"/>
    </row>
    <row r="1988" spans="1:5" ht="16.5" thickTop="1" thickBot="1" x14ac:dyDescent="0.3">
      <c r="A1988" s="28">
        <v>1.62916937823789</v>
      </c>
      <c r="B1988" s="27">
        <v>0</v>
      </c>
      <c r="C1988" s="27">
        <v>19.100000000000001</v>
      </c>
      <c r="E1988" s="18"/>
    </row>
    <row r="1989" spans="1:5" ht="16.5" thickTop="1" thickBot="1" x14ac:dyDescent="0.3">
      <c r="A1989" s="28">
        <v>6.4116581864897348</v>
      </c>
      <c r="B1989" s="27">
        <v>0</v>
      </c>
      <c r="C1989" s="27">
        <v>19.100000000000001</v>
      </c>
      <c r="E1989" s="18"/>
    </row>
    <row r="1990" spans="1:5" ht="16.5" thickTop="1" thickBot="1" x14ac:dyDescent="0.3">
      <c r="A1990" s="28">
        <v>1.0167120931952076</v>
      </c>
      <c r="B1990" s="27">
        <v>0</v>
      </c>
      <c r="C1990" s="27">
        <v>19.100000000000001</v>
      </c>
      <c r="E1990" s="18"/>
    </row>
    <row r="1991" spans="1:5" ht="16.5" thickTop="1" thickBot="1" x14ac:dyDescent="0.3">
      <c r="A1991" s="28">
        <v>10.811964379876041</v>
      </c>
      <c r="B1991" s="27">
        <v>0</v>
      </c>
      <c r="C1991" s="27">
        <v>19.100000000000001</v>
      </c>
      <c r="E1991" s="18"/>
    </row>
    <row r="1992" spans="1:5" ht="16.5" thickTop="1" thickBot="1" x14ac:dyDescent="0.3">
      <c r="A1992" s="28">
        <v>5.8996881476827046</v>
      </c>
      <c r="B1992" s="27">
        <v>0</v>
      </c>
      <c r="C1992" s="27">
        <v>19.100000000000001</v>
      </c>
      <c r="E1992" s="18"/>
    </row>
    <row r="1993" spans="1:5" ht="16.5" thickTop="1" thickBot="1" x14ac:dyDescent="0.3">
      <c r="A1993" s="28">
        <v>1.1328087492033543</v>
      </c>
      <c r="B1993" s="27">
        <v>0</v>
      </c>
      <c r="C1993" s="27">
        <v>19.100000000000001</v>
      </c>
      <c r="E1993" s="18"/>
    </row>
    <row r="1994" spans="1:5" ht="16.5" thickTop="1" thickBot="1" x14ac:dyDescent="0.3">
      <c r="A1994" s="28">
        <v>6.7419985300782317</v>
      </c>
      <c r="B1994" s="27">
        <v>0</v>
      </c>
      <c r="C1994" s="27">
        <v>19.100000000000001</v>
      </c>
      <c r="E1994" s="18"/>
    </row>
    <row r="1995" spans="1:5" ht="16.5" thickTop="1" thickBot="1" x14ac:dyDescent="0.3">
      <c r="A1995" s="28">
        <v>3.2737590378999313</v>
      </c>
      <c r="B1995" s="27">
        <v>0</v>
      </c>
      <c r="C1995" s="27">
        <v>19.100000000000001</v>
      </c>
      <c r="E1995" s="18"/>
    </row>
    <row r="1996" spans="1:5" ht="16.5" thickTop="1" thickBot="1" x14ac:dyDescent="0.3">
      <c r="A1996" s="28">
        <v>5.8069981272938342</v>
      </c>
      <c r="B1996" s="27">
        <v>0</v>
      </c>
      <c r="C1996" s="27">
        <v>19.100000000000001</v>
      </c>
      <c r="E1996" s="18"/>
    </row>
    <row r="1997" spans="1:5" ht="16.5" thickTop="1" thickBot="1" x14ac:dyDescent="0.3">
      <c r="A1997" s="28">
        <v>7.0482984582812662</v>
      </c>
      <c r="B1997" s="27">
        <v>0</v>
      </c>
      <c r="C1997" s="27">
        <v>19.100000000000001</v>
      </c>
      <c r="E1997" s="18"/>
    </row>
    <row r="1998" spans="1:5" ht="16.5" thickTop="1" thickBot="1" x14ac:dyDescent="0.3">
      <c r="A1998" s="28">
        <v>4.3045871206815489</v>
      </c>
      <c r="B1998" s="27">
        <v>0</v>
      </c>
      <c r="C1998" s="27">
        <v>14.6</v>
      </c>
      <c r="E1998" s="18"/>
    </row>
    <row r="1999" spans="1:5" ht="16.5" thickTop="1" thickBot="1" x14ac:dyDescent="0.3">
      <c r="A1999" s="28">
        <v>9.1353853572303407</v>
      </c>
      <c r="B1999" s="27">
        <v>0</v>
      </c>
      <c r="C1999" s="27">
        <v>14.6</v>
      </c>
      <c r="E1999" s="18"/>
    </row>
    <row r="2000" spans="1:5" ht="16.5" thickTop="1" thickBot="1" x14ac:dyDescent="0.3">
      <c r="A2000" s="28">
        <v>0.52916210086403415</v>
      </c>
      <c r="B2000" s="27">
        <v>0</v>
      </c>
      <c r="C2000" s="27">
        <v>14.6</v>
      </c>
      <c r="E2000" s="18"/>
    </row>
    <row r="2001" spans="1:5" ht="16.5" thickTop="1" thickBot="1" x14ac:dyDescent="0.3">
      <c r="A2001" s="28">
        <v>6.1911231627293724</v>
      </c>
      <c r="B2001" s="27">
        <v>0</v>
      </c>
      <c r="C2001" s="27">
        <v>14.6</v>
      </c>
      <c r="E2001" s="18"/>
    </row>
    <row r="2002" spans="1:5" ht="16.5" thickTop="1" thickBot="1" x14ac:dyDescent="0.3">
      <c r="A2002" s="28">
        <v>6.5369168929025339</v>
      </c>
      <c r="B2002" s="27">
        <v>0</v>
      </c>
      <c r="C2002" s="27">
        <v>14.6</v>
      </c>
      <c r="E2002" s="18"/>
    </row>
    <row r="2003" spans="1:5" ht="16.5" thickTop="1" thickBot="1" x14ac:dyDescent="0.3">
      <c r="A2003" s="28">
        <v>6.0849616038005969</v>
      </c>
      <c r="B2003" s="27">
        <v>0</v>
      </c>
      <c r="C2003" s="27">
        <v>14.6</v>
      </c>
      <c r="E2003" s="18"/>
    </row>
    <row r="2004" spans="1:5" ht="16.5" thickTop="1" thickBot="1" x14ac:dyDescent="0.3">
      <c r="A2004" s="28">
        <v>1.4291314141184221</v>
      </c>
      <c r="B2004" s="27">
        <v>0</v>
      </c>
      <c r="C2004" s="27">
        <v>14.6</v>
      </c>
      <c r="E2004" s="18"/>
    </row>
    <row r="2005" spans="1:5" ht="16.5" thickTop="1" thickBot="1" x14ac:dyDescent="0.3">
      <c r="A2005" s="28">
        <v>5.0655660818168409</v>
      </c>
      <c r="B2005" s="27">
        <v>0</v>
      </c>
      <c r="C2005" s="27">
        <v>14.6</v>
      </c>
      <c r="E2005" s="18"/>
    </row>
    <row r="2006" spans="1:5" ht="16.5" thickTop="1" thickBot="1" x14ac:dyDescent="0.3">
      <c r="A2006" s="28">
        <v>1.8372085935969711</v>
      </c>
      <c r="B2006" s="27">
        <v>0</v>
      </c>
      <c r="C2006" s="27">
        <v>14.6</v>
      </c>
      <c r="E2006" s="18"/>
    </row>
    <row r="2007" spans="1:5" ht="16.5" thickTop="1" thickBot="1" x14ac:dyDescent="0.3">
      <c r="A2007" s="28">
        <v>9.0244118144536571</v>
      </c>
      <c r="B2007" s="27">
        <v>0</v>
      </c>
      <c r="C2007" s="27">
        <v>14.6</v>
      </c>
      <c r="E2007" s="18"/>
    </row>
    <row r="2008" spans="1:5" ht="16.5" thickTop="1" thickBot="1" x14ac:dyDescent="0.3">
      <c r="A2008" s="28">
        <v>4.831400085077143</v>
      </c>
      <c r="B2008" s="27">
        <v>0</v>
      </c>
      <c r="C2008" s="27">
        <v>14.6</v>
      </c>
      <c r="E2008" s="18"/>
    </row>
    <row r="2009" spans="1:5" ht="16.5" thickTop="1" thickBot="1" x14ac:dyDescent="0.3">
      <c r="A2009" s="28">
        <v>8.4622961651593513</v>
      </c>
      <c r="B2009" s="27">
        <v>0</v>
      </c>
      <c r="C2009" s="27">
        <v>14.6</v>
      </c>
      <c r="E2009" s="18"/>
    </row>
    <row r="2010" spans="1:5" ht="16.5" thickTop="1" thickBot="1" x14ac:dyDescent="0.3">
      <c r="A2010" s="28">
        <v>5.0029415635852903</v>
      </c>
      <c r="B2010" s="27">
        <v>0</v>
      </c>
      <c r="C2010" s="27">
        <v>14.6</v>
      </c>
      <c r="E2010" s="18"/>
    </row>
    <row r="2011" spans="1:5" ht="16.5" thickTop="1" thickBot="1" x14ac:dyDescent="0.3">
      <c r="A2011" s="28">
        <v>10.95417647817543</v>
      </c>
      <c r="B2011" s="27">
        <v>0</v>
      </c>
      <c r="C2011" s="27">
        <v>14.6</v>
      </c>
      <c r="E2011" s="18"/>
    </row>
    <row r="2012" spans="1:5" ht="16.5" thickTop="1" thickBot="1" x14ac:dyDescent="0.3">
      <c r="A2012" s="28">
        <v>1.534307678012282</v>
      </c>
      <c r="B2012" s="27">
        <v>0</v>
      </c>
      <c r="C2012" s="27">
        <v>14.6</v>
      </c>
      <c r="E2012" s="18"/>
    </row>
    <row r="2013" spans="1:5" ht="16.5" thickTop="1" thickBot="1" x14ac:dyDescent="0.3">
      <c r="A2013" s="28">
        <v>4.8272823341910804</v>
      </c>
      <c r="B2013" s="27">
        <v>0</v>
      </c>
      <c r="C2013" s="27">
        <v>14.6</v>
      </c>
      <c r="E2013" s="18"/>
    </row>
    <row r="2014" spans="1:5" ht="16.5" thickTop="1" thickBot="1" x14ac:dyDescent="0.3">
      <c r="A2014" s="28">
        <v>5.546672163480137</v>
      </c>
      <c r="B2014" s="27">
        <v>0</v>
      </c>
      <c r="C2014" s="27">
        <v>14.6</v>
      </c>
      <c r="E2014" s="18"/>
    </row>
    <row r="2015" spans="1:5" ht="16.5" thickTop="1" thickBot="1" x14ac:dyDescent="0.3">
      <c r="A2015" s="28">
        <v>7.3544595562914878</v>
      </c>
      <c r="B2015" s="27">
        <v>0</v>
      </c>
      <c r="C2015" s="27">
        <v>10.4</v>
      </c>
      <c r="E2015" s="18"/>
    </row>
    <row r="2016" spans="1:5" ht="16.5" thickTop="1" thickBot="1" x14ac:dyDescent="0.3">
      <c r="A2016" s="28">
        <v>6.2093353285376258</v>
      </c>
      <c r="B2016" s="27">
        <v>0</v>
      </c>
      <c r="C2016" s="27">
        <v>10.4</v>
      </c>
      <c r="E2016" s="18"/>
    </row>
    <row r="2017" spans="1:5" ht="16.5" thickTop="1" thickBot="1" x14ac:dyDescent="0.3">
      <c r="A2017" s="28">
        <v>8.8888434635095877</v>
      </c>
      <c r="B2017" s="27">
        <v>0</v>
      </c>
      <c r="C2017" s="27">
        <v>10.4</v>
      </c>
      <c r="E2017" s="18"/>
    </row>
    <row r="2018" spans="1:5" ht="16.5" thickTop="1" thickBot="1" x14ac:dyDescent="0.3">
      <c r="A2018" s="28">
        <v>5.1201327650130484</v>
      </c>
      <c r="B2018" s="27">
        <v>0</v>
      </c>
      <c r="C2018" s="27">
        <v>10.4</v>
      </c>
      <c r="E2018" s="18"/>
    </row>
    <row r="2019" spans="1:5" ht="16.5" thickTop="1" thickBot="1" x14ac:dyDescent="0.3">
      <c r="A2019" s="28">
        <v>9.0412331841407862</v>
      </c>
      <c r="B2019" s="27">
        <v>0</v>
      </c>
      <c r="C2019" s="27">
        <v>10.4</v>
      </c>
      <c r="E2019" s="18"/>
    </row>
    <row r="2020" spans="1:5" ht="16.5" thickTop="1" thickBot="1" x14ac:dyDescent="0.3">
      <c r="A2020" s="28">
        <v>5.6114189854139429</v>
      </c>
      <c r="B2020" s="27">
        <v>0</v>
      </c>
      <c r="C2020" s="27">
        <v>10.4</v>
      </c>
      <c r="E2020" s="18"/>
    </row>
    <row r="2021" spans="1:5" ht="16.5" thickTop="1" thickBot="1" x14ac:dyDescent="0.3">
      <c r="A2021" s="28">
        <v>11.567626145301411</v>
      </c>
      <c r="B2021" s="27">
        <v>0</v>
      </c>
      <c r="C2021" s="27">
        <v>10.4</v>
      </c>
      <c r="E2021" s="18"/>
    </row>
    <row r="2022" spans="1:5" ht="16.5" thickTop="1" thickBot="1" x14ac:dyDescent="0.3">
      <c r="A2022" s="28">
        <v>1.7486806546166012</v>
      </c>
      <c r="B2022" s="27">
        <v>0</v>
      </c>
      <c r="C2022" s="27">
        <v>10.4</v>
      </c>
      <c r="E2022" s="18"/>
    </row>
    <row r="2023" spans="1:5" ht="16.5" thickTop="1" thickBot="1" x14ac:dyDescent="0.3">
      <c r="A2023" s="28">
        <v>6.1879260730013268</v>
      </c>
      <c r="B2023" s="27">
        <v>0</v>
      </c>
      <c r="C2023" s="27">
        <v>10.4</v>
      </c>
      <c r="E2023" s="18"/>
    </row>
    <row r="2024" spans="1:5" ht="16.5" thickTop="1" thickBot="1" x14ac:dyDescent="0.3">
      <c r="A2024" s="28">
        <v>5.3706531699681808</v>
      </c>
      <c r="B2024" s="27">
        <v>0</v>
      </c>
      <c r="C2024" s="27">
        <v>10.4</v>
      </c>
      <c r="E2024" s="18"/>
    </row>
    <row r="2025" spans="1:5" ht="16.5" thickTop="1" thickBot="1" x14ac:dyDescent="0.3">
      <c r="A2025" s="28">
        <v>10.014290482376206</v>
      </c>
      <c r="B2025" s="27">
        <v>0</v>
      </c>
      <c r="C2025" s="27">
        <v>10.4</v>
      </c>
      <c r="E2025" s="18"/>
    </row>
    <row r="2026" spans="1:5" ht="16.5" thickTop="1" thickBot="1" x14ac:dyDescent="0.3">
      <c r="A2026" s="28">
        <v>2.1333462537858461</v>
      </c>
      <c r="B2026" s="27">
        <v>0</v>
      </c>
      <c r="C2026" s="27">
        <v>10.4</v>
      </c>
      <c r="E2026" s="18"/>
    </row>
    <row r="2027" spans="1:5" ht="16.5" thickTop="1" thickBot="1" x14ac:dyDescent="0.3">
      <c r="A2027" s="28">
        <v>4.6784711090846685</v>
      </c>
      <c r="B2027" s="27">
        <v>0</v>
      </c>
      <c r="C2027" s="27">
        <v>10.4</v>
      </c>
      <c r="E2027" s="18"/>
    </row>
    <row r="2028" spans="1:5" ht="16.5" thickTop="1" thickBot="1" x14ac:dyDescent="0.3">
      <c r="A2028" s="28">
        <v>0.77124302427875191</v>
      </c>
      <c r="B2028" s="27">
        <v>0</v>
      </c>
      <c r="C2028" s="27">
        <v>10.4</v>
      </c>
      <c r="E2028" s="18"/>
    </row>
    <row r="2029" spans="1:5" ht="16.5" thickTop="1" thickBot="1" x14ac:dyDescent="0.3">
      <c r="A2029" s="28">
        <v>11.885601162342361</v>
      </c>
      <c r="B2029" s="27">
        <v>0</v>
      </c>
      <c r="C2029" s="27">
        <v>10.4</v>
      </c>
      <c r="E2029" s="18"/>
    </row>
    <row r="2030" spans="1:5" ht="16.5" thickTop="1" thickBot="1" x14ac:dyDescent="0.3">
      <c r="A2030" s="28">
        <v>6.0303489588742973</v>
      </c>
      <c r="B2030" s="27">
        <v>0</v>
      </c>
      <c r="C2030" s="27">
        <v>10.4</v>
      </c>
      <c r="E2030" s="18"/>
    </row>
    <row r="2031" spans="1:5" ht="16.5" thickTop="1" thickBot="1" x14ac:dyDescent="0.3">
      <c r="A2031" s="28">
        <v>8.5415581977806099</v>
      </c>
      <c r="B2031" s="27">
        <v>0</v>
      </c>
      <c r="C2031" s="27">
        <v>13.8</v>
      </c>
      <c r="E2031" s="18"/>
    </row>
    <row r="2032" spans="1:5" ht="16.5" thickTop="1" thickBot="1" x14ac:dyDescent="0.3">
      <c r="A2032" s="28">
        <v>1.6978475375090476</v>
      </c>
      <c r="B2032" s="27">
        <v>0</v>
      </c>
      <c r="C2032" s="27">
        <v>13.8</v>
      </c>
      <c r="E2032" s="18"/>
    </row>
    <row r="2033" spans="1:5" ht="16.5" thickTop="1" thickBot="1" x14ac:dyDescent="0.3">
      <c r="A2033" s="28">
        <v>6.1064303526238444</v>
      </c>
      <c r="B2033" s="27">
        <v>0</v>
      </c>
      <c r="C2033" s="27">
        <v>13.8</v>
      </c>
      <c r="E2033" s="18"/>
    </row>
    <row r="2034" spans="1:5" ht="16.5" thickTop="1" thickBot="1" x14ac:dyDescent="0.3">
      <c r="A2034" s="28">
        <v>4.8231607020686109</v>
      </c>
      <c r="B2034" s="27">
        <v>0</v>
      </c>
      <c r="C2034" s="27">
        <v>13.8</v>
      </c>
      <c r="E2034" s="18"/>
    </row>
    <row r="2035" spans="1:5" ht="16.5" thickTop="1" thickBot="1" x14ac:dyDescent="0.3">
      <c r="A2035" s="28">
        <v>5.9507838465474805E-2</v>
      </c>
      <c r="B2035" s="27">
        <v>0</v>
      </c>
      <c r="C2035" s="27">
        <v>13.8</v>
      </c>
      <c r="E2035" s="18"/>
    </row>
    <row r="2036" spans="1:5" ht="16.5" thickTop="1" thickBot="1" x14ac:dyDescent="0.3">
      <c r="A2036" s="28">
        <v>4.6158449425348302E-2</v>
      </c>
      <c r="B2036" s="27">
        <v>0</v>
      </c>
      <c r="C2036" s="27">
        <v>13.8</v>
      </c>
      <c r="E2036" s="18"/>
    </row>
    <row r="2037" spans="1:5" ht="16.5" thickTop="1" thickBot="1" x14ac:dyDescent="0.3">
      <c r="A2037" s="28">
        <v>8.9904258840786557</v>
      </c>
      <c r="B2037" s="27">
        <v>0</v>
      </c>
      <c r="C2037" s="27">
        <v>13.8</v>
      </c>
      <c r="E2037" s="18"/>
    </row>
    <row r="2038" spans="1:5" ht="16.5" thickTop="1" thickBot="1" x14ac:dyDescent="0.3">
      <c r="A2038" s="28">
        <v>4.0669147560469607</v>
      </c>
      <c r="B2038" s="27">
        <v>0</v>
      </c>
      <c r="C2038" s="27">
        <v>13.8</v>
      </c>
      <c r="E2038" s="18"/>
    </row>
    <row r="2039" spans="1:5" ht="16.5" thickTop="1" thickBot="1" x14ac:dyDescent="0.3">
      <c r="A2039" s="28">
        <v>4.4979631116995442</v>
      </c>
      <c r="B2039" s="27">
        <v>0</v>
      </c>
      <c r="C2039" s="27">
        <v>13.8</v>
      </c>
      <c r="E2039" s="18"/>
    </row>
    <row r="2040" spans="1:5" ht="16.5" thickTop="1" thickBot="1" x14ac:dyDescent="0.3">
      <c r="A2040" s="28">
        <v>1.8453537386638956</v>
      </c>
      <c r="B2040" s="27">
        <v>0</v>
      </c>
      <c r="C2040" s="27">
        <v>13.8</v>
      </c>
      <c r="E2040" s="18"/>
    </row>
    <row r="2041" spans="1:5" ht="16.5" thickTop="1" thickBot="1" x14ac:dyDescent="0.3">
      <c r="A2041" s="28">
        <v>0.71208864430529362</v>
      </c>
      <c r="B2041" s="27">
        <v>0</v>
      </c>
      <c r="C2041" s="27">
        <v>13.8</v>
      </c>
      <c r="E2041" s="18"/>
    </row>
    <row r="2042" spans="1:5" ht="16.5" thickTop="1" thickBot="1" x14ac:dyDescent="0.3">
      <c r="A2042" s="28">
        <v>0.16896769566647085</v>
      </c>
      <c r="B2042" s="27">
        <v>0</v>
      </c>
      <c r="C2042" s="27">
        <v>13.8</v>
      </c>
      <c r="E2042" s="18"/>
    </row>
    <row r="2043" spans="1:5" ht="16.5" thickTop="1" thickBot="1" x14ac:dyDescent="0.3">
      <c r="A2043" s="28">
        <v>8.7446902643652873</v>
      </c>
      <c r="B2043" s="27">
        <v>0</v>
      </c>
      <c r="C2043" s="27">
        <v>13.8</v>
      </c>
      <c r="E2043" s="18"/>
    </row>
    <row r="2044" spans="1:5" ht="16.5" thickTop="1" thickBot="1" x14ac:dyDescent="0.3">
      <c r="A2044" s="28">
        <v>4.1721591907824092</v>
      </c>
      <c r="B2044" s="27">
        <v>0</v>
      </c>
      <c r="C2044" s="27">
        <v>13.8</v>
      </c>
      <c r="E2044" s="18"/>
    </row>
    <row r="2045" spans="1:5" ht="16.5" thickTop="1" thickBot="1" x14ac:dyDescent="0.3">
      <c r="A2045" s="28">
        <v>6.0850337927990932</v>
      </c>
      <c r="B2045" s="27">
        <v>0</v>
      </c>
      <c r="C2045" s="27">
        <v>13.8</v>
      </c>
      <c r="E2045" s="18"/>
    </row>
    <row r="2046" spans="1:5" ht="16.5" thickTop="1" thickBot="1" x14ac:dyDescent="0.3">
      <c r="A2046" s="28">
        <v>2.0504978855869576</v>
      </c>
      <c r="B2046" s="27">
        <v>0</v>
      </c>
      <c r="C2046" s="27">
        <v>13.8</v>
      </c>
      <c r="E2046" s="18"/>
    </row>
    <row r="2047" spans="1:5" ht="16.5" thickTop="1" thickBot="1" x14ac:dyDescent="0.3">
      <c r="A2047" s="28">
        <v>6.3630304837590632</v>
      </c>
      <c r="B2047" s="27">
        <v>0</v>
      </c>
      <c r="C2047" s="27">
        <v>13.8</v>
      </c>
      <c r="E2047" s="18"/>
    </row>
    <row r="2048" spans="1:5" ht="16.5" thickTop="1" thickBot="1" x14ac:dyDescent="0.3">
      <c r="A2048" s="28">
        <v>5.1841107651000176</v>
      </c>
      <c r="B2048" s="27">
        <v>0</v>
      </c>
      <c r="C2048" s="27">
        <v>17.8</v>
      </c>
      <c r="E2048" s="18"/>
    </row>
    <row r="2049" spans="1:5" ht="16.5" thickTop="1" thickBot="1" x14ac:dyDescent="0.3">
      <c r="A2049" s="28">
        <v>11.063395595532446</v>
      </c>
      <c r="B2049" s="27">
        <v>0</v>
      </c>
      <c r="C2049" s="27">
        <v>17.8</v>
      </c>
      <c r="E2049" s="18"/>
    </row>
    <row r="2050" spans="1:5" ht="16.5" thickTop="1" thickBot="1" x14ac:dyDescent="0.3">
      <c r="A2050" s="28">
        <v>3.7999754710885405</v>
      </c>
      <c r="B2050" s="27">
        <v>0</v>
      </c>
      <c r="C2050" s="27">
        <v>17.8</v>
      </c>
      <c r="E2050" s="18"/>
    </row>
    <row r="2051" spans="1:5" ht="16.5" thickTop="1" thickBot="1" x14ac:dyDescent="0.3">
      <c r="A2051" s="28">
        <v>4.732802042210432</v>
      </c>
      <c r="B2051" s="27">
        <v>0</v>
      </c>
      <c r="C2051" s="27">
        <v>17.8</v>
      </c>
      <c r="E2051" s="18"/>
    </row>
    <row r="2052" spans="1:5" ht="16.5" thickTop="1" thickBot="1" x14ac:dyDescent="0.3">
      <c r="A2052" s="28">
        <v>1.9045163275658981</v>
      </c>
      <c r="B2052" s="27">
        <v>0</v>
      </c>
      <c r="C2052" s="27">
        <v>17.8</v>
      </c>
      <c r="E2052" s="18"/>
    </row>
    <row r="2053" spans="1:5" ht="16.5" thickTop="1" thickBot="1" x14ac:dyDescent="0.3">
      <c r="A2053" s="28">
        <v>6.5114427146792959</v>
      </c>
      <c r="B2053" s="27">
        <v>0</v>
      </c>
      <c r="C2053" s="27">
        <v>17.8</v>
      </c>
      <c r="E2053" s="18"/>
    </row>
    <row r="2054" spans="1:5" ht="16.5" thickTop="1" thickBot="1" x14ac:dyDescent="0.3">
      <c r="A2054" s="28">
        <v>3.0634414196840538</v>
      </c>
      <c r="B2054" s="27">
        <v>0</v>
      </c>
      <c r="C2054" s="27">
        <v>17.8</v>
      </c>
      <c r="E2054" s="18"/>
    </row>
    <row r="2055" spans="1:5" ht="16.5" thickTop="1" thickBot="1" x14ac:dyDescent="0.3">
      <c r="A2055" s="28">
        <v>1.8813766121380215</v>
      </c>
      <c r="B2055" s="27">
        <v>0</v>
      </c>
      <c r="C2055" s="27">
        <v>17.8</v>
      </c>
      <c r="E2055" s="18"/>
    </row>
    <row r="2056" spans="1:5" ht="16.5" thickTop="1" thickBot="1" x14ac:dyDescent="0.3">
      <c r="A2056" s="28">
        <v>5.4430185803066191</v>
      </c>
      <c r="B2056" s="27">
        <v>0</v>
      </c>
      <c r="C2056" s="27">
        <v>17.8</v>
      </c>
      <c r="E2056" s="18"/>
    </row>
    <row r="2057" spans="1:5" ht="16.5" thickTop="1" thickBot="1" x14ac:dyDescent="0.3">
      <c r="A2057" s="28">
        <v>1.8829531261880099</v>
      </c>
      <c r="B2057" s="27">
        <v>0</v>
      </c>
      <c r="C2057" s="27">
        <v>17.8</v>
      </c>
      <c r="E2057" s="18"/>
    </row>
    <row r="2058" spans="1:5" ht="16.5" thickTop="1" thickBot="1" x14ac:dyDescent="0.3">
      <c r="A2058" s="28">
        <v>4.1774411273235454</v>
      </c>
      <c r="B2058" s="27">
        <v>0</v>
      </c>
      <c r="C2058" s="27">
        <v>17.8</v>
      </c>
      <c r="E2058" s="18"/>
    </row>
    <row r="2059" spans="1:5" ht="16.5" thickTop="1" thickBot="1" x14ac:dyDescent="0.3">
      <c r="A2059" s="28">
        <v>8.0935812564677168</v>
      </c>
      <c r="B2059" s="27">
        <v>0</v>
      </c>
      <c r="C2059" s="27">
        <v>17.8</v>
      </c>
      <c r="E2059" s="18"/>
    </row>
    <row r="2060" spans="1:5" ht="16.5" thickTop="1" thickBot="1" x14ac:dyDescent="0.3">
      <c r="A2060" s="28">
        <v>4.7622087593390638</v>
      </c>
      <c r="B2060" s="27">
        <v>0</v>
      </c>
      <c r="C2060" s="27">
        <v>17.8</v>
      </c>
      <c r="E2060" s="18"/>
    </row>
    <row r="2061" spans="1:5" ht="16.5" thickTop="1" thickBot="1" x14ac:dyDescent="0.3">
      <c r="A2061" s="28">
        <v>8.3599152255950191</v>
      </c>
      <c r="B2061" s="27">
        <v>0</v>
      </c>
      <c r="C2061" s="27">
        <v>17.8</v>
      </c>
      <c r="E2061" s="18"/>
    </row>
    <row r="2062" spans="1:5" ht="16.5" thickTop="1" thickBot="1" x14ac:dyDescent="0.3">
      <c r="A2062" s="28">
        <v>0.77736721520491736</v>
      </c>
      <c r="B2062" s="27">
        <v>0</v>
      </c>
      <c r="C2062" s="27">
        <v>17.8</v>
      </c>
      <c r="E2062" s="18"/>
    </row>
    <row r="2063" spans="1:5" ht="16.5" thickTop="1" thickBot="1" x14ac:dyDescent="0.3">
      <c r="A2063" s="28">
        <v>4.9722956838217218</v>
      </c>
      <c r="B2063" s="27">
        <v>0</v>
      </c>
      <c r="C2063" s="27">
        <v>17.8</v>
      </c>
      <c r="E2063" s="18"/>
    </row>
    <row r="2064" spans="1:5" ht="16.5" thickTop="1" thickBot="1" x14ac:dyDescent="0.3">
      <c r="A2064" s="28">
        <v>3.2605371380199459</v>
      </c>
      <c r="B2064" s="27">
        <v>0</v>
      </c>
      <c r="C2064" s="27">
        <v>17.8</v>
      </c>
      <c r="E2064" s="18"/>
    </row>
    <row r="2065" spans="1:5" ht="16.5" thickTop="1" thickBot="1" x14ac:dyDescent="0.3">
      <c r="A2065" s="28">
        <v>6.7580885980692509</v>
      </c>
      <c r="B2065" s="27">
        <v>0</v>
      </c>
      <c r="C2065" s="27">
        <v>8.1999999999999993</v>
      </c>
      <c r="E2065" s="18"/>
    </row>
    <row r="2066" spans="1:5" ht="16.5" thickTop="1" thickBot="1" x14ac:dyDescent="0.3">
      <c r="A2066" s="28">
        <v>2.1684638522545847</v>
      </c>
      <c r="B2066" s="27">
        <v>0</v>
      </c>
      <c r="C2066" s="27">
        <v>8.1999999999999993</v>
      </c>
      <c r="E2066" s="18"/>
    </row>
    <row r="2067" spans="1:5" ht="16.5" thickTop="1" thickBot="1" x14ac:dyDescent="0.3">
      <c r="A2067" s="28">
        <v>11.72181739389864</v>
      </c>
      <c r="B2067" s="27">
        <v>0</v>
      </c>
      <c r="C2067" s="27">
        <v>8.1999999999999993</v>
      </c>
      <c r="E2067" s="18"/>
    </row>
    <row r="2068" spans="1:5" ht="16.5" thickTop="1" thickBot="1" x14ac:dyDescent="0.3">
      <c r="A2068" s="28">
        <v>5.7350959359948863</v>
      </c>
      <c r="B2068" s="27">
        <v>0</v>
      </c>
      <c r="C2068" s="27">
        <v>8.1999999999999993</v>
      </c>
      <c r="E2068" s="18"/>
    </row>
    <row r="2069" spans="1:5" ht="16.5" thickTop="1" thickBot="1" x14ac:dyDescent="0.3">
      <c r="A2069" s="28">
        <v>7.4827898604678929</v>
      </c>
      <c r="B2069" s="27">
        <v>0</v>
      </c>
      <c r="C2069" s="27">
        <v>8.1999999999999993</v>
      </c>
      <c r="E2069" s="18"/>
    </row>
    <row r="2070" spans="1:5" ht="16.5" thickTop="1" thickBot="1" x14ac:dyDescent="0.3">
      <c r="A2070" s="28">
        <v>6.2329018009966868</v>
      </c>
      <c r="B2070" s="27">
        <v>0</v>
      </c>
      <c r="C2070" s="27">
        <v>8.1999999999999993</v>
      </c>
      <c r="E2070" s="18"/>
    </row>
    <row r="2071" spans="1:5" ht="16.5" thickTop="1" thickBot="1" x14ac:dyDescent="0.3">
      <c r="A2071" s="28">
        <v>2.1049048888064683</v>
      </c>
      <c r="B2071" s="27">
        <v>0</v>
      </c>
      <c r="C2071" s="27">
        <v>8.1999999999999993</v>
      </c>
      <c r="E2071" s="18"/>
    </row>
    <row r="2072" spans="1:5" ht="16.5" thickTop="1" thickBot="1" x14ac:dyDescent="0.3">
      <c r="A2072" s="28">
        <v>0.64380953025976151</v>
      </c>
      <c r="B2072" s="27">
        <v>0</v>
      </c>
      <c r="C2072" s="27">
        <v>8.1999999999999993</v>
      </c>
      <c r="E2072" s="18"/>
    </row>
    <row r="2073" spans="1:5" ht="16.5" thickTop="1" thickBot="1" x14ac:dyDescent="0.3">
      <c r="A2073" s="28">
        <v>7.063514420881627</v>
      </c>
      <c r="B2073" s="27">
        <v>0</v>
      </c>
      <c r="C2073" s="27">
        <v>8.1999999999999993</v>
      </c>
      <c r="E2073" s="18"/>
    </row>
    <row r="2074" spans="1:5" ht="16.5" thickTop="1" thickBot="1" x14ac:dyDescent="0.3">
      <c r="A2074" s="28">
        <v>3.4401868661000932</v>
      </c>
      <c r="B2074" s="27">
        <v>0</v>
      </c>
      <c r="C2074" s="27">
        <v>8.1999999999999993</v>
      </c>
      <c r="E2074" s="18"/>
    </row>
    <row r="2075" spans="1:5" ht="16.5" thickTop="1" thickBot="1" x14ac:dyDescent="0.3">
      <c r="A2075" s="28">
        <v>7.2483224105254518</v>
      </c>
      <c r="B2075" s="27">
        <v>0</v>
      </c>
      <c r="C2075" s="27">
        <v>8.1999999999999993</v>
      </c>
      <c r="E2075" s="18"/>
    </row>
    <row r="2076" spans="1:5" ht="16.5" thickTop="1" thickBot="1" x14ac:dyDescent="0.3">
      <c r="A2076" s="28">
        <v>1.2234283456819079</v>
      </c>
      <c r="B2076" s="27">
        <v>0</v>
      </c>
      <c r="C2076" s="27">
        <v>8.1999999999999993</v>
      </c>
      <c r="E2076" s="18"/>
    </row>
    <row r="2077" spans="1:5" ht="16.5" thickTop="1" thickBot="1" x14ac:dyDescent="0.3">
      <c r="A2077" s="28">
        <v>9.3493391694427608</v>
      </c>
      <c r="B2077" s="27">
        <v>0</v>
      </c>
      <c r="C2077" s="27">
        <v>8.1999999999999993</v>
      </c>
      <c r="E2077" s="18"/>
    </row>
    <row r="2078" spans="1:5" ht="16.5" thickTop="1" thickBot="1" x14ac:dyDescent="0.3">
      <c r="A2078" s="28">
        <v>0.97526213381447069</v>
      </c>
      <c r="B2078" s="27">
        <v>0</v>
      </c>
      <c r="C2078" s="27">
        <v>8.1999999999999993</v>
      </c>
      <c r="E2078" s="18"/>
    </row>
    <row r="2079" spans="1:5" ht="16.5" thickTop="1" thickBot="1" x14ac:dyDescent="0.3">
      <c r="A2079" s="28">
        <v>0.16870153352764961</v>
      </c>
      <c r="B2079" s="27">
        <v>0</v>
      </c>
      <c r="C2079" s="27">
        <v>8.1999999999999993</v>
      </c>
      <c r="E2079" s="18"/>
    </row>
    <row r="2080" spans="1:5" ht="16.5" thickTop="1" thickBot="1" x14ac:dyDescent="0.3">
      <c r="A2080" s="28">
        <v>2.612524202201286</v>
      </c>
      <c r="B2080" s="27">
        <v>0</v>
      </c>
      <c r="C2080" s="27">
        <v>8.1999999999999993</v>
      </c>
      <c r="E2080" s="18"/>
    </row>
    <row r="2081" spans="1:5" ht="16.5" thickTop="1" thickBot="1" x14ac:dyDescent="0.3">
      <c r="A2081" s="28">
        <v>9.3451273399729544</v>
      </c>
      <c r="B2081" s="27">
        <v>0</v>
      </c>
      <c r="C2081" s="27">
        <v>8.1999999999999993</v>
      </c>
      <c r="E2081" s="18"/>
    </row>
    <row r="2082" spans="1:5" ht="16.5" thickTop="1" thickBot="1" x14ac:dyDescent="0.3">
      <c r="A2082" s="28">
        <v>1.5553214190858233</v>
      </c>
      <c r="B2082" s="27">
        <v>0</v>
      </c>
      <c r="C2082" s="27">
        <v>13</v>
      </c>
      <c r="E2082" s="18"/>
    </row>
    <row r="2083" spans="1:5" ht="16.5" thickTop="1" thickBot="1" x14ac:dyDescent="0.3">
      <c r="A2083" s="28">
        <v>7.2547374455976001</v>
      </c>
      <c r="B2083" s="27">
        <v>0</v>
      </c>
      <c r="C2083" s="27">
        <v>13</v>
      </c>
      <c r="E2083" s="18"/>
    </row>
    <row r="2084" spans="1:5" ht="16.5" thickTop="1" thickBot="1" x14ac:dyDescent="0.3">
      <c r="A2084" s="28">
        <v>4.9921085279546524</v>
      </c>
      <c r="B2084" s="27">
        <v>0</v>
      </c>
      <c r="C2084" s="27">
        <v>13</v>
      </c>
      <c r="E2084" s="18"/>
    </row>
    <row r="2085" spans="1:5" ht="16.5" thickTop="1" thickBot="1" x14ac:dyDescent="0.3">
      <c r="A2085" s="28">
        <v>3.7023690784217154</v>
      </c>
      <c r="B2085" s="27">
        <v>0</v>
      </c>
      <c r="C2085" s="27">
        <v>13</v>
      </c>
      <c r="E2085" s="18"/>
    </row>
    <row r="2086" spans="1:5" ht="16.5" thickTop="1" thickBot="1" x14ac:dyDescent="0.3">
      <c r="A2086" s="28">
        <v>6.8257703640775844</v>
      </c>
      <c r="B2086" s="27">
        <v>0</v>
      </c>
      <c r="C2086" s="27">
        <v>13</v>
      </c>
      <c r="E2086" s="18"/>
    </row>
    <row r="2087" spans="1:5" ht="16.5" thickTop="1" thickBot="1" x14ac:dyDescent="0.3">
      <c r="A2087" s="28">
        <v>10.864045380721539</v>
      </c>
      <c r="B2087" s="27">
        <v>0</v>
      </c>
      <c r="C2087" s="27">
        <v>13</v>
      </c>
      <c r="E2087" s="18"/>
    </row>
    <row r="2088" spans="1:5" ht="16.5" thickTop="1" thickBot="1" x14ac:dyDescent="0.3">
      <c r="A2088" s="28">
        <v>6.7000850845178848</v>
      </c>
      <c r="B2088" s="27">
        <v>0</v>
      </c>
      <c r="C2088" s="27">
        <v>13</v>
      </c>
      <c r="E2088" s="18"/>
    </row>
    <row r="2089" spans="1:5" ht="16.5" thickTop="1" thickBot="1" x14ac:dyDescent="0.3">
      <c r="A2089" s="28">
        <v>6.9952500436595688</v>
      </c>
      <c r="B2089" s="27">
        <v>0</v>
      </c>
      <c r="C2089" s="27">
        <v>13</v>
      </c>
      <c r="E2089" s="18"/>
    </row>
    <row r="2090" spans="1:5" ht="16.5" thickTop="1" thickBot="1" x14ac:dyDescent="0.3">
      <c r="A2090" s="28">
        <v>6.1413884219540567</v>
      </c>
      <c r="B2090" s="27">
        <v>0</v>
      </c>
      <c r="C2090" s="27">
        <v>13</v>
      </c>
      <c r="E2090" s="18"/>
    </row>
    <row r="2091" spans="1:5" ht="16.5" thickTop="1" thickBot="1" x14ac:dyDescent="0.3">
      <c r="A2091" s="28">
        <v>10.022159019190383</v>
      </c>
      <c r="B2091" s="27">
        <v>0</v>
      </c>
      <c r="C2091" s="27">
        <v>13</v>
      </c>
      <c r="E2091" s="18"/>
    </row>
    <row r="2092" spans="1:5" ht="16.5" thickTop="1" thickBot="1" x14ac:dyDescent="0.3">
      <c r="A2092" s="28">
        <v>6.5743457112661146</v>
      </c>
      <c r="B2092" s="27">
        <v>0</v>
      </c>
      <c r="C2092" s="27">
        <v>13</v>
      </c>
      <c r="E2092" s="18"/>
    </row>
    <row r="2093" spans="1:5" ht="16.5" thickTop="1" thickBot="1" x14ac:dyDescent="0.3">
      <c r="A2093" s="28">
        <v>3.4123692495040236</v>
      </c>
      <c r="B2093" s="27">
        <v>0</v>
      </c>
      <c r="C2093" s="27">
        <v>13</v>
      </c>
      <c r="E2093" s="18"/>
    </row>
    <row r="2094" spans="1:5" ht="16.5" thickTop="1" thickBot="1" x14ac:dyDescent="0.3">
      <c r="A2094" s="28">
        <v>6.8466499062795592</v>
      </c>
      <c r="B2094" s="27">
        <v>0</v>
      </c>
      <c r="C2094" s="27">
        <v>13</v>
      </c>
      <c r="E2094" s="18"/>
    </row>
    <row r="2095" spans="1:5" ht="16.5" thickTop="1" thickBot="1" x14ac:dyDescent="0.3">
      <c r="A2095" s="28">
        <v>7.0598361642756426</v>
      </c>
      <c r="B2095" s="27">
        <v>0</v>
      </c>
      <c r="C2095" s="27">
        <v>13</v>
      </c>
      <c r="E2095" s="18"/>
    </row>
    <row r="2096" spans="1:5" ht="16.5" thickTop="1" thickBot="1" x14ac:dyDescent="0.3">
      <c r="A2096" s="28">
        <v>6.3418733898067989</v>
      </c>
      <c r="B2096" s="27">
        <v>0</v>
      </c>
      <c r="C2096" s="27">
        <v>13</v>
      </c>
      <c r="E2096" s="18"/>
    </row>
    <row r="2097" spans="1:5" ht="16.5" thickTop="1" thickBot="1" x14ac:dyDescent="0.3">
      <c r="A2097" s="28">
        <v>1.1261152676216089</v>
      </c>
      <c r="B2097" s="27">
        <v>0</v>
      </c>
      <c r="C2097" s="27">
        <v>13</v>
      </c>
      <c r="E2097" s="18"/>
    </row>
    <row r="2098" spans="1:5" ht="16.5" thickTop="1" thickBot="1" x14ac:dyDescent="0.3">
      <c r="A2098" s="28">
        <v>6.4246200533157332</v>
      </c>
      <c r="B2098" s="27">
        <v>0</v>
      </c>
      <c r="C2098" s="27">
        <v>13</v>
      </c>
      <c r="E2098" s="18"/>
    </row>
    <row r="2099" spans="1:5" ht="16.5" thickTop="1" thickBot="1" x14ac:dyDescent="0.3">
      <c r="A2099" s="28">
        <v>9.1500382765032757</v>
      </c>
      <c r="B2099" s="27">
        <v>0</v>
      </c>
      <c r="C2099" s="27">
        <v>33.1</v>
      </c>
      <c r="E2099" s="18"/>
    </row>
    <row r="2100" spans="1:5" ht="16.5" thickTop="1" thickBot="1" x14ac:dyDescent="0.3">
      <c r="A2100" s="28">
        <v>6.3435796188889659</v>
      </c>
      <c r="B2100" s="27">
        <v>0</v>
      </c>
      <c r="C2100" s="27">
        <v>33.1</v>
      </c>
      <c r="E2100" s="18"/>
    </row>
    <row r="2101" spans="1:5" ht="16.5" thickTop="1" thickBot="1" x14ac:dyDescent="0.3">
      <c r="A2101" s="28">
        <v>0.20779670558881724</v>
      </c>
      <c r="B2101" s="27">
        <v>0</v>
      </c>
      <c r="C2101" s="27">
        <v>33.1</v>
      </c>
      <c r="E2101" s="18"/>
    </row>
    <row r="2102" spans="1:5" ht="16.5" thickTop="1" thickBot="1" x14ac:dyDescent="0.3">
      <c r="A2102" s="28">
        <v>2.3929854220283775</v>
      </c>
      <c r="B2102" s="27">
        <v>0</v>
      </c>
      <c r="C2102" s="27">
        <v>33.1</v>
      </c>
      <c r="E2102" s="18"/>
    </row>
    <row r="2103" spans="1:5" ht="16.5" thickTop="1" thickBot="1" x14ac:dyDescent="0.3">
      <c r="A2103" s="28">
        <v>2.040942979523821</v>
      </c>
      <c r="B2103" s="27">
        <v>0</v>
      </c>
      <c r="C2103" s="27">
        <v>33.1</v>
      </c>
      <c r="E2103" s="18"/>
    </row>
    <row r="2104" spans="1:5" ht="16.5" thickTop="1" thickBot="1" x14ac:dyDescent="0.3">
      <c r="A2104" s="28">
        <v>5.7124169001557972</v>
      </c>
      <c r="B2104" s="27">
        <v>0</v>
      </c>
      <c r="C2104" s="27">
        <v>33.1</v>
      </c>
      <c r="E2104" s="18"/>
    </row>
    <row r="2105" spans="1:5" ht="16.5" thickTop="1" thickBot="1" x14ac:dyDescent="0.3">
      <c r="A2105" s="28">
        <v>10.397674099911356</v>
      </c>
      <c r="B2105" s="27">
        <v>0</v>
      </c>
      <c r="C2105" s="27">
        <v>33.1</v>
      </c>
      <c r="E2105" s="18"/>
    </row>
    <row r="2106" spans="1:5" ht="16.5" thickTop="1" thickBot="1" x14ac:dyDescent="0.3">
      <c r="A2106" s="28">
        <v>1.4211462965123025</v>
      </c>
      <c r="B2106" s="27">
        <v>0</v>
      </c>
      <c r="C2106" s="27">
        <v>33.1</v>
      </c>
      <c r="E2106" s="18"/>
    </row>
    <row r="2107" spans="1:5" ht="16.5" thickTop="1" thickBot="1" x14ac:dyDescent="0.3">
      <c r="A2107" s="28">
        <v>4.0925159368260378</v>
      </c>
      <c r="B2107" s="27">
        <v>0</v>
      </c>
      <c r="C2107" s="27">
        <v>33.1</v>
      </c>
      <c r="E2107" s="18"/>
    </row>
    <row r="2108" spans="1:5" ht="16.5" thickTop="1" thickBot="1" x14ac:dyDescent="0.3">
      <c r="A2108" s="28">
        <v>4.8210925206282438</v>
      </c>
      <c r="B2108" s="27">
        <v>0</v>
      </c>
      <c r="C2108" s="27">
        <v>33.1</v>
      </c>
      <c r="E2108" s="18"/>
    </row>
    <row r="2109" spans="1:5" ht="16.5" thickTop="1" thickBot="1" x14ac:dyDescent="0.3">
      <c r="A2109" s="28">
        <v>6.4598930289110772</v>
      </c>
      <c r="B2109" s="27">
        <v>0</v>
      </c>
      <c r="C2109" s="27">
        <v>33.1</v>
      </c>
      <c r="E2109" s="18"/>
    </row>
    <row r="2110" spans="1:5" ht="16.5" thickTop="1" thickBot="1" x14ac:dyDescent="0.3">
      <c r="A2110" s="28">
        <v>4.7171814559464309</v>
      </c>
      <c r="B2110" s="27">
        <v>0</v>
      </c>
      <c r="C2110" s="27">
        <v>33.1</v>
      </c>
      <c r="E2110" s="18"/>
    </row>
    <row r="2111" spans="1:5" ht="16.5" thickTop="1" thickBot="1" x14ac:dyDescent="0.3">
      <c r="A2111" s="28">
        <v>5.5758074620806308</v>
      </c>
      <c r="B2111" s="27">
        <v>0</v>
      </c>
      <c r="C2111" s="27">
        <v>33.1</v>
      </c>
      <c r="E2111" s="18"/>
    </row>
    <row r="2112" spans="1:5" ht="16.5" thickTop="1" thickBot="1" x14ac:dyDescent="0.3">
      <c r="A2112" s="28">
        <v>0.41012100313847377</v>
      </c>
      <c r="B2112" s="27">
        <v>0</v>
      </c>
      <c r="C2112" s="27">
        <v>33.1</v>
      </c>
      <c r="E2112" s="18"/>
    </row>
    <row r="2113" spans="1:5" ht="16.5" thickTop="1" thickBot="1" x14ac:dyDescent="0.3">
      <c r="A2113" s="28">
        <v>11.303198344639119</v>
      </c>
      <c r="B2113" s="27">
        <v>0</v>
      </c>
      <c r="C2113" s="27">
        <v>33.1</v>
      </c>
      <c r="E2113" s="18"/>
    </row>
    <row r="2114" spans="1:5" ht="16.5" thickTop="1" thickBot="1" x14ac:dyDescent="0.3">
      <c r="A2114" s="28">
        <v>3.5795348297904366</v>
      </c>
      <c r="B2114" s="27">
        <v>0</v>
      </c>
      <c r="C2114" s="27">
        <v>33.1</v>
      </c>
      <c r="E2114" s="18"/>
    </row>
    <row r="2115" spans="1:5" ht="16.5" thickTop="1" thickBot="1" x14ac:dyDescent="0.3">
      <c r="A2115" s="28">
        <v>5.3940012842881764</v>
      </c>
      <c r="B2115" s="27">
        <v>0</v>
      </c>
      <c r="C2115" s="27">
        <v>33.1</v>
      </c>
      <c r="E2115" s="18"/>
    </row>
    <row r="2116" spans="1:5" ht="16.5" thickTop="1" thickBot="1" x14ac:dyDescent="0.3">
      <c r="A2116" s="28">
        <v>1.5514785781806126</v>
      </c>
      <c r="B2116" s="27">
        <v>0</v>
      </c>
      <c r="C2116" s="27">
        <v>17.899999999999999</v>
      </c>
      <c r="E2116" s="18"/>
    </row>
    <row r="2117" spans="1:5" ht="16.5" thickTop="1" thickBot="1" x14ac:dyDescent="0.3">
      <c r="A2117" s="28">
        <v>1.4484423700243747</v>
      </c>
      <c r="B2117" s="27">
        <v>0</v>
      </c>
      <c r="C2117" s="27">
        <v>17.899999999999999</v>
      </c>
      <c r="E2117" s="18"/>
    </row>
    <row r="2118" spans="1:5" ht="16.5" thickTop="1" thickBot="1" x14ac:dyDescent="0.3">
      <c r="A2118" s="28">
        <v>3.8582168683421316</v>
      </c>
      <c r="B2118" s="27">
        <v>0</v>
      </c>
      <c r="C2118" s="27">
        <v>17.899999999999999</v>
      </c>
      <c r="E2118" s="18"/>
    </row>
    <row r="2119" spans="1:5" ht="16.5" thickTop="1" thickBot="1" x14ac:dyDescent="0.3">
      <c r="A2119" s="28">
        <v>8.0982211380921783</v>
      </c>
      <c r="B2119" s="27">
        <v>0</v>
      </c>
      <c r="C2119" s="27">
        <v>17.899999999999999</v>
      </c>
      <c r="E2119" s="18"/>
    </row>
    <row r="2120" spans="1:5" ht="16.5" thickTop="1" thickBot="1" x14ac:dyDescent="0.3">
      <c r="A2120" s="28">
        <v>3.2729348739491018</v>
      </c>
      <c r="B2120" s="27">
        <v>0</v>
      </c>
      <c r="C2120" s="27">
        <v>17.899999999999999</v>
      </c>
      <c r="E2120" s="18"/>
    </row>
    <row r="2121" spans="1:5" ht="16.5" thickTop="1" thickBot="1" x14ac:dyDescent="0.3">
      <c r="A2121" s="28">
        <v>2.9366816761605579</v>
      </c>
      <c r="B2121" s="27">
        <v>0</v>
      </c>
      <c r="C2121" s="27">
        <v>17.899999999999999</v>
      </c>
      <c r="E2121" s="18"/>
    </row>
    <row r="2122" spans="1:5" ht="16.5" thickTop="1" thickBot="1" x14ac:dyDescent="0.3">
      <c r="A2122" s="28">
        <v>6.1419489094644701</v>
      </c>
      <c r="B2122" s="27">
        <v>0</v>
      </c>
      <c r="C2122" s="27">
        <v>17.899999999999999</v>
      </c>
      <c r="E2122" s="18"/>
    </row>
    <row r="2123" spans="1:5" ht="16.5" thickTop="1" thickBot="1" x14ac:dyDescent="0.3">
      <c r="A2123" s="28">
        <v>3.7599405639215426</v>
      </c>
      <c r="B2123" s="27">
        <v>0</v>
      </c>
      <c r="C2123" s="27">
        <v>17.899999999999999</v>
      </c>
      <c r="E2123" s="18"/>
    </row>
    <row r="2124" spans="1:5" ht="16.5" thickTop="1" thickBot="1" x14ac:dyDescent="0.3">
      <c r="A2124" s="28">
        <v>6.5381369453122318</v>
      </c>
      <c r="B2124" s="27">
        <v>0</v>
      </c>
      <c r="C2124" s="27">
        <v>17.899999999999999</v>
      </c>
      <c r="E2124" s="18"/>
    </row>
    <row r="2125" spans="1:5" ht="16.5" thickTop="1" thickBot="1" x14ac:dyDescent="0.3">
      <c r="A2125" s="28">
        <v>6.7321736678503772</v>
      </c>
      <c r="B2125" s="27">
        <v>0</v>
      </c>
      <c r="C2125" s="27">
        <v>17.899999999999999</v>
      </c>
      <c r="E2125" s="18"/>
    </row>
    <row r="2126" spans="1:5" ht="16.5" thickTop="1" thickBot="1" x14ac:dyDescent="0.3">
      <c r="A2126" s="28">
        <v>1.368395644895485</v>
      </c>
      <c r="B2126" s="27">
        <v>0</v>
      </c>
      <c r="C2126" s="27">
        <v>17.899999999999999</v>
      </c>
      <c r="E2126" s="18"/>
    </row>
    <row r="2127" spans="1:5" ht="16.5" thickTop="1" thickBot="1" x14ac:dyDescent="0.3">
      <c r="A2127" s="28">
        <v>11.97930108907115</v>
      </c>
      <c r="B2127" s="27">
        <v>0</v>
      </c>
      <c r="C2127" s="27">
        <v>17.899999999999999</v>
      </c>
      <c r="E2127" s="18"/>
    </row>
    <row r="2128" spans="1:5" ht="16.5" thickTop="1" thickBot="1" x14ac:dyDescent="0.3">
      <c r="A2128" s="28">
        <v>6.1790785807884285</v>
      </c>
      <c r="B2128" s="27">
        <v>0</v>
      </c>
      <c r="C2128" s="27">
        <v>17.899999999999999</v>
      </c>
      <c r="E2128" s="18"/>
    </row>
    <row r="2129" spans="1:5" ht="16.5" thickTop="1" thickBot="1" x14ac:dyDescent="0.3">
      <c r="A2129" s="28">
        <v>1.3504498349112755</v>
      </c>
      <c r="B2129" s="27">
        <v>0</v>
      </c>
      <c r="C2129" s="27">
        <v>17.899999999999999</v>
      </c>
      <c r="E2129" s="18"/>
    </row>
    <row r="2130" spans="1:5" ht="16.5" thickTop="1" thickBot="1" x14ac:dyDescent="0.3">
      <c r="A2130" s="28">
        <v>6.0482733280776344</v>
      </c>
      <c r="B2130" s="27">
        <v>0</v>
      </c>
      <c r="C2130" s="27">
        <v>17.899999999999999</v>
      </c>
      <c r="E2130" s="18"/>
    </row>
    <row r="2131" spans="1:5" ht="16.5" thickTop="1" thickBot="1" x14ac:dyDescent="0.3">
      <c r="A2131" s="28">
        <v>2.4882122316822235</v>
      </c>
      <c r="B2131" s="27">
        <v>0</v>
      </c>
      <c r="C2131" s="27">
        <v>17.899999999999999</v>
      </c>
      <c r="E2131" s="18"/>
    </row>
    <row r="2132" spans="1:5" ht="16.5" thickTop="1" thickBot="1" x14ac:dyDescent="0.3">
      <c r="A2132" s="28">
        <v>6.6886396753362432</v>
      </c>
      <c r="B2132" s="27">
        <v>0</v>
      </c>
      <c r="C2132" s="27">
        <v>11.1</v>
      </c>
      <c r="E2132" s="18"/>
    </row>
    <row r="2133" spans="1:5" ht="16.5" thickTop="1" thickBot="1" x14ac:dyDescent="0.3">
      <c r="A2133" s="28">
        <v>7.0792161248224383</v>
      </c>
      <c r="B2133" s="27">
        <v>0</v>
      </c>
      <c r="C2133" s="27">
        <v>11.1</v>
      </c>
      <c r="E2133" s="18"/>
    </row>
    <row r="2134" spans="1:5" ht="16.5" thickTop="1" thickBot="1" x14ac:dyDescent="0.3">
      <c r="A2134" s="28">
        <v>0.52924523487694519</v>
      </c>
      <c r="B2134" s="27">
        <v>0</v>
      </c>
      <c r="C2134" s="27">
        <v>11.1</v>
      </c>
      <c r="E2134" s="18"/>
    </row>
    <row r="2135" spans="1:5" ht="16.5" thickTop="1" thickBot="1" x14ac:dyDescent="0.3">
      <c r="A2135" s="28">
        <v>9.6525647023092329</v>
      </c>
      <c r="B2135" s="27">
        <v>0</v>
      </c>
      <c r="C2135" s="27">
        <v>11.1</v>
      </c>
      <c r="E2135" s="18"/>
    </row>
    <row r="2136" spans="1:5" ht="16.5" thickTop="1" thickBot="1" x14ac:dyDescent="0.3">
      <c r="A2136" s="28">
        <v>5.8032713694328413</v>
      </c>
      <c r="B2136" s="27">
        <v>0</v>
      </c>
      <c r="C2136" s="27">
        <v>11.1</v>
      </c>
      <c r="E2136" s="18"/>
    </row>
    <row r="2137" spans="1:5" ht="16.5" thickTop="1" thickBot="1" x14ac:dyDescent="0.3">
      <c r="A2137" s="28">
        <v>3.178440693888013</v>
      </c>
      <c r="B2137" s="27">
        <v>0</v>
      </c>
      <c r="C2137" s="27">
        <v>11.1</v>
      </c>
      <c r="E2137" s="18"/>
    </row>
    <row r="2138" spans="1:5" ht="16.5" thickTop="1" thickBot="1" x14ac:dyDescent="0.3">
      <c r="A2138" s="28">
        <v>6.8299436360642369</v>
      </c>
      <c r="B2138" s="27">
        <v>0</v>
      </c>
      <c r="C2138" s="27">
        <v>11.1</v>
      </c>
      <c r="E2138" s="18"/>
    </row>
    <row r="2139" spans="1:5" ht="16.5" thickTop="1" thickBot="1" x14ac:dyDescent="0.3">
      <c r="A2139" s="28">
        <v>4.645329052065482</v>
      </c>
      <c r="B2139" s="27">
        <v>0</v>
      </c>
      <c r="C2139" s="27">
        <v>11.1</v>
      </c>
      <c r="E2139" s="18"/>
    </row>
    <row r="2140" spans="1:5" ht="16.5" thickTop="1" thickBot="1" x14ac:dyDescent="0.3">
      <c r="A2140" s="28">
        <v>2.5036141526482911</v>
      </c>
      <c r="B2140" s="27">
        <v>0</v>
      </c>
      <c r="C2140" s="27">
        <v>11.1</v>
      </c>
      <c r="E2140" s="18"/>
    </row>
    <row r="2141" spans="1:5" ht="16.5" thickTop="1" thickBot="1" x14ac:dyDescent="0.3">
      <c r="A2141" s="28">
        <v>1.7808368958144007</v>
      </c>
      <c r="B2141" s="27">
        <v>0</v>
      </c>
      <c r="C2141" s="27">
        <v>11.1</v>
      </c>
      <c r="E2141" s="18"/>
    </row>
    <row r="2142" spans="1:5" ht="16.5" thickTop="1" thickBot="1" x14ac:dyDescent="0.3">
      <c r="A2142" s="28">
        <v>1.571942145479531</v>
      </c>
      <c r="B2142" s="27">
        <v>0</v>
      </c>
      <c r="C2142" s="27">
        <v>11.1</v>
      </c>
      <c r="E2142" s="18"/>
    </row>
    <row r="2143" spans="1:5" ht="16.5" thickTop="1" thickBot="1" x14ac:dyDescent="0.3">
      <c r="A2143" s="28">
        <v>4.6054819672439526</v>
      </c>
      <c r="B2143" s="27">
        <v>0</v>
      </c>
      <c r="C2143" s="27">
        <v>11.1</v>
      </c>
      <c r="E2143" s="18"/>
    </row>
    <row r="2144" spans="1:5" ht="16.5" thickTop="1" thickBot="1" x14ac:dyDescent="0.3">
      <c r="A2144" s="28">
        <v>0.19921267672524545</v>
      </c>
      <c r="B2144" s="27">
        <v>0</v>
      </c>
      <c r="C2144" s="27">
        <v>11.1</v>
      </c>
      <c r="E2144" s="18"/>
    </row>
    <row r="2145" spans="1:5" ht="16.5" thickTop="1" thickBot="1" x14ac:dyDescent="0.3">
      <c r="A2145" s="28">
        <v>1.6172791005825817</v>
      </c>
      <c r="B2145" s="27">
        <v>0</v>
      </c>
      <c r="C2145" s="27">
        <v>11.1</v>
      </c>
      <c r="E2145" s="18"/>
    </row>
    <row r="2146" spans="1:5" ht="16.5" thickTop="1" thickBot="1" x14ac:dyDescent="0.3">
      <c r="A2146" s="28">
        <v>0.98738544595614863</v>
      </c>
      <c r="B2146" s="27">
        <v>0</v>
      </c>
      <c r="C2146" s="27">
        <v>11.1</v>
      </c>
      <c r="E2146" s="18"/>
    </row>
    <row r="2147" spans="1:5" ht="16.5" thickTop="1" thickBot="1" x14ac:dyDescent="0.3">
      <c r="A2147" s="28">
        <v>8.5951913486333833</v>
      </c>
      <c r="B2147" s="27">
        <v>0</v>
      </c>
      <c r="C2147" s="27">
        <v>11.1</v>
      </c>
      <c r="E2147" s="18"/>
    </row>
    <row r="2148" spans="1:5" ht="16.5" thickTop="1" thickBot="1" x14ac:dyDescent="0.3">
      <c r="A2148" s="28">
        <v>6.4083885955156186</v>
      </c>
      <c r="B2148" s="27">
        <v>0</v>
      </c>
      <c r="C2148" s="27">
        <v>8.1999999999999993</v>
      </c>
      <c r="E2148" s="18"/>
    </row>
    <row r="2149" spans="1:5" ht="16.5" thickTop="1" thickBot="1" x14ac:dyDescent="0.3">
      <c r="A2149" s="28">
        <v>11.8387223021253</v>
      </c>
      <c r="B2149" s="27">
        <v>0</v>
      </c>
      <c r="C2149" s="27">
        <v>8.1999999999999993</v>
      </c>
      <c r="E2149" s="18"/>
    </row>
    <row r="2150" spans="1:5" ht="16.5" thickTop="1" thickBot="1" x14ac:dyDescent="0.3">
      <c r="A2150" s="28">
        <v>6.4530148648031309</v>
      </c>
      <c r="B2150" s="27">
        <v>0</v>
      </c>
      <c r="C2150" s="27">
        <v>8.1999999999999993</v>
      </c>
      <c r="E2150" s="18"/>
    </row>
    <row r="2151" spans="1:5" ht="16.5" thickTop="1" thickBot="1" x14ac:dyDescent="0.3">
      <c r="A2151" s="28">
        <v>1.9356001395633142</v>
      </c>
      <c r="B2151" s="27">
        <v>0</v>
      </c>
      <c r="C2151" s="27">
        <v>8.1999999999999993</v>
      </c>
      <c r="E2151" s="18"/>
    </row>
    <row r="2152" spans="1:5" ht="16.5" thickTop="1" thickBot="1" x14ac:dyDescent="0.3">
      <c r="A2152" s="28">
        <v>5.5800911624560765</v>
      </c>
      <c r="B2152" s="27">
        <v>0</v>
      </c>
      <c r="C2152" s="27">
        <v>8.1999999999999993</v>
      </c>
      <c r="E2152" s="18"/>
    </row>
    <row r="2153" spans="1:5" ht="16.5" thickTop="1" thickBot="1" x14ac:dyDescent="0.3">
      <c r="A2153" s="28">
        <v>6.5755990988652275</v>
      </c>
      <c r="B2153" s="27">
        <v>0</v>
      </c>
      <c r="C2153" s="27">
        <v>8.1999999999999993</v>
      </c>
      <c r="E2153" s="18"/>
    </row>
    <row r="2154" spans="1:5" ht="16.5" thickTop="1" thickBot="1" x14ac:dyDescent="0.3">
      <c r="A2154" s="28">
        <v>0.47673524637059628</v>
      </c>
      <c r="B2154" s="27">
        <v>0</v>
      </c>
      <c r="C2154" s="27">
        <v>8.1999999999999993</v>
      </c>
      <c r="E2154" s="18"/>
    </row>
    <row r="2155" spans="1:5" ht="16.5" thickTop="1" thickBot="1" x14ac:dyDescent="0.3">
      <c r="A2155" s="28">
        <v>8.764270088799071</v>
      </c>
      <c r="B2155" s="27">
        <v>0</v>
      </c>
      <c r="C2155" s="27">
        <v>8.1999999999999993</v>
      </c>
      <c r="E2155" s="18"/>
    </row>
    <row r="2156" spans="1:5" ht="16.5" thickTop="1" thickBot="1" x14ac:dyDescent="0.3">
      <c r="A2156" s="28">
        <v>4.0691942385123836</v>
      </c>
      <c r="B2156" s="27">
        <v>0</v>
      </c>
      <c r="C2156" s="27">
        <v>8.1999999999999993</v>
      </c>
      <c r="E2156" s="18"/>
    </row>
    <row r="2157" spans="1:5" ht="16.5" thickTop="1" thickBot="1" x14ac:dyDescent="0.3">
      <c r="A2157" s="28">
        <v>7.6677310179694684</v>
      </c>
      <c r="B2157" s="27">
        <v>0</v>
      </c>
      <c r="C2157" s="27">
        <v>8.1999999999999993</v>
      </c>
      <c r="E2157" s="18"/>
    </row>
    <row r="2158" spans="1:5" ht="16.5" thickTop="1" thickBot="1" x14ac:dyDescent="0.3">
      <c r="A2158" s="28">
        <v>1.2294911218187681</v>
      </c>
      <c r="B2158" s="27">
        <v>0</v>
      </c>
      <c r="C2158" s="27">
        <v>8.1999999999999993</v>
      </c>
      <c r="E2158" s="18"/>
    </row>
    <row r="2159" spans="1:5" ht="16.5" thickTop="1" thickBot="1" x14ac:dyDescent="0.3">
      <c r="A2159" s="28">
        <v>6.6811083810796239</v>
      </c>
      <c r="B2159" s="27">
        <v>0</v>
      </c>
      <c r="C2159" s="27">
        <v>8.1999999999999993</v>
      </c>
      <c r="E2159" s="18"/>
    </row>
    <row r="2160" spans="1:5" ht="16.5" thickTop="1" thickBot="1" x14ac:dyDescent="0.3">
      <c r="A2160" s="28">
        <v>4.4640600272451083</v>
      </c>
      <c r="B2160" s="27">
        <v>0</v>
      </c>
      <c r="C2160" s="27">
        <v>8.1999999999999993</v>
      </c>
      <c r="E2160" s="18"/>
    </row>
    <row r="2161" spans="1:5" ht="16.5" thickTop="1" thickBot="1" x14ac:dyDescent="0.3">
      <c r="A2161" s="28">
        <v>4.8867992717286768</v>
      </c>
      <c r="B2161" s="27">
        <v>0</v>
      </c>
      <c r="C2161" s="27">
        <v>8.1999999999999993</v>
      </c>
      <c r="E2161" s="18"/>
    </row>
    <row r="2162" spans="1:5" ht="16.5" thickTop="1" thickBot="1" x14ac:dyDescent="0.3">
      <c r="A2162" s="28">
        <v>1.8942456314742739</v>
      </c>
      <c r="B2162" s="27">
        <v>0</v>
      </c>
      <c r="C2162" s="27">
        <v>8.1999999999999993</v>
      </c>
      <c r="E2162" s="18"/>
    </row>
    <row r="2163" spans="1:5" ht="16.5" thickTop="1" thickBot="1" x14ac:dyDescent="0.3">
      <c r="A2163" s="28">
        <v>7.9036439472524371</v>
      </c>
      <c r="B2163" s="27">
        <v>0</v>
      </c>
      <c r="C2163" s="27">
        <v>8.1999999999999993</v>
      </c>
      <c r="E2163" s="18"/>
    </row>
    <row r="2164" spans="1:5" ht="16.5" thickTop="1" thickBot="1" x14ac:dyDescent="0.3">
      <c r="A2164" s="28">
        <v>3.0512809726027572</v>
      </c>
      <c r="B2164" s="27">
        <v>0</v>
      </c>
      <c r="C2164" s="27">
        <v>8.1999999999999993</v>
      </c>
      <c r="E2164" s="18"/>
    </row>
    <row r="2165" spans="1:5" ht="16.5" thickTop="1" thickBot="1" x14ac:dyDescent="0.3">
      <c r="A2165" s="28">
        <v>11.513859040693287</v>
      </c>
      <c r="B2165" s="27">
        <v>0</v>
      </c>
      <c r="C2165" s="27">
        <v>15.4</v>
      </c>
      <c r="E2165" s="18"/>
    </row>
    <row r="2166" spans="1:5" ht="16.5" thickTop="1" thickBot="1" x14ac:dyDescent="0.3">
      <c r="A2166" s="28">
        <v>6.4479396421268484</v>
      </c>
      <c r="B2166" s="27">
        <v>0</v>
      </c>
      <c r="C2166" s="27">
        <v>15.4</v>
      </c>
      <c r="E2166" s="18"/>
    </row>
    <row r="2167" spans="1:5" ht="16.5" thickTop="1" thickBot="1" x14ac:dyDescent="0.3">
      <c r="A2167" s="28">
        <v>6.3938489644079564</v>
      </c>
      <c r="B2167" s="27">
        <v>0</v>
      </c>
      <c r="C2167" s="27">
        <v>15.4</v>
      </c>
      <c r="E2167" s="18"/>
    </row>
    <row r="2168" spans="1:5" ht="16.5" thickTop="1" thickBot="1" x14ac:dyDescent="0.3">
      <c r="A2168" s="28">
        <v>3.4043406253216828</v>
      </c>
      <c r="B2168" s="27">
        <v>0</v>
      </c>
      <c r="C2168" s="27">
        <v>15.4</v>
      </c>
      <c r="E2168" s="18"/>
    </row>
    <row r="2169" spans="1:5" ht="16.5" thickTop="1" thickBot="1" x14ac:dyDescent="0.3">
      <c r="A2169" s="28">
        <v>8.1815736999200528</v>
      </c>
      <c r="B2169" s="27">
        <v>0</v>
      </c>
      <c r="C2169" s="27">
        <v>15.4</v>
      </c>
      <c r="E2169" s="18"/>
    </row>
    <row r="2170" spans="1:5" ht="16.5" thickTop="1" thickBot="1" x14ac:dyDescent="0.3">
      <c r="A2170" s="28">
        <v>3.5456459691343531</v>
      </c>
      <c r="B2170" s="27">
        <v>0</v>
      </c>
      <c r="C2170" s="27">
        <v>15.4</v>
      </c>
      <c r="E2170" s="18"/>
    </row>
    <row r="2171" spans="1:5" ht="16.5" thickTop="1" thickBot="1" x14ac:dyDescent="0.3">
      <c r="A2171" s="28">
        <v>6.5583575706431301</v>
      </c>
      <c r="B2171" s="27">
        <v>0</v>
      </c>
      <c r="C2171" s="27">
        <v>15.4</v>
      </c>
      <c r="E2171" s="18"/>
    </row>
    <row r="2172" spans="1:5" ht="16.5" thickTop="1" thickBot="1" x14ac:dyDescent="0.3">
      <c r="A2172" s="28">
        <v>0.16178756263674365</v>
      </c>
      <c r="B2172" s="27">
        <v>0</v>
      </c>
      <c r="C2172" s="27">
        <v>15.4</v>
      </c>
      <c r="E2172" s="18"/>
    </row>
    <row r="2173" spans="1:5" ht="16.5" thickTop="1" thickBot="1" x14ac:dyDescent="0.3">
      <c r="A2173" s="28">
        <v>10.096253267831491</v>
      </c>
      <c r="B2173" s="27">
        <v>0</v>
      </c>
      <c r="C2173" s="27">
        <v>15.4</v>
      </c>
      <c r="E2173" s="18"/>
    </row>
    <row r="2174" spans="1:5" ht="16.5" thickTop="1" thickBot="1" x14ac:dyDescent="0.3">
      <c r="A2174" s="28">
        <v>4.6950670779232428</v>
      </c>
      <c r="B2174" s="27">
        <v>0</v>
      </c>
      <c r="C2174" s="27">
        <v>15.4</v>
      </c>
      <c r="E2174" s="18"/>
    </row>
    <row r="2175" spans="1:5" ht="16.5" thickTop="1" thickBot="1" x14ac:dyDescent="0.3">
      <c r="A2175" s="28">
        <v>2.4051907169175348</v>
      </c>
      <c r="B2175" s="27">
        <v>0</v>
      </c>
      <c r="C2175" s="27">
        <v>15.4</v>
      </c>
      <c r="E2175" s="18"/>
    </row>
    <row r="2176" spans="1:5" ht="16.5" thickTop="1" thickBot="1" x14ac:dyDescent="0.3">
      <c r="A2176" s="28">
        <v>5.9841267175548234</v>
      </c>
      <c r="B2176" s="27">
        <v>0</v>
      </c>
      <c r="C2176" s="27">
        <v>15.4</v>
      </c>
      <c r="E2176" s="18"/>
    </row>
    <row r="2177" spans="1:5" ht="16.5" thickTop="1" thickBot="1" x14ac:dyDescent="0.3">
      <c r="A2177" s="28">
        <v>0.35486142857657832</v>
      </c>
      <c r="B2177" s="27">
        <v>0</v>
      </c>
      <c r="C2177" s="27">
        <v>15.4</v>
      </c>
      <c r="E2177" s="18"/>
    </row>
    <row r="2178" spans="1:5" ht="16.5" thickTop="1" thickBot="1" x14ac:dyDescent="0.3">
      <c r="A2178" s="28">
        <v>6.7409895940077433</v>
      </c>
      <c r="B2178" s="27">
        <v>0</v>
      </c>
      <c r="C2178" s="27">
        <v>15.4</v>
      </c>
      <c r="E2178" s="18"/>
    </row>
    <row r="2179" spans="1:5" ht="16.5" thickTop="1" thickBot="1" x14ac:dyDescent="0.3">
      <c r="A2179" s="28">
        <v>3.8772299612152694</v>
      </c>
      <c r="B2179" s="27">
        <v>0</v>
      </c>
      <c r="C2179" s="27">
        <v>15.4</v>
      </c>
      <c r="E2179" s="18"/>
    </row>
    <row r="2180" spans="1:5" ht="16.5" thickTop="1" thickBot="1" x14ac:dyDescent="0.3">
      <c r="A2180" s="28">
        <v>1.547618578886081</v>
      </c>
      <c r="B2180" s="27">
        <v>0</v>
      </c>
      <c r="C2180" s="27">
        <v>15.4</v>
      </c>
      <c r="E2180" s="18"/>
    </row>
    <row r="2181" spans="1:5" ht="16.5" thickTop="1" thickBot="1" x14ac:dyDescent="0.3">
      <c r="A2181" s="28">
        <v>1.086580161853941</v>
      </c>
      <c r="B2181" s="27">
        <v>0</v>
      </c>
      <c r="C2181" s="27">
        <v>15.6</v>
      </c>
      <c r="E2181" s="18"/>
    </row>
    <row r="2182" spans="1:5" ht="16.5" thickTop="1" thickBot="1" x14ac:dyDescent="0.3">
      <c r="A2182" s="28">
        <v>0.70804722416538002</v>
      </c>
      <c r="B2182" s="27">
        <v>0</v>
      </c>
      <c r="C2182" s="27">
        <v>15.6</v>
      </c>
      <c r="E2182" s="18"/>
    </row>
    <row r="2183" spans="1:5" ht="16.5" thickTop="1" thickBot="1" x14ac:dyDescent="0.3">
      <c r="A2183" s="28">
        <v>7.6843301013270926</v>
      </c>
      <c r="B2183" s="27">
        <v>0</v>
      </c>
      <c r="C2183" s="27">
        <v>15.6</v>
      </c>
      <c r="E2183" s="18"/>
    </row>
    <row r="2184" spans="1:5" ht="16.5" thickTop="1" thickBot="1" x14ac:dyDescent="0.3">
      <c r="A2184" s="28">
        <v>1.666917061565989</v>
      </c>
      <c r="B2184" s="27">
        <v>0</v>
      </c>
      <c r="C2184" s="27">
        <v>15.6</v>
      </c>
      <c r="E2184" s="18"/>
    </row>
    <row r="2185" spans="1:5" ht="16.5" thickTop="1" thickBot="1" x14ac:dyDescent="0.3">
      <c r="A2185" s="28">
        <v>11.093019605297624</v>
      </c>
      <c r="B2185" s="27">
        <v>0</v>
      </c>
      <c r="C2185" s="27">
        <v>15.6</v>
      </c>
      <c r="E2185" s="18"/>
    </row>
    <row r="2186" spans="1:5" ht="16.5" thickTop="1" thickBot="1" x14ac:dyDescent="0.3">
      <c r="A2186" s="28">
        <v>2.5693977467537894</v>
      </c>
      <c r="B2186" s="27">
        <v>0</v>
      </c>
      <c r="C2186" s="27">
        <v>15.6</v>
      </c>
      <c r="E2186" s="18"/>
    </row>
    <row r="2187" spans="1:5" ht="16.5" thickTop="1" thickBot="1" x14ac:dyDescent="0.3">
      <c r="A2187" s="28">
        <v>1.0481315867820085</v>
      </c>
      <c r="B2187" s="27">
        <v>0</v>
      </c>
      <c r="C2187" s="27">
        <v>15.6</v>
      </c>
      <c r="E2187" s="18"/>
    </row>
    <row r="2188" spans="1:5" ht="16.5" thickTop="1" thickBot="1" x14ac:dyDescent="0.3">
      <c r="A2188" s="28">
        <v>3.0762161857524779</v>
      </c>
      <c r="B2188" s="27">
        <v>0</v>
      </c>
      <c r="C2188" s="27">
        <v>15.6</v>
      </c>
      <c r="E2188" s="18"/>
    </row>
    <row r="2189" spans="1:5" ht="16.5" thickTop="1" thickBot="1" x14ac:dyDescent="0.3">
      <c r="A2189" s="28">
        <v>2.1550531334753047</v>
      </c>
      <c r="B2189" s="27">
        <v>0</v>
      </c>
      <c r="C2189" s="27">
        <v>15.6</v>
      </c>
      <c r="E2189" s="18"/>
    </row>
    <row r="2190" spans="1:5" ht="16.5" thickTop="1" thickBot="1" x14ac:dyDescent="0.3">
      <c r="A2190" s="28">
        <v>6.7591337315792881</v>
      </c>
      <c r="B2190" s="27">
        <v>0</v>
      </c>
      <c r="C2190" s="27">
        <v>15.6</v>
      </c>
      <c r="E2190" s="18"/>
    </row>
    <row r="2191" spans="1:5" ht="16.5" thickTop="1" thickBot="1" x14ac:dyDescent="0.3">
      <c r="A2191" s="28">
        <v>7.1035492299853846</v>
      </c>
      <c r="B2191" s="27">
        <v>0</v>
      </c>
      <c r="C2191" s="27">
        <v>15.6</v>
      </c>
      <c r="E2191" s="18"/>
    </row>
    <row r="2192" spans="1:5" ht="16.5" thickTop="1" thickBot="1" x14ac:dyDescent="0.3">
      <c r="A2192" s="28">
        <v>0.75974731532931727</v>
      </c>
      <c r="B2192" s="27">
        <v>0</v>
      </c>
      <c r="C2192" s="27">
        <v>15.6</v>
      </c>
      <c r="E2192" s="18"/>
    </row>
    <row r="2193" spans="1:5" ht="16.5" thickTop="1" thickBot="1" x14ac:dyDescent="0.3">
      <c r="A2193" s="28">
        <v>5.6746705429833124</v>
      </c>
      <c r="B2193" s="27">
        <v>0</v>
      </c>
      <c r="C2193" s="27">
        <v>15.6</v>
      </c>
      <c r="E2193" s="18"/>
    </row>
    <row r="2194" spans="1:5" ht="16.5" thickTop="1" thickBot="1" x14ac:dyDescent="0.3">
      <c r="A2194" s="28">
        <v>5.9664899361880641</v>
      </c>
      <c r="B2194" s="27">
        <v>0</v>
      </c>
      <c r="C2194" s="27">
        <v>15.6</v>
      </c>
      <c r="E2194" s="18"/>
    </row>
    <row r="2195" spans="1:5" ht="16.5" thickTop="1" thickBot="1" x14ac:dyDescent="0.3">
      <c r="A2195" s="28">
        <v>9.3529769184441456</v>
      </c>
      <c r="B2195" s="27">
        <v>0</v>
      </c>
      <c r="C2195" s="27">
        <v>15.6</v>
      </c>
      <c r="E2195" s="18"/>
    </row>
    <row r="2196" spans="1:5" ht="16.5" thickTop="1" thickBot="1" x14ac:dyDescent="0.3">
      <c r="A2196" s="28">
        <v>5.7980761252387873</v>
      </c>
      <c r="B2196" s="27">
        <v>0</v>
      </c>
      <c r="C2196" s="27">
        <v>15.6</v>
      </c>
      <c r="E2196" s="18"/>
    </row>
    <row r="2197" spans="1:5" ht="16.5" thickTop="1" thickBot="1" x14ac:dyDescent="0.3">
      <c r="A2197" s="28">
        <v>6.5227901331453779</v>
      </c>
      <c r="B2197" s="27">
        <v>0</v>
      </c>
      <c r="C2197" s="27">
        <v>15.6</v>
      </c>
      <c r="E2197" s="18"/>
    </row>
    <row r="2198" spans="1:5" ht="16.5" thickTop="1" thickBot="1" x14ac:dyDescent="0.3">
      <c r="A2198" s="28">
        <v>6.3153678262907746</v>
      </c>
      <c r="B2198" s="27">
        <v>0</v>
      </c>
      <c r="C2198" s="27">
        <v>7.4</v>
      </c>
      <c r="E2198" s="18"/>
    </row>
    <row r="2199" spans="1:5" ht="16.5" thickTop="1" thickBot="1" x14ac:dyDescent="0.3">
      <c r="A2199" s="28">
        <v>2.4962097681503708</v>
      </c>
      <c r="B2199" s="27">
        <v>0</v>
      </c>
      <c r="C2199" s="27">
        <v>7.4</v>
      </c>
      <c r="E2199" s="18"/>
    </row>
    <row r="2200" spans="1:5" ht="16.5" thickTop="1" thickBot="1" x14ac:dyDescent="0.3">
      <c r="A2200" s="28">
        <v>4.9894153773832759</v>
      </c>
      <c r="B2200" s="27">
        <v>0</v>
      </c>
      <c r="C2200" s="27">
        <v>7.4</v>
      </c>
      <c r="E2200" s="18"/>
    </row>
    <row r="2201" spans="1:5" ht="16.5" thickTop="1" thickBot="1" x14ac:dyDescent="0.3">
      <c r="A2201" s="28">
        <v>10.011031397997895</v>
      </c>
      <c r="B2201" s="27">
        <v>0</v>
      </c>
      <c r="C2201" s="27">
        <v>7.4</v>
      </c>
      <c r="E2201" s="18"/>
    </row>
    <row r="2202" spans="1:5" ht="16.5" thickTop="1" thickBot="1" x14ac:dyDescent="0.3">
      <c r="A2202" s="28">
        <v>2.306119581110186</v>
      </c>
      <c r="B2202" s="27">
        <v>0</v>
      </c>
      <c r="C2202" s="27">
        <v>7.4</v>
      </c>
      <c r="E2202" s="18"/>
    </row>
    <row r="2203" spans="1:5" ht="16.5" thickTop="1" thickBot="1" x14ac:dyDescent="0.3">
      <c r="A2203" s="28">
        <v>2.6932018017881498</v>
      </c>
      <c r="B2203" s="27">
        <v>0</v>
      </c>
      <c r="C2203" s="27">
        <v>7.4</v>
      </c>
      <c r="E2203" s="18"/>
    </row>
    <row r="2204" spans="1:5" ht="16.5" thickTop="1" thickBot="1" x14ac:dyDescent="0.3">
      <c r="A2204" s="28">
        <v>0.64749829214032129</v>
      </c>
      <c r="B2204" s="27">
        <v>0</v>
      </c>
      <c r="C2204" s="27">
        <v>7.4</v>
      </c>
      <c r="E2204" s="18"/>
    </row>
    <row r="2205" spans="1:5" ht="16.5" thickTop="1" thickBot="1" x14ac:dyDescent="0.3">
      <c r="A2205" s="28">
        <v>0.77772919496308734</v>
      </c>
      <c r="B2205" s="27">
        <v>0</v>
      </c>
      <c r="C2205" s="27">
        <v>7.4</v>
      </c>
      <c r="E2205" s="18"/>
    </row>
    <row r="2206" spans="1:5" ht="16.5" thickTop="1" thickBot="1" x14ac:dyDescent="0.3">
      <c r="A2206" s="28">
        <v>2.2256961220775073</v>
      </c>
      <c r="B2206" s="27">
        <v>0</v>
      </c>
      <c r="C2206" s="27">
        <v>7.4</v>
      </c>
      <c r="E2206" s="18"/>
    </row>
    <row r="2207" spans="1:5" ht="16.5" thickTop="1" thickBot="1" x14ac:dyDescent="0.3">
      <c r="A2207" s="28">
        <v>0.7898541626278357</v>
      </c>
      <c r="B2207" s="27">
        <v>0</v>
      </c>
      <c r="C2207" s="27">
        <v>7.4</v>
      </c>
      <c r="E2207" s="18"/>
    </row>
    <row r="2208" spans="1:5" ht="16.5" thickTop="1" thickBot="1" x14ac:dyDescent="0.3">
      <c r="A2208" s="28">
        <v>6.0772701846422521</v>
      </c>
      <c r="B2208" s="27">
        <v>0</v>
      </c>
      <c r="C2208" s="27">
        <v>7.4</v>
      </c>
      <c r="E2208" s="18"/>
    </row>
    <row r="2209" spans="1:5" ht="16.5" thickTop="1" thickBot="1" x14ac:dyDescent="0.3">
      <c r="A2209" s="28">
        <v>11.872217891896522</v>
      </c>
      <c r="B2209" s="27">
        <v>0</v>
      </c>
      <c r="C2209" s="27">
        <v>7.4</v>
      </c>
      <c r="E2209" s="18"/>
    </row>
    <row r="2210" spans="1:5" ht="16.5" thickTop="1" thickBot="1" x14ac:dyDescent="0.3">
      <c r="A2210" s="28">
        <v>4.4287264620914213</v>
      </c>
      <c r="B2210" s="27">
        <v>0</v>
      </c>
      <c r="C2210" s="27">
        <v>7.4</v>
      </c>
      <c r="E2210" s="18"/>
    </row>
    <row r="2211" spans="1:5" ht="16.5" thickTop="1" thickBot="1" x14ac:dyDescent="0.3">
      <c r="A2211" s="28">
        <v>3.174820128064745</v>
      </c>
      <c r="B2211" s="27">
        <v>0</v>
      </c>
      <c r="C2211" s="27">
        <v>7.4</v>
      </c>
      <c r="E2211" s="18"/>
    </row>
    <row r="2212" spans="1:5" ht="16.5" thickTop="1" thickBot="1" x14ac:dyDescent="0.3">
      <c r="A2212" s="28">
        <v>5.474345807614287</v>
      </c>
      <c r="B2212" s="27">
        <v>0</v>
      </c>
      <c r="C2212" s="27">
        <v>7.4</v>
      </c>
      <c r="E2212" s="18"/>
    </row>
    <row r="2213" spans="1:5" ht="16.5" thickTop="1" thickBot="1" x14ac:dyDescent="0.3">
      <c r="A2213" s="28">
        <v>6.6540154506683153</v>
      </c>
      <c r="B2213" s="27">
        <v>0</v>
      </c>
      <c r="C2213" s="27">
        <v>7.4</v>
      </c>
      <c r="E2213" s="18"/>
    </row>
    <row r="2214" spans="1:5" ht="16.5" thickTop="1" thickBot="1" x14ac:dyDescent="0.3">
      <c r="A2214" s="28">
        <v>0.70232281437587085</v>
      </c>
      <c r="B2214" s="27">
        <v>0</v>
      </c>
      <c r="C2214" s="27">
        <v>9.9</v>
      </c>
      <c r="E2214" s="18"/>
    </row>
    <row r="2215" spans="1:5" ht="16.5" thickTop="1" thickBot="1" x14ac:dyDescent="0.3">
      <c r="A2215" s="28">
        <v>2.8941904942476544</v>
      </c>
      <c r="B2215" s="27">
        <v>0</v>
      </c>
      <c r="C2215" s="27">
        <v>9.9</v>
      </c>
      <c r="E2215" s="18"/>
    </row>
    <row r="2216" spans="1:5" ht="16.5" thickTop="1" thickBot="1" x14ac:dyDescent="0.3">
      <c r="A2216" s="28">
        <v>3.3630343893890768</v>
      </c>
      <c r="B2216" s="27">
        <v>0</v>
      </c>
      <c r="C2216" s="27">
        <v>9.9</v>
      </c>
      <c r="E2216" s="18"/>
    </row>
    <row r="2217" spans="1:5" ht="16.5" thickTop="1" thickBot="1" x14ac:dyDescent="0.3">
      <c r="A2217" s="28">
        <v>7.9203904199772905</v>
      </c>
      <c r="B2217" s="27">
        <v>0</v>
      </c>
      <c r="C2217" s="27">
        <v>9.9</v>
      </c>
      <c r="E2217" s="18"/>
    </row>
    <row r="2218" spans="1:5" ht="16.5" thickTop="1" thickBot="1" x14ac:dyDescent="0.3">
      <c r="A2218" s="28">
        <v>1.0143595775639707</v>
      </c>
      <c r="B2218" s="27">
        <v>0</v>
      </c>
      <c r="C2218" s="27">
        <v>9.9</v>
      </c>
      <c r="E2218" s="18"/>
    </row>
    <row r="2219" spans="1:5" ht="16.5" thickTop="1" thickBot="1" x14ac:dyDescent="0.3">
      <c r="A2219" s="28">
        <v>10.27379903142633</v>
      </c>
      <c r="B2219" s="27">
        <v>0</v>
      </c>
      <c r="C2219" s="27">
        <v>9.9</v>
      </c>
      <c r="E2219" s="18"/>
    </row>
    <row r="2220" spans="1:5" ht="16.5" thickTop="1" thickBot="1" x14ac:dyDescent="0.3">
      <c r="A2220" s="28">
        <v>0.64465225071724785</v>
      </c>
      <c r="B2220" s="27">
        <v>0</v>
      </c>
      <c r="C2220" s="27">
        <v>9.9</v>
      </c>
      <c r="E2220" s="18"/>
    </row>
    <row r="2221" spans="1:5" ht="16.5" thickTop="1" thickBot="1" x14ac:dyDescent="0.3">
      <c r="A2221" s="28">
        <v>10.057573943824647</v>
      </c>
      <c r="B2221" s="27">
        <v>0</v>
      </c>
      <c r="C2221" s="27">
        <v>9.9</v>
      </c>
      <c r="E2221" s="18"/>
    </row>
    <row r="2222" spans="1:5" ht="16.5" thickTop="1" thickBot="1" x14ac:dyDescent="0.3">
      <c r="A2222" s="28">
        <v>6.5194398140530661</v>
      </c>
      <c r="B2222" s="27">
        <v>0</v>
      </c>
      <c r="C2222" s="27">
        <v>9.9</v>
      </c>
      <c r="E2222" s="18"/>
    </row>
    <row r="2223" spans="1:5" ht="16.5" thickTop="1" thickBot="1" x14ac:dyDescent="0.3">
      <c r="A2223" s="28">
        <v>5.3399536359873512</v>
      </c>
      <c r="B2223" s="27">
        <v>0</v>
      </c>
      <c r="C2223" s="27">
        <v>9.9</v>
      </c>
      <c r="E2223" s="18"/>
    </row>
    <row r="2224" spans="1:5" ht="16.5" thickTop="1" thickBot="1" x14ac:dyDescent="0.3">
      <c r="A2224" s="28">
        <v>1.4775202209821445</v>
      </c>
      <c r="B2224" s="27">
        <v>0</v>
      </c>
      <c r="C2224" s="27">
        <v>9.9</v>
      </c>
      <c r="E2224" s="18"/>
    </row>
    <row r="2225" spans="1:5" ht="16.5" thickTop="1" thickBot="1" x14ac:dyDescent="0.3">
      <c r="A2225" s="28">
        <v>1.5523602249333912E-2</v>
      </c>
      <c r="B2225" s="27">
        <v>0</v>
      </c>
      <c r="C2225" s="27">
        <v>9.9</v>
      </c>
      <c r="E2225" s="18"/>
    </row>
    <row r="2226" spans="1:5" ht="16.5" thickTop="1" thickBot="1" x14ac:dyDescent="0.3">
      <c r="A2226" s="28">
        <v>6.9353462181619916</v>
      </c>
      <c r="B2226" s="27">
        <v>0</v>
      </c>
      <c r="C2226" s="27">
        <v>9.9</v>
      </c>
      <c r="E2226" s="18"/>
    </row>
    <row r="2227" spans="1:5" ht="16.5" thickTop="1" thickBot="1" x14ac:dyDescent="0.3">
      <c r="A2227" s="28">
        <v>2.5663719305667128</v>
      </c>
      <c r="B2227" s="27">
        <v>0</v>
      </c>
      <c r="C2227" s="27">
        <v>9.9</v>
      </c>
      <c r="E2227" s="18"/>
    </row>
    <row r="2228" spans="1:5" ht="16.5" thickTop="1" thickBot="1" x14ac:dyDescent="0.3">
      <c r="A2228" s="28">
        <v>6.4109979332730527</v>
      </c>
      <c r="B2228" s="27">
        <v>0</v>
      </c>
      <c r="C2228" s="27">
        <v>9.9</v>
      </c>
      <c r="E2228" s="18"/>
    </row>
    <row r="2229" spans="1:5" ht="16.5" thickTop="1" thickBot="1" x14ac:dyDescent="0.3">
      <c r="A2229" s="28">
        <v>1.5927795702311012</v>
      </c>
      <c r="B2229" s="27">
        <v>0</v>
      </c>
      <c r="C2229" s="27">
        <v>9.9</v>
      </c>
      <c r="E2229" s="18"/>
    </row>
    <row r="2230" spans="1:5" ht="16.5" thickTop="1" thickBot="1" x14ac:dyDescent="0.3">
      <c r="A2230" s="28">
        <v>2.9981532750544559</v>
      </c>
      <c r="B2230" s="27">
        <v>0</v>
      </c>
      <c r="C2230" s="27">
        <v>23.1</v>
      </c>
      <c r="E2230" s="18"/>
    </row>
    <row r="2231" spans="1:5" ht="16.5" thickTop="1" thickBot="1" x14ac:dyDescent="0.3">
      <c r="A2231" s="28">
        <v>10.094667955500757</v>
      </c>
      <c r="B2231" s="27">
        <v>0</v>
      </c>
      <c r="C2231" s="27">
        <v>23.1</v>
      </c>
      <c r="E2231" s="18"/>
    </row>
    <row r="2232" spans="1:5" ht="16.5" thickTop="1" thickBot="1" x14ac:dyDescent="0.3">
      <c r="A2232" s="28">
        <v>0.21899763880519496</v>
      </c>
      <c r="B2232" s="27">
        <v>0</v>
      </c>
      <c r="C2232" s="27">
        <v>23.1</v>
      </c>
      <c r="E2232" s="18"/>
    </row>
    <row r="2233" spans="1:5" ht="16.5" thickTop="1" thickBot="1" x14ac:dyDescent="0.3">
      <c r="A2233" s="28">
        <v>8.6669446246462751</v>
      </c>
      <c r="B2233" s="27">
        <v>0</v>
      </c>
      <c r="C2233" s="27">
        <v>23.1</v>
      </c>
      <c r="E2233" s="18"/>
    </row>
    <row r="2234" spans="1:5" ht="16.5" thickTop="1" thickBot="1" x14ac:dyDescent="0.3">
      <c r="A2234" s="28">
        <v>5.8393385672322795</v>
      </c>
      <c r="B2234" s="27">
        <v>0</v>
      </c>
      <c r="C2234" s="27">
        <v>23.1</v>
      </c>
      <c r="E2234" s="18"/>
    </row>
    <row r="2235" spans="1:5" ht="16.5" thickTop="1" thickBot="1" x14ac:dyDescent="0.3">
      <c r="A2235" s="28">
        <v>7.922550386388</v>
      </c>
      <c r="B2235" s="27">
        <v>0</v>
      </c>
      <c r="C2235" s="27">
        <v>23.1</v>
      </c>
      <c r="E2235" s="18"/>
    </row>
    <row r="2236" spans="1:5" ht="16.5" thickTop="1" thickBot="1" x14ac:dyDescent="0.3">
      <c r="A2236" s="28">
        <v>0.29238055372628302</v>
      </c>
      <c r="B2236" s="27">
        <v>0</v>
      </c>
      <c r="C2236" s="27">
        <v>23.1</v>
      </c>
      <c r="E2236" s="18"/>
    </row>
    <row r="2237" spans="1:5" ht="16.5" thickTop="1" thickBot="1" x14ac:dyDescent="0.3">
      <c r="A2237" s="28">
        <v>7.3694549973077219</v>
      </c>
      <c r="B2237" s="27">
        <v>0</v>
      </c>
      <c r="C2237" s="27">
        <v>23.1</v>
      </c>
      <c r="E2237" s="18"/>
    </row>
    <row r="2238" spans="1:5" ht="16.5" thickTop="1" thickBot="1" x14ac:dyDescent="0.3">
      <c r="A2238" s="28">
        <v>1.0719456394849014</v>
      </c>
      <c r="B2238" s="27">
        <v>0</v>
      </c>
      <c r="C2238" s="27">
        <v>23.1</v>
      </c>
      <c r="E2238" s="18"/>
    </row>
    <row r="2239" spans="1:5" ht="16.5" thickTop="1" thickBot="1" x14ac:dyDescent="0.3">
      <c r="A2239" s="28">
        <v>4.3979592772905454</v>
      </c>
      <c r="B2239" s="27">
        <v>0</v>
      </c>
      <c r="C2239" s="27">
        <v>23.1</v>
      </c>
      <c r="E2239" s="18"/>
    </row>
    <row r="2240" spans="1:5" ht="16.5" thickTop="1" thickBot="1" x14ac:dyDescent="0.3">
      <c r="A2240" s="28">
        <v>0.9039489495451879</v>
      </c>
      <c r="B2240" s="27">
        <v>0</v>
      </c>
      <c r="C2240" s="27">
        <v>23.1</v>
      </c>
      <c r="E2240" s="18"/>
    </row>
    <row r="2241" spans="1:5" ht="16.5" thickTop="1" thickBot="1" x14ac:dyDescent="0.3">
      <c r="A2241" s="28">
        <v>5.1403674502482417</v>
      </c>
      <c r="B2241" s="27">
        <v>0</v>
      </c>
      <c r="C2241" s="27">
        <v>23.1</v>
      </c>
      <c r="E2241" s="18"/>
    </row>
    <row r="2242" spans="1:5" ht="16.5" thickTop="1" thickBot="1" x14ac:dyDescent="0.3">
      <c r="A2242" s="28">
        <v>0.82311186342284037</v>
      </c>
      <c r="B2242" s="27">
        <v>0</v>
      </c>
      <c r="C2242" s="27">
        <v>23.1</v>
      </c>
      <c r="E2242" s="18"/>
    </row>
    <row r="2243" spans="1:5" ht="16.5" thickTop="1" thickBot="1" x14ac:dyDescent="0.3">
      <c r="A2243" s="28">
        <v>8.5771687838831365</v>
      </c>
      <c r="B2243" s="27">
        <v>0</v>
      </c>
      <c r="C2243" s="27">
        <v>23.1</v>
      </c>
      <c r="E2243" s="18"/>
    </row>
    <row r="2244" spans="1:5" ht="16.5" thickTop="1" thickBot="1" x14ac:dyDescent="0.3">
      <c r="A2244" s="28">
        <v>6.9041051876435269</v>
      </c>
      <c r="B2244" s="27">
        <v>0</v>
      </c>
      <c r="C2244" s="27">
        <v>23.1</v>
      </c>
      <c r="E2244" s="18"/>
    </row>
    <row r="2245" spans="1:5" ht="16.5" thickTop="1" thickBot="1" x14ac:dyDescent="0.3">
      <c r="A2245" s="28">
        <v>11.158765823323648</v>
      </c>
      <c r="B2245" s="27">
        <v>0</v>
      </c>
      <c r="C2245" s="27">
        <v>23.1</v>
      </c>
      <c r="E2245" s="18"/>
    </row>
    <row r="2246" spans="1:5" ht="16.5" thickTop="1" thickBot="1" x14ac:dyDescent="0.3">
      <c r="A2246" s="28">
        <v>3.8859912600959268</v>
      </c>
      <c r="B2246" s="27">
        <v>0</v>
      </c>
      <c r="C2246" s="27">
        <v>23.1</v>
      </c>
      <c r="E2246" s="18"/>
    </row>
    <row r="2247" spans="1:5" ht="16.5" thickTop="1" thickBot="1" x14ac:dyDescent="0.3">
      <c r="A2247" s="28">
        <v>11.213331540765818</v>
      </c>
      <c r="B2247" s="27">
        <v>0</v>
      </c>
      <c r="C2247" s="27">
        <v>8.9</v>
      </c>
      <c r="E2247" s="18"/>
    </row>
    <row r="2248" spans="1:5" ht="16.5" thickTop="1" thickBot="1" x14ac:dyDescent="0.3">
      <c r="A2248" s="28">
        <v>1.0993812678559767</v>
      </c>
      <c r="B2248" s="27">
        <v>0</v>
      </c>
      <c r="C2248" s="27">
        <v>8.9</v>
      </c>
      <c r="E2248" s="18"/>
    </row>
    <row r="2249" spans="1:5" ht="16.5" thickTop="1" thickBot="1" x14ac:dyDescent="0.3">
      <c r="A2249" s="28">
        <v>9.514213795032191</v>
      </c>
      <c r="B2249" s="27">
        <v>0</v>
      </c>
      <c r="C2249" s="27">
        <v>8.9</v>
      </c>
      <c r="E2249" s="18"/>
    </row>
    <row r="2250" spans="1:5" ht="16.5" thickTop="1" thickBot="1" x14ac:dyDescent="0.3">
      <c r="A2250" s="28">
        <v>4.4205875948940063</v>
      </c>
      <c r="B2250" s="27">
        <v>0</v>
      </c>
      <c r="C2250" s="27">
        <v>8.9</v>
      </c>
      <c r="E2250" s="18"/>
    </row>
    <row r="2251" spans="1:5" ht="16.5" thickTop="1" thickBot="1" x14ac:dyDescent="0.3">
      <c r="A2251" s="28">
        <v>7.0548520682023854</v>
      </c>
      <c r="B2251" s="27">
        <v>0</v>
      </c>
      <c r="C2251" s="27">
        <v>8.9</v>
      </c>
      <c r="E2251" s="18"/>
    </row>
    <row r="2252" spans="1:5" ht="16.5" thickTop="1" thickBot="1" x14ac:dyDescent="0.3">
      <c r="A2252" s="28">
        <v>6.2755341908469529</v>
      </c>
      <c r="B2252" s="27">
        <v>0</v>
      </c>
      <c r="C2252" s="27">
        <v>8.9</v>
      </c>
      <c r="E2252" s="18"/>
    </row>
    <row r="2253" spans="1:5" ht="16.5" thickTop="1" thickBot="1" x14ac:dyDescent="0.3">
      <c r="A2253" s="28">
        <v>9.8200435787316493</v>
      </c>
      <c r="B2253" s="27">
        <v>0</v>
      </c>
      <c r="C2253" s="27">
        <v>8.9</v>
      </c>
      <c r="E2253" s="18"/>
    </row>
    <row r="2254" spans="1:5" ht="16.5" thickTop="1" thickBot="1" x14ac:dyDescent="0.3">
      <c r="A2254" s="28">
        <v>4.5436755632098702</v>
      </c>
      <c r="B2254" s="27">
        <v>0</v>
      </c>
      <c r="C2254" s="27">
        <v>8.9</v>
      </c>
      <c r="E2254" s="18"/>
    </row>
    <row r="2255" spans="1:5" ht="16.5" thickTop="1" thickBot="1" x14ac:dyDescent="0.3">
      <c r="A2255" s="28">
        <v>6.6795533537431435</v>
      </c>
      <c r="B2255" s="27">
        <v>0</v>
      </c>
      <c r="C2255" s="27">
        <v>8.9</v>
      </c>
      <c r="E2255" s="18"/>
    </row>
    <row r="2256" spans="1:5" ht="16.5" thickTop="1" thickBot="1" x14ac:dyDescent="0.3">
      <c r="A2256" s="28">
        <v>0.14159375355492287</v>
      </c>
      <c r="B2256" s="27">
        <v>0</v>
      </c>
      <c r="C2256" s="27">
        <v>8.9</v>
      </c>
      <c r="E2256" s="18"/>
    </row>
    <row r="2257" spans="1:5" ht="16.5" thickTop="1" thickBot="1" x14ac:dyDescent="0.3">
      <c r="A2257" s="28">
        <v>10.448454429847661</v>
      </c>
      <c r="B2257" s="27">
        <v>0</v>
      </c>
      <c r="C2257" s="27">
        <v>8.9</v>
      </c>
      <c r="E2257" s="18"/>
    </row>
    <row r="2258" spans="1:5" ht="16.5" thickTop="1" thickBot="1" x14ac:dyDescent="0.3">
      <c r="A2258" s="28">
        <v>0.92514416664238452</v>
      </c>
      <c r="B2258" s="27">
        <v>0</v>
      </c>
      <c r="C2258" s="27">
        <v>8.9</v>
      </c>
      <c r="E2258" s="18"/>
    </row>
    <row r="2259" spans="1:5" ht="16.5" thickTop="1" thickBot="1" x14ac:dyDescent="0.3">
      <c r="A2259" s="28">
        <v>10.049638418715407</v>
      </c>
      <c r="B2259" s="27">
        <v>0</v>
      </c>
      <c r="C2259" s="27">
        <v>8.9</v>
      </c>
      <c r="E2259" s="18"/>
    </row>
    <row r="2260" spans="1:5" ht="16.5" thickTop="1" thickBot="1" x14ac:dyDescent="0.3">
      <c r="A2260" s="28">
        <v>0.14648698958761541</v>
      </c>
      <c r="B2260" s="27">
        <v>0</v>
      </c>
      <c r="C2260" s="27">
        <v>8.9</v>
      </c>
      <c r="E2260" s="18"/>
    </row>
    <row r="2261" spans="1:5" ht="16.5" thickTop="1" thickBot="1" x14ac:dyDescent="0.3">
      <c r="A2261" s="28">
        <v>1.7362124286790825</v>
      </c>
      <c r="B2261" s="27">
        <v>0</v>
      </c>
      <c r="C2261" s="27">
        <v>8.9</v>
      </c>
      <c r="E2261" s="18"/>
    </row>
    <row r="2262" spans="1:5" ht="16.5" thickTop="1" thickBot="1" x14ac:dyDescent="0.3">
      <c r="A2262" s="28">
        <v>5.4022352479631692</v>
      </c>
      <c r="B2262" s="27">
        <v>0</v>
      </c>
      <c r="C2262" s="27">
        <v>8.9</v>
      </c>
      <c r="E2262" s="18"/>
    </row>
    <row r="2263" spans="1:5" ht="16.5" thickTop="1" thickBot="1" x14ac:dyDescent="0.3">
      <c r="A2263" s="28">
        <v>10.688965176194145</v>
      </c>
      <c r="B2263" s="27">
        <v>0</v>
      </c>
      <c r="C2263" s="27">
        <v>8.9</v>
      </c>
      <c r="E2263" s="18"/>
    </row>
    <row r="2264" spans="1:5" ht="16.5" thickTop="1" thickBot="1" x14ac:dyDescent="0.3">
      <c r="A2264" s="28">
        <v>6.0607562752866029</v>
      </c>
      <c r="B2264" s="27">
        <v>0</v>
      </c>
      <c r="C2264" s="27">
        <v>8.9</v>
      </c>
      <c r="E2264" s="18"/>
    </row>
    <row r="2265" spans="1:5" ht="16.5" thickTop="1" thickBot="1" x14ac:dyDescent="0.3">
      <c r="A2265" s="28">
        <v>1.4085270601620579</v>
      </c>
      <c r="B2265" s="27">
        <v>0</v>
      </c>
      <c r="C2265" s="27">
        <v>8.9</v>
      </c>
      <c r="E2265" s="18"/>
    </row>
    <row r="2266" spans="1:5" ht="16.5" thickTop="1" thickBot="1" x14ac:dyDescent="0.3">
      <c r="A2266" s="28">
        <v>1.6471107355463175</v>
      </c>
      <c r="B2266" s="27">
        <v>0</v>
      </c>
      <c r="C2266" s="27">
        <v>8.9</v>
      </c>
      <c r="E2266" s="18"/>
    </row>
    <row r="2267" spans="1:5" ht="16.5" thickTop="1" thickBot="1" x14ac:dyDescent="0.3">
      <c r="A2267" s="28">
        <v>2.227900838421434</v>
      </c>
      <c r="B2267" s="27">
        <v>0</v>
      </c>
      <c r="C2267" s="27">
        <v>8.9</v>
      </c>
      <c r="E2267" s="18"/>
    </row>
    <row r="2268" spans="1:5" ht="16.5" thickTop="1" thickBot="1" x14ac:dyDescent="0.3">
      <c r="A2268" s="28">
        <v>4.4649990974687457</v>
      </c>
      <c r="B2268" s="27">
        <v>0</v>
      </c>
      <c r="C2268" s="27">
        <v>8.9</v>
      </c>
      <c r="E2268" s="18"/>
    </row>
    <row r="2269" spans="1:5" ht="16.5" thickTop="1" thickBot="1" x14ac:dyDescent="0.3">
      <c r="A2269" s="28">
        <v>7.5836779245245012</v>
      </c>
      <c r="B2269" s="27">
        <v>0</v>
      </c>
      <c r="C2269" s="27">
        <v>8.9</v>
      </c>
      <c r="E2269" s="18"/>
    </row>
    <row r="2270" spans="1:5" ht="16.5" thickTop="1" thickBot="1" x14ac:dyDescent="0.3">
      <c r="A2270" s="28">
        <v>2.2931287665965883</v>
      </c>
      <c r="B2270" s="27">
        <v>0</v>
      </c>
      <c r="C2270" s="27">
        <v>8.9</v>
      </c>
      <c r="E2270" s="18"/>
    </row>
    <row r="2271" spans="1:5" ht="16.5" thickTop="1" thickBot="1" x14ac:dyDescent="0.3">
      <c r="A2271" s="28">
        <v>1.4245739551351755</v>
      </c>
      <c r="B2271" s="27">
        <v>0</v>
      </c>
      <c r="C2271" s="27">
        <v>8.9</v>
      </c>
      <c r="E2271" s="18"/>
    </row>
    <row r="2272" spans="1:5" ht="16.5" thickTop="1" thickBot="1" x14ac:dyDescent="0.3">
      <c r="A2272" s="28">
        <v>6.7175557953946203</v>
      </c>
      <c r="B2272" s="27">
        <v>0</v>
      </c>
      <c r="C2272" s="27">
        <v>8.9</v>
      </c>
      <c r="E2272" s="18"/>
    </row>
    <row r="2273" spans="1:5" ht="16.5" thickTop="1" thickBot="1" x14ac:dyDescent="0.3">
      <c r="A2273" s="28">
        <v>11.231711091129176</v>
      </c>
      <c r="B2273" s="27">
        <v>0</v>
      </c>
      <c r="C2273" s="27">
        <v>8.9</v>
      </c>
      <c r="E2273" s="18"/>
    </row>
    <row r="2274" spans="1:5" ht="16.5" thickTop="1" thickBot="1" x14ac:dyDescent="0.3">
      <c r="A2274" s="28">
        <v>0.56540882089417122</v>
      </c>
      <c r="B2274" s="27">
        <v>0</v>
      </c>
      <c r="C2274" s="27">
        <v>8.9</v>
      </c>
      <c r="E2274" s="18"/>
    </row>
    <row r="2275" spans="1:5" ht="16.5" thickTop="1" thickBot="1" x14ac:dyDescent="0.3">
      <c r="A2275" s="28">
        <v>0.55522210260669302</v>
      </c>
      <c r="B2275" s="27">
        <v>0</v>
      </c>
      <c r="C2275" s="27">
        <v>8.9</v>
      </c>
      <c r="E2275" s="18"/>
    </row>
    <row r="2276" spans="1:5" ht="16.5" thickTop="1" thickBot="1" x14ac:dyDescent="0.3">
      <c r="A2276" s="28">
        <v>0.48627354193521233</v>
      </c>
      <c r="B2276" s="27">
        <v>0</v>
      </c>
      <c r="C2276" s="27">
        <v>8.9</v>
      </c>
      <c r="E2276" s="18"/>
    </row>
    <row r="2277" spans="1:5" ht="16.5" thickTop="1" thickBot="1" x14ac:dyDescent="0.3">
      <c r="A2277" s="28">
        <v>7.5952317191623315</v>
      </c>
      <c r="B2277" s="27">
        <v>0</v>
      </c>
      <c r="C2277" s="27">
        <v>8.9</v>
      </c>
      <c r="E2277" s="18"/>
    </row>
    <row r="2278" spans="1:5" ht="16.5" thickTop="1" thickBot="1" x14ac:dyDescent="0.3">
      <c r="A2278" s="28">
        <v>3.6205783311466284</v>
      </c>
      <c r="B2278" s="27">
        <v>0</v>
      </c>
      <c r="C2278" s="27">
        <v>8.9</v>
      </c>
      <c r="E2278" s="18"/>
    </row>
    <row r="2279" spans="1:5" ht="16.5" thickTop="1" thickBot="1" x14ac:dyDescent="0.3">
      <c r="A2279" s="28">
        <v>10.927925731721601</v>
      </c>
      <c r="B2279" s="27">
        <v>0</v>
      </c>
      <c r="C2279" s="27">
        <v>8.9</v>
      </c>
      <c r="E2279" s="18"/>
    </row>
    <row r="2280" spans="1:5" ht="16.5" thickTop="1" thickBot="1" x14ac:dyDescent="0.3">
      <c r="A2280" s="28">
        <v>4.9296170060723341</v>
      </c>
      <c r="B2280" s="27">
        <v>0</v>
      </c>
      <c r="C2280" s="27">
        <v>16.3</v>
      </c>
      <c r="E2280" s="18"/>
    </row>
    <row r="2281" spans="1:5" ht="16.5" thickTop="1" thickBot="1" x14ac:dyDescent="0.3">
      <c r="A2281" s="28">
        <v>5.4458694673377286</v>
      </c>
      <c r="B2281" s="27">
        <v>0</v>
      </c>
      <c r="C2281" s="27">
        <v>16.3</v>
      </c>
      <c r="E2281" s="18"/>
    </row>
    <row r="2282" spans="1:5" ht="16.5" thickTop="1" thickBot="1" x14ac:dyDescent="0.3">
      <c r="A2282" s="28">
        <v>6.4891821659957785</v>
      </c>
      <c r="B2282" s="27">
        <v>0</v>
      </c>
      <c r="C2282" s="27">
        <v>16.3</v>
      </c>
      <c r="E2282" s="18"/>
    </row>
    <row r="2283" spans="1:5" ht="16.5" thickTop="1" thickBot="1" x14ac:dyDescent="0.3">
      <c r="A2283" s="28">
        <v>1.1561125013719336</v>
      </c>
      <c r="B2283" s="27">
        <v>0</v>
      </c>
      <c r="C2283" s="27">
        <v>16.3</v>
      </c>
      <c r="E2283" s="18"/>
    </row>
    <row r="2284" spans="1:5" ht="16.5" thickTop="1" thickBot="1" x14ac:dyDescent="0.3">
      <c r="A2284" s="28">
        <v>5.5262014175595509</v>
      </c>
      <c r="B2284" s="27">
        <v>0</v>
      </c>
      <c r="C2284" s="27">
        <v>16.3</v>
      </c>
      <c r="E2284" s="18"/>
    </row>
    <row r="2285" spans="1:5" ht="16.5" thickTop="1" thickBot="1" x14ac:dyDescent="0.3">
      <c r="A2285" s="28">
        <v>2.1564891855190709</v>
      </c>
      <c r="B2285" s="27">
        <v>0</v>
      </c>
      <c r="C2285" s="27">
        <v>16.3</v>
      </c>
      <c r="E2285" s="18"/>
    </row>
    <row r="2286" spans="1:5" ht="16.5" thickTop="1" thickBot="1" x14ac:dyDescent="0.3">
      <c r="A2286" s="28">
        <v>1.8248497884371311</v>
      </c>
      <c r="B2286" s="27">
        <v>0</v>
      </c>
      <c r="C2286" s="27">
        <v>16.3</v>
      </c>
      <c r="E2286" s="18"/>
    </row>
    <row r="2287" spans="1:5" ht="16.5" thickTop="1" thickBot="1" x14ac:dyDescent="0.3">
      <c r="A2287" s="28">
        <v>6.8354118484736208</v>
      </c>
      <c r="B2287" s="27">
        <v>0</v>
      </c>
      <c r="C2287" s="27">
        <v>16.3</v>
      </c>
      <c r="E2287" s="18"/>
    </row>
    <row r="2288" spans="1:5" ht="16.5" thickTop="1" thickBot="1" x14ac:dyDescent="0.3">
      <c r="A2288" s="28">
        <v>3.1820084423501434</v>
      </c>
      <c r="B2288" s="27">
        <v>0</v>
      </c>
      <c r="C2288" s="27">
        <v>16.3</v>
      </c>
      <c r="E2288" s="18"/>
    </row>
    <row r="2289" spans="1:5" ht="16.5" thickTop="1" thickBot="1" x14ac:dyDescent="0.3">
      <c r="A2289" s="28">
        <v>9.5894995188424925</v>
      </c>
      <c r="B2289" s="27">
        <v>0</v>
      </c>
      <c r="C2289" s="27">
        <v>16.3</v>
      </c>
      <c r="E2289" s="18"/>
    </row>
    <row r="2290" spans="1:5" ht="16.5" thickTop="1" thickBot="1" x14ac:dyDescent="0.3">
      <c r="A2290" s="28">
        <v>2.9371694936114228</v>
      </c>
      <c r="B2290" s="27">
        <v>0</v>
      </c>
      <c r="C2290" s="27">
        <v>16.3</v>
      </c>
      <c r="E2290" s="18"/>
    </row>
    <row r="2291" spans="1:5" ht="16.5" thickTop="1" thickBot="1" x14ac:dyDescent="0.3">
      <c r="A2291" s="28">
        <v>8.5042626241923394</v>
      </c>
      <c r="B2291" s="27">
        <v>0</v>
      </c>
      <c r="C2291" s="27">
        <v>16.3</v>
      </c>
      <c r="E2291" s="18"/>
    </row>
    <row r="2292" spans="1:5" ht="16.5" thickTop="1" thickBot="1" x14ac:dyDescent="0.3">
      <c r="A2292" s="28">
        <v>2.7171976653631926</v>
      </c>
      <c r="B2292" s="27">
        <v>0</v>
      </c>
      <c r="C2292" s="27">
        <v>16.3</v>
      </c>
      <c r="E2292" s="18"/>
    </row>
    <row r="2293" spans="1:5" ht="16.5" thickTop="1" thickBot="1" x14ac:dyDescent="0.3">
      <c r="A2293" s="28">
        <v>8.6097996893956701</v>
      </c>
      <c r="B2293" s="27">
        <v>0</v>
      </c>
      <c r="C2293" s="27">
        <v>16.3</v>
      </c>
      <c r="E2293" s="18"/>
    </row>
    <row r="2294" spans="1:5" ht="16.5" thickTop="1" thickBot="1" x14ac:dyDescent="0.3">
      <c r="A2294" s="28">
        <v>1.0560147585405075</v>
      </c>
      <c r="B2294" s="27">
        <v>0</v>
      </c>
      <c r="C2294" s="27">
        <v>16.3</v>
      </c>
      <c r="E2294" s="18"/>
    </row>
    <row r="2295" spans="1:5" ht="16.5" thickTop="1" thickBot="1" x14ac:dyDescent="0.3">
      <c r="A2295" s="28">
        <v>10.51005413893914</v>
      </c>
      <c r="B2295" s="27">
        <v>0</v>
      </c>
      <c r="C2295" s="27">
        <v>16.3</v>
      </c>
      <c r="E2295" s="18"/>
    </row>
    <row r="2296" spans="1:5" ht="16.5" thickTop="1" thickBot="1" x14ac:dyDescent="0.3">
      <c r="A2296" s="28">
        <v>2.602604850392193</v>
      </c>
      <c r="B2296" s="27">
        <v>0</v>
      </c>
      <c r="C2296" s="27">
        <v>16.3</v>
      </c>
      <c r="E2296" s="18"/>
    </row>
    <row r="2297" spans="1:5" ht="16.5" thickTop="1" thickBot="1" x14ac:dyDescent="0.3">
      <c r="A2297" s="28">
        <v>11.417705087691997</v>
      </c>
      <c r="B2297" s="27">
        <v>0</v>
      </c>
      <c r="C2297" s="27">
        <v>14.7</v>
      </c>
      <c r="E2297" s="18"/>
    </row>
    <row r="2298" spans="1:5" ht="16.5" thickTop="1" thickBot="1" x14ac:dyDescent="0.3">
      <c r="A2298" s="28">
        <v>5.9740023825475674</v>
      </c>
      <c r="B2298" s="27">
        <v>0</v>
      </c>
      <c r="C2298" s="27">
        <v>14.7</v>
      </c>
      <c r="E2298" s="18"/>
    </row>
    <row r="2299" spans="1:5" ht="16.5" thickTop="1" thickBot="1" x14ac:dyDescent="0.3">
      <c r="A2299" s="28">
        <v>9.2773693487597484</v>
      </c>
      <c r="B2299" s="27">
        <v>0</v>
      </c>
      <c r="C2299" s="27">
        <v>14.7</v>
      </c>
      <c r="E2299" s="18"/>
    </row>
    <row r="2300" spans="1:5" ht="16.5" thickTop="1" thickBot="1" x14ac:dyDescent="0.3">
      <c r="A2300" s="28">
        <v>1.0537169496836745</v>
      </c>
      <c r="B2300" s="27">
        <v>0</v>
      </c>
      <c r="C2300" s="27">
        <v>14.7</v>
      </c>
      <c r="E2300" s="18"/>
    </row>
    <row r="2301" spans="1:5" ht="16.5" thickTop="1" thickBot="1" x14ac:dyDescent="0.3">
      <c r="A2301" s="28">
        <v>2.0988440989004453</v>
      </c>
      <c r="B2301" s="27">
        <v>0</v>
      </c>
      <c r="C2301" s="27">
        <v>14.7</v>
      </c>
      <c r="E2301" s="18"/>
    </row>
    <row r="2302" spans="1:5" ht="16.5" thickTop="1" thickBot="1" x14ac:dyDescent="0.3">
      <c r="A2302" s="28">
        <v>5.3491383193058866</v>
      </c>
      <c r="B2302" s="27">
        <v>0</v>
      </c>
      <c r="C2302" s="27">
        <v>14.7</v>
      </c>
      <c r="E2302" s="18"/>
    </row>
    <row r="2303" spans="1:5" ht="16.5" thickTop="1" thickBot="1" x14ac:dyDescent="0.3">
      <c r="A2303" s="28">
        <v>3.9900916681979259</v>
      </c>
      <c r="B2303" s="27">
        <v>0</v>
      </c>
      <c r="C2303" s="27">
        <v>14.7</v>
      </c>
      <c r="E2303" s="18"/>
    </row>
    <row r="2304" spans="1:5" ht="16.5" thickTop="1" thickBot="1" x14ac:dyDescent="0.3">
      <c r="A2304" s="28">
        <v>3.080973649803711</v>
      </c>
      <c r="B2304" s="27">
        <v>0</v>
      </c>
      <c r="C2304" s="27">
        <v>14.7</v>
      </c>
      <c r="E2304" s="18"/>
    </row>
    <row r="2305" spans="1:5" ht="16.5" thickTop="1" thickBot="1" x14ac:dyDescent="0.3">
      <c r="A2305" s="28">
        <v>1.7113251020442379</v>
      </c>
      <c r="B2305" s="27">
        <v>0</v>
      </c>
      <c r="C2305" s="27">
        <v>14.7</v>
      </c>
      <c r="E2305" s="18"/>
    </row>
    <row r="2306" spans="1:5" ht="16.5" thickTop="1" thickBot="1" x14ac:dyDescent="0.3">
      <c r="A2306" s="28">
        <v>6.2166476809643001</v>
      </c>
      <c r="B2306" s="27">
        <v>0</v>
      </c>
      <c r="C2306" s="27">
        <v>14.7</v>
      </c>
      <c r="E2306" s="18"/>
    </row>
    <row r="2307" spans="1:5" ht="16.5" thickTop="1" thickBot="1" x14ac:dyDescent="0.3">
      <c r="A2307" s="28">
        <v>5.6085964093310832</v>
      </c>
      <c r="B2307" s="27">
        <v>0</v>
      </c>
      <c r="C2307" s="27">
        <v>14.7</v>
      </c>
      <c r="E2307" s="18"/>
    </row>
    <row r="2308" spans="1:5" ht="16.5" thickTop="1" thickBot="1" x14ac:dyDescent="0.3">
      <c r="A2308" s="28">
        <v>4.1337675256625781</v>
      </c>
      <c r="B2308" s="27">
        <v>0</v>
      </c>
      <c r="C2308" s="27">
        <v>14.7</v>
      </c>
      <c r="E2308" s="18"/>
    </row>
    <row r="2309" spans="1:5" ht="16.5" thickTop="1" thickBot="1" x14ac:dyDescent="0.3">
      <c r="A2309" s="28">
        <v>0.76800453592491102</v>
      </c>
      <c r="B2309" s="27">
        <v>0</v>
      </c>
      <c r="C2309" s="27">
        <v>14.7</v>
      </c>
      <c r="E2309" s="18"/>
    </row>
    <row r="2310" spans="1:5" ht="16.5" thickTop="1" thickBot="1" x14ac:dyDescent="0.3">
      <c r="A2310" s="28">
        <v>0.34810831019380417</v>
      </c>
      <c r="B2310" s="27">
        <v>0</v>
      </c>
      <c r="C2310" s="27">
        <v>14.7</v>
      </c>
      <c r="E2310" s="18"/>
    </row>
    <row r="2311" spans="1:5" ht="16.5" thickTop="1" thickBot="1" x14ac:dyDescent="0.3">
      <c r="A2311" s="28">
        <v>9.1752421781476752</v>
      </c>
      <c r="B2311" s="27">
        <v>0</v>
      </c>
      <c r="C2311" s="27">
        <v>14.7</v>
      </c>
      <c r="E2311" s="18"/>
    </row>
    <row r="2312" spans="1:5" ht="16.5" thickTop="1" thickBot="1" x14ac:dyDescent="0.3">
      <c r="A2312" s="28">
        <v>1.5556903516497271</v>
      </c>
      <c r="B2312" s="27">
        <v>0</v>
      </c>
      <c r="C2312" s="27">
        <v>14.7</v>
      </c>
      <c r="E2312" s="18"/>
    </row>
    <row r="2313" spans="1:5" ht="16.5" thickTop="1" thickBot="1" x14ac:dyDescent="0.3">
      <c r="A2313" s="28">
        <v>11.899262812996311</v>
      </c>
      <c r="B2313" s="27">
        <v>0</v>
      </c>
      <c r="C2313" s="27">
        <v>15.4</v>
      </c>
      <c r="E2313" s="18"/>
    </row>
    <row r="2314" spans="1:5" ht="16.5" thickTop="1" thickBot="1" x14ac:dyDescent="0.3">
      <c r="A2314" s="28">
        <v>4.9789972059464098</v>
      </c>
      <c r="B2314" s="27">
        <v>0</v>
      </c>
      <c r="C2314" s="27">
        <v>15.4</v>
      </c>
      <c r="E2314" s="18"/>
    </row>
    <row r="2315" spans="1:5" ht="16.5" thickTop="1" thickBot="1" x14ac:dyDescent="0.3">
      <c r="A2315" s="28">
        <v>9.9992695864389951</v>
      </c>
      <c r="B2315" s="27">
        <v>0</v>
      </c>
      <c r="C2315" s="27">
        <v>15.4</v>
      </c>
      <c r="E2315" s="18"/>
    </row>
    <row r="2316" spans="1:5" ht="16.5" thickTop="1" thickBot="1" x14ac:dyDescent="0.3">
      <c r="A2316" s="28">
        <v>4.2915828020302884</v>
      </c>
      <c r="B2316" s="27">
        <v>0</v>
      </c>
      <c r="C2316" s="27">
        <v>15.4</v>
      </c>
      <c r="E2316" s="18"/>
    </row>
    <row r="2317" spans="1:5" ht="16.5" thickTop="1" thickBot="1" x14ac:dyDescent="0.3">
      <c r="A2317" s="28">
        <v>10.575245459813191</v>
      </c>
      <c r="B2317" s="27">
        <v>0</v>
      </c>
      <c r="C2317" s="27">
        <v>15.4</v>
      </c>
      <c r="E2317" s="18"/>
    </row>
    <row r="2318" spans="1:5" ht="16.5" thickTop="1" thickBot="1" x14ac:dyDescent="0.3">
      <c r="A2318" s="28">
        <v>4.1965774034086358</v>
      </c>
      <c r="B2318" s="27">
        <v>0</v>
      </c>
      <c r="C2318" s="27">
        <v>15.4</v>
      </c>
      <c r="E2318" s="18"/>
    </row>
    <row r="2319" spans="1:5" ht="16.5" thickTop="1" thickBot="1" x14ac:dyDescent="0.3">
      <c r="A2319" s="28">
        <v>9.1175966880407042</v>
      </c>
      <c r="B2319" s="27">
        <v>0</v>
      </c>
      <c r="C2319" s="27">
        <v>15.4</v>
      </c>
      <c r="E2319" s="18"/>
    </row>
    <row r="2320" spans="1:5" ht="16.5" thickTop="1" thickBot="1" x14ac:dyDescent="0.3">
      <c r="A2320" s="28">
        <v>5.7124974293366364</v>
      </c>
      <c r="B2320" s="27">
        <v>0</v>
      </c>
      <c r="C2320" s="27">
        <v>15.4</v>
      </c>
      <c r="E2320" s="18"/>
    </row>
    <row r="2321" spans="1:5" ht="16.5" thickTop="1" thickBot="1" x14ac:dyDescent="0.3">
      <c r="A2321" s="28">
        <v>6.4853291398066935</v>
      </c>
      <c r="B2321" s="27">
        <v>0</v>
      </c>
      <c r="C2321" s="27">
        <v>15.4</v>
      </c>
      <c r="E2321" s="18"/>
    </row>
    <row r="2322" spans="1:5" ht="16.5" thickTop="1" thickBot="1" x14ac:dyDescent="0.3">
      <c r="A2322" s="28">
        <v>0.20649722870089038</v>
      </c>
      <c r="B2322" s="27">
        <v>0</v>
      </c>
      <c r="C2322" s="27">
        <v>15.4</v>
      </c>
      <c r="E2322" s="18"/>
    </row>
    <row r="2323" spans="1:5" ht="16.5" thickTop="1" thickBot="1" x14ac:dyDescent="0.3">
      <c r="A2323" s="28">
        <v>9.4031266880492499</v>
      </c>
      <c r="B2323" s="27">
        <v>0</v>
      </c>
      <c r="C2323" s="27">
        <v>15.4</v>
      </c>
      <c r="E2323" s="18"/>
    </row>
    <row r="2324" spans="1:5" ht="16.5" thickTop="1" thickBot="1" x14ac:dyDescent="0.3">
      <c r="A2324" s="28">
        <v>1.7443898029766538</v>
      </c>
      <c r="B2324" s="27">
        <v>0</v>
      </c>
      <c r="C2324" s="27">
        <v>15.4</v>
      </c>
      <c r="E2324" s="18"/>
    </row>
    <row r="2325" spans="1:5" ht="16.5" thickTop="1" thickBot="1" x14ac:dyDescent="0.3">
      <c r="A2325" s="28">
        <v>11.357620358443354</v>
      </c>
      <c r="B2325" s="27">
        <v>0</v>
      </c>
      <c r="C2325" s="27">
        <v>15.4</v>
      </c>
      <c r="E2325" s="18"/>
    </row>
    <row r="2326" spans="1:5" ht="16.5" thickTop="1" thickBot="1" x14ac:dyDescent="0.3">
      <c r="A2326" s="28">
        <v>1.697888944329097</v>
      </c>
      <c r="B2326" s="27">
        <v>0</v>
      </c>
      <c r="C2326" s="27">
        <v>15.4</v>
      </c>
      <c r="E2326" s="18"/>
    </row>
    <row r="2327" spans="1:5" ht="16.5" thickTop="1" thickBot="1" x14ac:dyDescent="0.3">
      <c r="A2327" s="28">
        <v>6.664428951757718</v>
      </c>
      <c r="B2327" s="27">
        <v>0</v>
      </c>
      <c r="C2327" s="27">
        <v>15.4</v>
      </c>
      <c r="E2327" s="18"/>
    </row>
    <row r="2328" spans="1:5" ht="16.5" thickTop="1" thickBot="1" x14ac:dyDescent="0.3">
      <c r="A2328" s="28">
        <v>6.8629689190802257</v>
      </c>
      <c r="B2328" s="27">
        <v>0</v>
      </c>
      <c r="C2328" s="27">
        <v>15.4</v>
      </c>
      <c r="E2328" s="18"/>
    </row>
    <row r="2329" spans="1:5" ht="16.5" thickTop="1" thickBot="1" x14ac:dyDescent="0.3">
      <c r="A2329" s="28">
        <v>7.8894574778460411</v>
      </c>
      <c r="B2329" s="27">
        <v>0</v>
      </c>
      <c r="C2329" s="27">
        <v>15.4</v>
      </c>
      <c r="E2329" s="18"/>
    </row>
    <row r="2330" spans="1:5" ht="16.5" thickTop="1" thickBot="1" x14ac:dyDescent="0.3">
      <c r="A2330" s="28">
        <v>4.5880085148637004</v>
      </c>
      <c r="B2330" s="27">
        <v>0</v>
      </c>
      <c r="C2330" s="27">
        <v>10.8</v>
      </c>
      <c r="E2330" s="18"/>
    </row>
    <row r="2331" spans="1:5" ht="16.5" thickTop="1" thickBot="1" x14ac:dyDescent="0.3">
      <c r="A2331" s="28">
        <v>11.773204669353564</v>
      </c>
      <c r="B2331" s="27">
        <v>0</v>
      </c>
      <c r="C2331" s="27">
        <v>10.8</v>
      </c>
      <c r="E2331" s="18"/>
    </row>
    <row r="2332" spans="1:5" ht="16.5" thickTop="1" thickBot="1" x14ac:dyDescent="0.3">
      <c r="A2332" s="28">
        <v>6.2712007751631482</v>
      </c>
      <c r="B2332" s="27">
        <v>0</v>
      </c>
      <c r="C2332" s="27">
        <v>10.8</v>
      </c>
      <c r="E2332" s="18"/>
    </row>
    <row r="2333" spans="1:5" ht="16.5" thickTop="1" thickBot="1" x14ac:dyDescent="0.3">
      <c r="A2333" s="28">
        <v>5.7789902711566175</v>
      </c>
      <c r="B2333" s="27">
        <v>0</v>
      </c>
      <c r="C2333" s="27">
        <v>10.8</v>
      </c>
      <c r="E2333" s="18"/>
    </row>
    <row r="2334" spans="1:5" ht="16.5" thickTop="1" thickBot="1" x14ac:dyDescent="0.3">
      <c r="A2334" s="28">
        <v>6.0737095798325926</v>
      </c>
      <c r="B2334" s="27">
        <v>0</v>
      </c>
      <c r="C2334" s="27">
        <v>10.8</v>
      </c>
      <c r="E2334" s="18"/>
    </row>
    <row r="2335" spans="1:5" ht="16.5" thickTop="1" thickBot="1" x14ac:dyDescent="0.3">
      <c r="A2335" s="28">
        <v>9.5706118265803113</v>
      </c>
      <c r="B2335" s="27">
        <v>0</v>
      </c>
      <c r="C2335" s="27">
        <v>10.8</v>
      </c>
      <c r="E2335" s="18"/>
    </row>
    <row r="2336" spans="1:5" ht="16.5" thickTop="1" thickBot="1" x14ac:dyDescent="0.3">
      <c r="A2336" s="28">
        <v>4.9214243702823532</v>
      </c>
      <c r="B2336" s="27">
        <v>0</v>
      </c>
      <c r="C2336" s="27">
        <v>10.8</v>
      </c>
      <c r="E2336" s="18"/>
    </row>
    <row r="2337" spans="1:5" ht="16.5" thickTop="1" thickBot="1" x14ac:dyDescent="0.3">
      <c r="A2337" s="28">
        <v>4.3748801192510385</v>
      </c>
      <c r="B2337" s="27">
        <v>0</v>
      </c>
      <c r="C2337" s="27">
        <v>10.8</v>
      </c>
      <c r="E2337" s="18"/>
    </row>
    <row r="2338" spans="1:5" ht="16.5" thickTop="1" thickBot="1" x14ac:dyDescent="0.3">
      <c r="A2338" s="28">
        <v>5.8488543257599557E-2</v>
      </c>
      <c r="B2338" s="27">
        <v>0</v>
      </c>
      <c r="C2338" s="27">
        <v>10.8</v>
      </c>
      <c r="E2338" s="18"/>
    </row>
    <row r="2339" spans="1:5" ht="16.5" thickTop="1" thickBot="1" x14ac:dyDescent="0.3">
      <c r="A2339" s="28">
        <v>8.9837227956754582</v>
      </c>
      <c r="B2339" s="27">
        <v>0</v>
      </c>
      <c r="C2339" s="27">
        <v>10.8</v>
      </c>
      <c r="E2339" s="18"/>
    </row>
    <row r="2340" spans="1:5" ht="16.5" thickTop="1" thickBot="1" x14ac:dyDescent="0.3">
      <c r="A2340" s="28">
        <v>6.8135892761217232</v>
      </c>
      <c r="B2340" s="27">
        <v>0</v>
      </c>
      <c r="C2340" s="27">
        <v>10.8</v>
      </c>
      <c r="E2340" s="18"/>
    </row>
    <row r="2341" spans="1:5" ht="16.5" thickTop="1" thickBot="1" x14ac:dyDescent="0.3">
      <c r="A2341" s="28">
        <v>11.688505817965625</v>
      </c>
      <c r="B2341" s="27">
        <v>0</v>
      </c>
      <c r="C2341" s="27">
        <v>10.8</v>
      </c>
      <c r="E2341" s="18"/>
    </row>
    <row r="2342" spans="1:5" ht="16.5" thickTop="1" thickBot="1" x14ac:dyDescent="0.3">
      <c r="A2342" s="28">
        <v>5.8598992154129403</v>
      </c>
      <c r="B2342" s="27">
        <v>0</v>
      </c>
      <c r="C2342" s="27">
        <v>10.8</v>
      </c>
      <c r="E2342" s="18"/>
    </row>
    <row r="2343" spans="1:5" ht="16.5" thickTop="1" thickBot="1" x14ac:dyDescent="0.3">
      <c r="A2343" s="28">
        <v>4.6870383249550773</v>
      </c>
      <c r="B2343" s="27">
        <v>0</v>
      </c>
      <c r="C2343" s="27">
        <v>10.8</v>
      </c>
      <c r="E2343" s="18"/>
    </row>
    <row r="2344" spans="1:5" ht="16.5" thickTop="1" thickBot="1" x14ac:dyDescent="0.3">
      <c r="A2344" s="28">
        <v>4.8642476605098786</v>
      </c>
      <c r="B2344" s="27">
        <v>0</v>
      </c>
      <c r="C2344" s="27">
        <v>10.8</v>
      </c>
      <c r="E2344" s="18"/>
    </row>
    <row r="2345" spans="1:5" ht="16.5" thickTop="1" thickBot="1" x14ac:dyDescent="0.3">
      <c r="A2345" s="28">
        <v>9.5353868191441151</v>
      </c>
      <c r="B2345" s="27">
        <v>0</v>
      </c>
      <c r="C2345" s="27">
        <v>10.8</v>
      </c>
      <c r="E2345" s="18"/>
    </row>
    <row r="2346" spans="1:5" ht="16.5" thickTop="1" thickBot="1" x14ac:dyDescent="0.3">
      <c r="A2346" s="28">
        <v>0.47934730573561612</v>
      </c>
      <c r="B2346" s="27">
        <v>0</v>
      </c>
      <c r="C2346" s="27">
        <v>10.8</v>
      </c>
      <c r="E2346" s="18"/>
    </row>
    <row r="2347" spans="1:5" ht="16.5" thickTop="1" thickBot="1" x14ac:dyDescent="0.3">
      <c r="A2347" s="28">
        <v>0.4048284232094268</v>
      </c>
      <c r="B2347" s="27">
        <v>0</v>
      </c>
      <c r="C2347" s="27">
        <v>19.100000000000001</v>
      </c>
      <c r="E2347" s="18"/>
    </row>
    <row r="2348" spans="1:5" ht="16.5" thickTop="1" thickBot="1" x14ac:dyDescent="0.3">
      <c r="A2348" s="28">
        <v>2.3957025141593888</v>
      </c>
      <c r="B2348" s="27">
        <v>0</v>
      </c>
      <c r="C2348" s="27">
        <v>19.100000000000001</v>
      </c>
      <c r="E2348" s="18"/>
    </row>
    <row r="2349" spans="1:5" ht="16.5" thickTop="1" thickBot="1" x14ac:dyDescent="0.3">
      <c r="A2349" s="28">
        <v>0.47850200895395245</v>
      </c>
      <c r="B2349" s="27">
        <v>0</v>
      </c>
      <c r="C2349" s="27">
        <v>19.100000000000001</v>
      </c>
      <c r="E2349" s="18"/>
    </row>
    <row r="2350" spans="1:5" ht="16.5" thickTop="1" thickBot="1" x14ac:dyDescent="0.3">
      <c r="A2350" s="28">
        <v>3.4908868734128768</v>
      </c>
      <c r="B2350" s="27">
        <v>0</v>
      </c>
      <c r="C2350" s="27">
        <v>19.100000000000001</v>
      </c>
      <c r="E2350" s="18"/>
    </row>
    <row r="2351" spans="1:5" ht="16.5" thickTop="1" thickBot="1" x14ac:dyDescent="0.3">
      <c r="A2351" s="28">
        <v>4.9170306012288263</v>
      </c>
      <c r="B2351" s="27">
        <v>0</v>
      </c>
      <c r="C2351" s="27">
        <v>19.100000000000001</v>
      </c>
      <c r="E2351" s="18"/>
    </row>
    <row r="2352" spans="1:5" ht="16.5" thickTop="1" thickBot="1" x14ac:dyDescent="0.3">
      <c r="A2352" s="28">
        <v>3.5548367850844169</v>
      </c>
      <c r="B2352" s="27">
        <v>0</v>
      </c>
      <c r="C2352" s="27">
        <v>19.100000000000001</v>
      </c>
      <c r="E2352" s="18"/>
    </row>
    <row r="2353" spans="1:5" ht="16.5" thickTop="1" thickBot="1" x14ac:dyDescent="0.3">
      <c r="A2353" s="28">
        <v>5.7614327691101153</v>
      </c>
      <c r="B2353" s="27">
        <v>0</v>
      </c>
      <c r="C2353" s="27">
        <v>19.100000000000001</v>
      </c>
      <c r="E2353" s="18"/>
    </row>
    <row r="2354" spans="1:5" ht="16.5" thickTop="1" thickBot="1" x14ac:dyDescent="0.3">
      <c r="A2354" s="28">
        <v>6.9700216396363777</v>
      </c>
      <c r="B2354" s="27">
        <v>0</v>
      </c>
      <c r="C2354" s="27">
        <v>19.100000000000001</v>
      </c>
      <c r="E2354" s="18"/>
    </row>
    <row r="2355" spans="1:5" ht="16.5" thickTop="1" thickBot="1" x14ac:dyDescent="0.3">
      <c r="A2355" s="28">
        <v>4.3335720992912323</v>
      </c>
      <c r="B2355" s="27">
        <v>0</v>
      </c>
      <c r="C2355" s="27">
        <v>19.100000000000001</v>
      </c>
      <c r="E2355" s="18"/>
    </row>
    <row r="2356" spans="1:5" ht="16.5" thickTop="1" thickBot="1" x14ac:dyDescent="0.3">
      <c r="A2356" s="28">
        <v>6.1359395491239361</v>
      </c>
      <c r="B2356" s="27">
        <v>0</v>
      </c>
      <c r="C2356" s="27">
        <v>19.100000000000001</v>
      </c>
      <c r="E2356" s="18"/>
    </row>
    <row r="2357" spans="1:5" ht="16.5" thickTop="1" thickBot="1" x14ac:dyDescent="0.3">
      <c r="A2357" s="28">
        <v>8.5338454211250188</v>
      </c>
      <c r="B2357" s="27">
        <v>0</v>
      </c>
      <c r="C2357" s="27">
        <v>19.100000000000001</v>
      </c>
      <c r="E2357" s="18"/>
    </row>
    <row r="2358" spans="1:5" ht="16.5" thickTop="1" thickBot="1" x14ac:dyDescent="0.3">
      <c r="A2358" s="28">
        <v>3.7009601201994804</v>
      </c>
      <c r="B2358" s="27">
        <v>0</v>
      </c>
      <c r="C2358" s="27">
        <v>19.100000000000001</v>
      </c>
      <c r="E2358" s="18"/>
    </row>
    <row r="2359" spans="1:5" ht="16.5" thickTop="1" thickBot="1" x14ac:dyDescent="0.3">
      <c r="A2359" s="28">
        <v>4.1948717224471714</v>
      </c>
      <c r="B2359" s="27">
        <v>0</v>
      </c>
      <c r="C2359" s="27">
        <v>19.100000000000001</v>
      </c>
      <c r="E2359" s="18"/>
    </row>
    <row r="2360" spans="1:5" ht="16.5" thickTop="1" thickBot="1" x14ac:dyDescent="0.3">
      <c r="A2360" s="28">
        <v>1.6089535603302327</v>
      </c>
      <c r="B2360" s="27">
        <v>0</v>
      </c>
      <c r="C2360" s="27">
        <v>19.100000000000001</v>
      </c>
      <c r="E2360" s="18"/>
    </row>
    <row r="2361" spans="1:5" ht="16.5" thickTop="1" thickBot="1" x14ac:dyDescent="0.3">
      <c r="A2361" s="28">
        <v>1.6785208288585669</v>
      </c>
      <c r="B2361" s="27">
        <v>0</v>
      </c>
      <c r="C2361" s="27">
        <v>19.100000000000001</v>
      </c>
      <c r="E2361" s="18"/>
    </row>
    <row r="2362" spans="1:5" ht="16.5" thickTop="1" thickBot="1" x14ac:dyDescent="0.3">
      <c r="A2362" s="28">
        <v>2.013652673540423</v>
      </c>
      <c r="B2362" s="27">
        <v>0</v>
      </c>
      <c r="C2362" s="27">
        <v>19.100000000000001</v>
      </c>
      <c r="E2362" s="18"/>
    </row>
    <row r="2363" spans="1:5" ht="16.5" thickTop="1" thickBot="1" x14ac:dyDescent="0.3">
      <c r="A2363" s="28">
        <v>3.85770475993206</v>
      </c>
      <c r="B2363" s="27">
        <v>0</v>
      </c>
      <c r="C2363" s="27">
        <v>19.100000000000001</v>
      </c>
      <c r="E2363" s="18"/>
    </row>
    <row r="2364" spans="1:5" ht="16.5" thickTop="1" thickBot="1" x14ac:dyDescent="0.3">
      <c r="A2364" s="28">
        <v>5.5796004825393215</v>
      </c>
      <c r="B2364" s="27">
        <v>0</v>
      </c>
      <c r="C2364" s="27">
        <v>13.1</v>
      </c>
      <c r="E2364" s="18"/>
    </row>
    <row r="2365" spans="1:5" ht="16.5" thickTop="1" thickBot="1" x14ac:dyDescent="0.3">
      <c r="A2365" s="28">
        <v>3.9716617825542375</v>
      </c>
      <c r="B2365" s="27">
        <v>0</v>
      </c>
      <c r="C2365" s="27">
        <v>13.1</v>
      </c>
      <c r="E2365" s="18"/>
    </row>
    <row r="2366" spans="1:5" ht="16.5" thickTop="1" thickBot="1" x14ac:dyDescent="0.3">
      <c r="A2366" s="28">
        <v>5.7310659687436463</v>
      </c>
      <c r="B2366" s="27">
        <v>0</v>
      </c>
      <c r="C2366" s="27">
        <v>13.1</v>
      </c>
      <c r="E2366" s="18"/>
    </row>
    <row r="2367" spans="1:5" ht="16.5" thickTop="1" thickBot="1" x14ac:dyDescent="0.3">
      <c r="A2367" s="28">
        <v>2.4557672864147939</v>
      </c>
      <c r="B2367" s="27">
        <v>0</v>
      </c>
      <c r="C2367" s="27">
        <v>13.1</v>
      </c>
      <c r="E2367" s="18"/>
    </row>
    <row r="2368" spans="1:5" ht="16.5" thickTop="1" thickBot="1" x14ac:dyDescent="0.3">
      <c r="A2368" s="28">
        <v>5.9893166591508278</v>
      </c>
      <c r="B2368" s="27">
        <v>0</v>
      </c>
      <c r="C2368" s="27">
        <v>13.1</v>
      </c>
      <c r="E2368" s="18"/>
    </row>
    <row r="2369" spans="1:5" ht="16.5" thickTop="1" thickBot="1" x14ac:dyDescent="0.3">
      <c r="A2369" s="28">
        <v>0.28937565421548506</v>
      </c>
      <c r="B2369" s="27">
        <v>0</v>
      </c>
      <c r="C2369" s="27">
        <v>13.1</v>
      </c>
      <c r="E2369" s="18"/>
    </row>
    <row r="2370" spans="1:5" ht="16.5" thickTop="1" thickBot="1" x14ac:dyDescent="0.3">
      <c r="A2370" s="28">
        <v>3.763876370512893</v>
      </c>
      <c r="B2370" s="27">
        <v>0</v>
      </c>
      <c r="C2370" s="27">
        <v>13.1</v>
      </c>
      <c r="E2370" s="18"/>
    </row>
    <row r="2371" spans="1:5" ht="16.5" thickTop="1" thickBot="1" x14ac:dyDescent="0.3">
      <c r="A2371" s="28">
        <v>9.4868581765402151</v>
      </c>
      <c r="B2371" s="27">
        <v>0</v>
      </c>
      <c r="C2371" s="27">
        <v>13.1</v>
      </c>
      <c r="E2371" s="18"/>
    </row>
    <row r="2372" spans="1:5" ht="16.5" thickTop="1" thickBot="1" x14ac:dyDescent="0.3">
      <c r="A2372" s="28">
        <v>2.5808908823941534</v>
      </c>
      <c r="B2372" s="27">
        <v>0</v>
      </c>
      <c r="C2372" s="27">
        <v>13.1</v>
      </c>
      <c r="E2372" s="18"/>
    </row>
    <row r="2373" spans="1:5" ht="16.5" thickTop="1" thickBot="1" x14ac:dyDescent="0.3">
      <c r="A2373" s="28">
        <v>4.7987681698567446</v>
      </c>
      <c r="B2373" s="27">
        <v>0</v>
      </c>
      <c r="C2373" s="27">
        <v>13.1</v>
      </c>
      <c r="E2373" s="18"/>
    </row>
    <row r="2374" spans="1:5" ht="16.5" thickTop="1" thickBot="1" x14ac:dyDescent="0.3">
      <c r="A2374" s="28">
        <v>2.5645681448349569</v>
      </c>
      <c r="B2374" s="27">
        <v>0</v>
      </c>
      <c r="C2374" s="27">
        <v>13.1</v>
      </c>
      <c r="E2374" s="18"/>
    </row>
    <row r="2375" spans="1:5" ht="16.5" thickTop="1" thickBot="1" x14ac:dyDescent="0.3">
      <c r="A2375" s="28">
        <v>0.82526001862346421</v>
      </c>
      <c r="B2375" s="27">
        <v>0</v>
      </c>
      <c r="C2375" s="27">
        <v>13.1</v>
      </c>
      <c r="E2375" s="18"/>
    </row>
    <row r="2376" spans="1:5" ht="16.5" thickTop="1" thickBot="1" x14ac:dyDescent="0.3">
      <c r="A2376" s="28">
        <v>1.0359895084624073</v>
      </c>
      <c r="B2376" s="27">
        <v>0</v>
      </c>
      <c r="C2376" s="27">
        <v>13.1</v>
      </c>
      <c r="E2376" s="18"/>
    </row>
    <row r="2377" spans="1:5" ht="16.5" thickTop="1" thickBot="1" x14ac:dyDescent="0.3">
      <c r="A2377" s="28">
        <v>4.2992392085761377</v>
      </c>
      <c r="B2377" s="27">
        <v>0</v>
      </c>
      <c r="C2377" s="27">
        <v>13.1</v>
      </c>
      <c r="E2377" s="18"/>
    </row>
    <row r="2378" spans="1:5" ht="16.5" thickTop="1" thickBot="1" x14ac:dyDescent="0.3">
      <c r="A2378" s="28">
        <v>1.1258377424999009</v>
      </c>
      <c r="B2378" s="27">
        <v>0</v>
      </c>
      <c r="C2378" s="27">
        <v>13.1</v>
      </c>
      <c r="E2378" s="18"/>
    </row>
    <row r="2379" spans="1:5" ht="16.5" thickTop="1" thickBot="1" x14ac:dyDescent="0.3">
      <c r="A2379" s="28">
        <v>9.1832514815752528</v>
      </c>
      <c r="B2379" s="27">
        <v>0</v>
      </c>
      <c r="C2379" s="27">
        <v>13.1</v>
      </c>
      <c r="E2379" s="18"/>
    </row>
    <row r="2380" spans="1:5" ht="16.5" thickTop="1" thickBot="1" x14ac:dyDescent="0.3">
      <c r="A2380" s="28">
        <v>3.7204778464987278</v>
      </c>
      <c r="B2380" s="27">
        <v>0</v>
      </c>
      <c r="C2380" s="27">
        <v>13.1</v>
      </c>
      <c r="E2380" s="18"/>
    </row>
    <row r="2381" spans="1:5" ht="16.5" thickTop="1" thickBot="1" x14ac:dyDescent="0.3">
      <c r="A2381" s="28">
        <v>9.4775453874706805</v>
      </c>
      <c r="B2381" s="27">
        <v>0</v>
      </c>
      <c r="C2381" s="27">
        <v>12.7</v>
      </c>
      <c r="E2381" s="18"/>
    </row>
    <row r="2382" spans="1:5" ht="16.5" thickTop="1" thickBot="1" x14ac:dyDescent="0.3">
      <c r="A2382" s="28">
        <v>4.4856411823962574</v>
      </c>
      <c r="B2382" s="27">
        <v>0</v>
      </c>
      <c r="C2382" s="27">
        <v>12.7</v>
      </c>
      <c r="E2382" s="18"/>
    </row>
    <row r="2383" spans="1:5" ht="16.5" thickTop="1" thickBot="1" x14ac:dyDescent="0.3">
      <c r="A2383" s="28">
        <v>0.7516239700678331</v>
      </c>
      <c r="B2383" s="27">
        <v>0</v>
      </c>
      <c r="C2383" s="27">
        <v>12.7</v>
      </c>
      <c r="E2383" s="18"/>
    </row>
    <row r="2384" spans="1:5" ht="16.5" thickTop="1" thickBot="1" x14ac:dyDescent="0.3">
      <c r="A2384" s="28">
        <v>4.6286059154994819</v>
      </c>
      <c r="B2384" s="27">
        <v>0</v>
      </c>
      <c r="C2384" s="27">
        <v>12.7</v>
      </c>
      <c r="E2384" s="18"/>
    </row>
    <row r="2385" spans="1:5" ht="16.5" thickTop="1" thickBot="1" x14ac:dyDescent="0.3">
      <c r="A2385" s="28">
        <v>2.0333050236733712</v>
      </c>
      <c r="B2385" s="27">
        <v>0</v>
      </c>
      <c r="C2385" s="27">
        <v>12.7</v>
      </c>
      <c r="E2385" s="18"/>
    </row>
    <row r="2386" spans="1:5" ht="16.5" thickTop="1" thickBot="1" x14ac:dyDescent="0.3">
      <c r="A2386" s="28">
        <v>3.9235491512519505</v>
      </c>
      <c r="B2386" s="27">
        <v>0</v>
      </c>
      <c r="C2386" s="27">
        <v>12.7</v>
      </c>
      <c r="E2386" s="18"/>
    </row>
    <row r="2387" spans="1:5" ht="16.5" thickTop="1" thickBot="1" x14ac:dyDescent="0.3">
      <c r="A2387" s="28">
        <v>5.9964822723404136</v>
      </c>
      <c r="B2387" s="27">
        <v>0</v>
      </c>
      <c r="C2387" s="27">
        <v>12.7</v>
      </c>
      <c r="E2387" s="18"/>
    </row>
    <row r="2388" spans="1:5" ht="16.5" thickTop="1" thickBot="1" x14ac:dyDescent="0.3">
      <c r="A2388" s="28">
        <v>3.2828692055247752</v>
      </c>
      <c r="B2388" s="27">
        <v>0</v>
      </c>
      <c r="C2388" s="27">
        <v>12.7</v>
      </c>
      <c r="E2388" s="18"/>
    </row>
    <row r="2389" spans="1:5" ht="16.5" thickTop="1" thickBot="1" x14ac:dyDescent="0.3">
      <c r="A2389" s="28">
        <v>3.3871053043083466</v>
      </c>
      <c r="B2389" s="27">
        <v>0</v>
      </c>
      <c r="C2389" s="27">
        <v>12.7</v>
      </c>
      <c r="E2389" s="18"/>
    </row>
    <row r="2390" spans="1:5" ht="16.5" thickTop="1" thickBot="1" x14ac:dyDescent="0.3">
      <c r="A2390" s="28">
        <v>2.0337178708466275</v>
      </c>
      <c r="B2390" s="27">
        <v>0</v>
      </c>
      <c r="C2390" s="27">
        <v>12.7</v>
      </c>
      <c r="E2390" s="18"/>
    </row>
    <row r="2391" spans="1:5" ht="16.5" thickTop="1" thickBot="1" x14ac:dyDescent="0.3">
      <c r="A2391" s="28">
        <v>1.6768094603312735</v>
      </c>
      <c r="B2391" s="27">
        <v>0</v>
      </c>
      <c r="C2391" s="27">
        <v>12.7</v>
      </c>
      <c r="E2391" s="18"/>
    </row>
    <row r="2392" spans="1:5" ht="16.5" thickTop="1" thickBot="1" x14ac:dyDescent="0.3">
      <c r="A2392" s="28">
        <v>5.9834211755404647</v>
      </c>
      <c r="B2392" s="27">
        <v>0</v>
      </c>
      <c r="C2392" s="27">
        <v>12.7</v>
      </c>
      <c r="E2392" s="18"/>
    </row>
    <row r="2393" spans="1:5" ht="16.5" thickTop="1" thickBot="1" x14ac:dyDescent="0.3">
      <c r="A2393" s="28">
        <v>2.6036394238275955</v>
      </c>
      <c r="B2393" s="27">
        <v>0</v>
      </c>
      <c r="C2393" s="27">
        <v>12.7</v>
      </c>
      <c r="E2393" s="18"/>
    </row>
    <row r="2394" spans="1:5" ht="16.5" thickTop="1" thickBot="1" x14ac:dyDescent="0.3">
      <c r="A2394" s="28">
        <v>5.5093532685328164</v>
      </c>
      <c r="B2394" s="27">
        <v>0</v>
      </c>
      <c r="C2394" s="27">
        <v>12.7</v>
      </c>
      <c r="E2394" s="18"/>
    </row>
    <row r="2395" spans="1:5" ht="16.5" thickTop="1" thickBot="1" x14ac:dyDescent="0.3">
      <c r="A2395" s="28">
        <v>11.248636055891005</v>
      </c>
      <c r="B2395" s="27">
        <v>0</v>
      </c>
      <c r="C2395" s="27">
        <v>12.7</v>
      </c>
      <c r="E2395" s="18"/>
    </row>
    <row r="2396" spans="1:5" ht="16.5" thickTop="1" thickBot="1" x14ac:dyDescent="0.3">
      <c r="A2396" s="28">
        <v>0.75879924141739596</v>
      </c>
      <c r="B2396" s="27">
        <v>0</v>
      </c>
      <c r="C2396" s="27">
        <v>12.7</v>
      </c>
      <c r="E2396" s="18"/>
    </row>
    <row r="2397" spans="1:5" ht="16.5" thickTop="1" thickBot="1" x14ac:dyDescent="0.3">
      <c r="A2397" s="28">
        <v>2.8643735664651966</v>
      </c>
      <c r="B2397" s="27">
        <v>0</v>
      </c>
      <c r="C2397" s="27">
        <v>6.9</v>
      </c>
      <c r="E2397" s="18"/>
    </row>
    <row r="2398" spans="1:5" ht="16.5" thickTop="1" thickBot="1" x14ac:dyDescent="0.3">
      <c r="A2398" s="28">
        <v>5.1670323827564886</v>
      </c>
      <c r="B2398" s="27">
        <v>0</v>
      </c>
      <c r="C2398" s="27">
        <v>6.9</v>
      </c>
      <c r="E2398" s="18"/>
    </row>
    <row r="2399" spans="1:5" ht="16.5" thickTop="1" thickBot="1" x14ac:dyDescent="0.3">
      <c r="A2399" s="28">
        <v>4.9704545303511747</v>
      </c>
      <c r="B2399" s="27">
        <v>0</v>
      </c>
      <c r="C2399" s="27">
        <v>6.9</v>
      </c>
      <c r="E2399" s="18"/>
    </row>
    <row r="2400" spans="1:5" ht="16.5" thickTop="1" thickBot="1" x14ac:dyDescent="0.3">
      <c r="A2400" s="28">
        <v>3.9693260074615044</v>
      </c>
      <c r="B2400" s="27">
        <v>0</v>
      </c>
      <c r="C2400" s="27">
        <v>6.9</v>
      </c>
      <c r="E2400" s="18"/>
    </row>
    <row r="2401" spans="1:5" ht="16.5" thickTop="1" thickBot="1" x14ac:dyDescent="0.3">
      <c r="A2401" s="28">
        <v>10.15027690735398</v>
      </c>
      <c r="B2401" s="27">
        <v>0</v>
      </c>
      <c r="C2401" s="27">
        <v>6.9</v>
      </c>
      <c r="E2401" s="18"/>
    </row>
    <row r="2402" spans="1:5" ht="16.5" thickTop="1" thickBot="1" x14ac:dyDescent="0.3">
      <c r="A2402" s="28">
        <v>6.6662389468802372</v>
      </c>
      <c r="B2402" s="27">
        <v>0</v>
      </c>
      <c r="C2402" s="27">
        <v>6.9</v>
      </c>
      <c r="E2402" s="18"/>
    </row>
    <row r="2403" spans="1:5" ht="16.5" thickTop="1" thickBot="1" x14ac:dyDescent="0.3">
      <c r="A2403" s="28">
        <v>6.367006359330639</v>
      </c>
      <c r="B2403" s="27">
        <v>0</v>
      </c>
      <c r="C2403" s="27">
        <v>6.9</v>
      </c>
      <c r="E2403" s="18"/>
    </row>
    <row r="2404" spans="1:5" ht="16.5" thickTop="1" thickBot="1" x14ac:dyDescent="0.3">
      <c r="A2404" s="28">
        <v>1.6190115427556568</v>
      </c>
      <c r="B2404" s="27">
        <v>0</v>
      </c>
      <c r="C2404" s="27">
        <v>6.9</v>
      </c>
      <c r="E2404" s="18"/>
    </row>
    <row r="2405" spans="1:5" ht="16.5" thickTop="1" thickBot="1" x14ac:dyDescent="0.3">
      <c r="A2405" s="28">
        <v>4.0036823765601612</v>
      </c>
      <c r="B2405" s="27">
        <v>0</v>
      </c>
      <c r="C2405" s="27">
        <v>6.9</v>
      </c>
      <c r="E2405" s="18"/>
    </row>
    <row r="2406" spans="1:5" ht="16.5" thickTop="1" thickBot="1" x14ac:dyDescent="0.3">
      <c r="A2406" s="28">
        <v>0.46068881394189209</v>
      </c>
      <c r="B2406" s="27">
        <v>0</v>
      </c>
      <c r="C2406" s="27">
        <v>6.9</v>
      </c>
      <c r="E2406" s="18"/>
    </row>
    <row r="2407" spans="1:5" ht="16.5" thickTop="1" thickBot="1" x14ac:dyDescent="0.3">
      <c r="A2407" s="28">
        <v>7.1111510609708457</v>
      </c>
      <c r="B2407" s="27">
        <v>0</v>
      </c>
      <c r="C2407" s="27">
        <v>6.9</v>
      </c>
      <c r="E2407" s="18"/>
    </row>
    <row r="2408" spans="1:5" ht="16.5" thickTop="1" thickBot="1" x14ac:dyDescent="0.3">
      <c r="A2408" s="28">
        <v>2.480010576554017</v>
      </c>
      <c r="B2408" s="27">
        <v>0</v>
      </c>
      <c r="C2408" s="27">
        <v>6.9</v>
      </c>
      <c r="E2408" s="18"/>
    </row>
    <row r="2409" spans="1:5" ht="16.5" thickTop="1" thickBot="1" x14ac:dyDescent="0.3">
      <c r="A2409" s="28">
        <v>6.2387250621022083</v>
      </c>
      <c r="B2409" s="27">
        <v>0</v>
      </c>
      <c r="C2409" s="27">
        <v>6.9</v>
      </c>
      <c r="E2409" s="18"/>
    </row>
    <row r="2410" spans="1:5" ht="16.5" thickTop="1" thickBot="1" x14ac:dyDescent="0.3">
      <c r="A2410" s="28">
        <v>6.7252928882087959</v>
      </c>
      <c r="B2410" s="27">
        <v>0</v>
      </c>
      <c r="C2410" s="27">
        <v>6.9</v>
      </c>
      <c r="E2410" s="18"/>
    </row>
    <row r="2411" spans="1:5" ht="16.5" thickTop="1" thickBot="1" x14ac:dyDescent="0.3">
      <c r="A2411" s="28">
        <v>10.892251712427452</v>
      </c>
      <c r="B2411" s="27">
        <v>0</v>
      </c>
      <c r="C2411" s="27">
        <v>6.9</v>
      </c>
      <c r="E2411" s="18"/>
    </row>
    <row r="2412" spans="1:5" ht="16.5" thickTop="1" thickBot="1" x14ac:dyDescent="0.3">
      <c r="A2412" s="28">
        <v>1.1776705955074167</v>
      </c>
      <c r="B2412" s="27">
        <v>0</v>
      </c>
      <c r="C2412" s="27">
        <v>6.9</v>
      </c>
      <c r="E2412" s="18"/>
    </row>
    <row r="2413" spans="1:5" ht="16.5" thickTop="1" thickBot="1" x14ac:dyDescent="0.3">
      <c r="A2413" s="28">
        <v>6.0960204084292027</v>
      </c>
      <c r="B2413" s="27">
        <v>0</v>
      </c>
      <c r="C2413" s="27">
        <v>25.2</v>
      </c>
      <c r="E2413" s="18"/>
    </row>
    <row r="2414" spans="1:5" ht="16.5" thickTop="1" thickBot="1" x14ac:dyDescent="0.3">
      <c r="A2414" s="28">
        <v>2.5473450030346094</v>
      </c>
      <c r="B2414" s="27">
        <v>0</v>
      </c>
      <c r="C2414" s="27">
        <v>25.2</v>
      </c>
      <c r="E2414" s="18"/>
    </row>
    <row r="2415" spans="1:5" ht="16.5" thickTop="1" thickBot="1" x14ac:dyDescent="0.3">
      <c r="A2415" s="28">
        <v>11.017905756635429</v>
      </c>
      <c r="B2415" s="27">
        <v>0</v>
      </c>
      <c r="C2415" s="27">
        <v>25.2</v>
      </c>
      <c r="E2415" s="18"/>
    </row>
    <row r="2416" spans="1:5" ht="16.5" thickTop="1" thickBot="1" x14ac:dyDescent="0.3">
      <c r="A2416" s="28">
        <v>1.1629862111045066</v>
      </c>
      <c r="B2416" s="27">
        <v>0</v>
      </c>
      <c r="C2416" s="27">
        <v>25.2</v>
      </c>
      <c r="E2416" s="18"/>
    </row>
    <row r="2417" spans="1:5" ht="16.5" thickTop="1" thickBot="1" x14ac:dyDescent="0.3">
      <c r="A2417" s="28">
        <v>5.0207091868480083</v>
      </c>
      <c r="B2417" s="27">
        <v>0</v>
      </c>
      <c r="C2417" s="27">
        <v>25.2</v>
      </c>
      <c r="E2417" s="18"/>
    </row>
    <row r="2418" spans="1:5" ht="16.5" thickTop="1" thickBot="1" x14ac:dyDescent="0.3">
      <c r="A2418" s="28">
        <v>0.26119790158325484</v>
      </c>
      <c r="B2418" s="27">
        <v>0</v>
      </c>
      <c r="C2418" s="27">
        <v>25.2</v>
      </c>
      <c r="E2418" s="18"/>
    </row>
    <row r="2419" spans="1:5" ht="16.5" thickTop="1" thickBot="1" x14ac:dyDescent="0.3">
      <c r="A2419" s="28">
        <v>2.3341498637040186</v>
      </c>
      <c r="B2419" s="27">
        <v>0</v>
      </c>
      <c r="C2419" s="27">
        <v>25.2</v>
      </c>
      <c r="E2419" s="18"/>
    </row>
    <row r="2420" spans="1:5" ht="16.5" thickTop="1" thickBot="1" x14ac:dyDescent="0.3">
      <c r="A2420" s="28">
        <v>2.2464126631679981</v>
      </c>
      <c r="B2420" s="27">
        <v>0</v>
      </c>
      <c r="C2420" s="27">
        <v>25.2</v>
      </c>
      <c r="E2420" s="18"/>
    </row>
    <row r="2421" spans="1:5" ht="16.5" thickTop="1" thickBot="1" x14ac:dyDescent="0.3">
      <c r="A2421" s="28">
        <v>11.647519192988883</v>
      </c>
      <c r="B2421" s="27">
        <v>0</v>
      </c>
      <c r="C2421" s="27">
        <v>25.2</v>
      </c>
      <c r="E2421" s="18"/>
    </row>
    <row r="2422" spans="1:5" ht="16.5" thickTop="1" thickBot="1" x14ac:dyDescent="0.3">
      <c r="A2422" s="28">
        <v>4.5760592137481311</v>
      </c>
      <c r="B2422" s="27">
        <v>0</v>
      </c>
      <c r="C2422" s="27">
        <v>25.2</v>
      </c>
      <c r="E2422" s="18"/>
    </row>
    <row r="2423" spans="1:5" ht="16.5" thickTop="1" thickBot="1" x14ac:dyDescent="0.3">
      <c r="A2423" s="28">
        <v>2.6372408548501829</v>
      </c>
      <c r="B2423" s="27">
        <v>0</v>
      </c>
      <c r="C2423" s="27">
        <v>25.2</v>
      </c>
      <c r="E2423" s="18"/>
    </row>
    <row r="2424" spans="1:5" ht="16.5" thickTop="1" thickBot="1" x14ac:dyDescent="0.3">
      <c r="A2424" s="28">
        <v>2.8491574078353747</v>
      </c>
      <c r="B2424" s="27">
        <v>0</v>
      </c>
      <c r="C2424" s="27">
        <v>25.2</v>
      </c>
      <c r="E2424" s="18"/>
    </row>
    <row r="2425" spans="1:5" ht="16.5" thickTop="1" thickBot="1" x14ac:dyDescent="0.3">
      <c r="A2425" s="28">
        <v>3.6217461505232205</v>
      </c>
      <c r="B2425" s="27">
        <v>0</v>
      </c>
      <c r="C2425" s="27">
        <v>25.2</v>
      </c>
      <c r="E2425" s="18"/>
    </row>
    <row r="2426" spans="1:5" ht="16.5" thickTop="1" thickBot="1" x14ac:dyDescent="0.3">
      <c r="A2426" s="28">
        <v>0.94483347281362873</v>
      </c>
      <c r="B2426" s="27">
        <v>0</v>
      </c>
      <c r="C2426" s="27">
        <v>25.2</v>
      </c>
      <c r="E2426" s="18"/>
    </row>
    <row r="2427" spans="1:5" ht="16.5" thickTop="1" thickBot="1" x14ac:dyDescent="0.3">
      <c r="A2427" s="28">
        <v>2.6500019801160404</v>
      </c>
      <c r="B2427" s="27">
        <v>0</v>
      </c>
      <c r="C2427" s="27">
        <v>25.2</v>
      </c>
      <c r="E2427" s="18"/>
    </row>
    <row r="2428" spans="1:5" ht="16.5" thickTop="1" thickBot="1" x14ac:dyDescent="0.3">
      <c r="A2428" s="28">
        <v>6.8922922276299268</v>
      </c>
      <c r="B2428" s="27">
        <v>0</v>
      </c>
      <c r="C2428" s="27">
        <v>25.2</v>
      </c>
      <c r="E2428" s="18"/>
    </row>
    <row r="2429" spans="1:5" ht="16.5" thickTop="1" thickBot="1" x14ac:dyDescent="0.3">
      <c r="A2429" s="28">
        <v>8.7908618894581423</v>
      </c>
      <c r="B2429" s="27">
        <v>0</v>
      </c>
      <c r="C2429" s="27">
        <v>25.2</v>
      </c>
      <c r="E2429" s="18"/>
    </row>
    <row r="2430" spans="1:5" ht="16.5" thickTop="1" thickBot="1" x14ac:dyDescent="0.3">
      <c r="A2430" s="28">
        <v>2.5520443240416872</v>
      </c>
      <c r="B2430" s="27">
        <v>0</v>
      </c>
      <c r="C2430" s="27">
        <v>12.5</v>
      </c>
      <c r="E2430" s="18"/>
    </row>
    <row r="2431" spans="1:5" ht="16.5" thickTop="1" thickBot="1" x14ac:dyDescent="0.3">
      <c r="A2431" s="28">
        <v>1.0613876299709446E-2</v>
      </c>
      <c r="B2431" s="27">
        <v>0</v>
      </c>
      <c r="C2431" s="27">
        <v>12.5</v>
      </c>
      <c r="E2431" s="18"/>
    </row>
    <row r="2432" spans="1:5" ht="16.5" thickTop="1" thickBot="1" x14ac:dyDescent="0.3">
      <c r="A2432" s="28">
        <v>6.6249315660167474</v>
      </c>
      <c r="B2432" s="27">
        <v>0</v>
      </c>
      <c r="C2432" s="27">
        <v>12.5</v>
      </c>
      <c r="E2432" s="18"/>
    </row>
    <row r="2433" spans="1:5" ht="16.5" thickTop="1" thickBot="1" x14ac:dyDescent="0.3">
      <c r="A2433" s="28">
        <v>2.0016366689306113</v>
      </c>
      <c r="B2433" s="27">
        <v>0</v>
      </c>
      <c r="C2433" s="27">
        <v>12.5</v>
      </c>
      <c r="E2433" s="18"/>
    </row>
    <row r="2434" spans="1:5" ht="16.5" thickTop="1" thickBot="1" x14ac:dyDescent="0.3">
      <c r="A2434" s="28">
        <v>3.4506247428730319</v>
      </c>
      <c r="B2434" s="27">
        <v>0</v>
      </c>
      <c r="C2434" s="27">
        <v>12.5</v>
      </c>
      <c r="E2434" s="18"/>
    </row>
    <row r="2435" spans="1:5" ht="16.5" thickTop="1" thickBot="1" x14ac:dyDescent="0.3">
      <c r="A2435" s="28">
        <v>7.2611482980258906</v>
      </c>
      <c r="B2435" s="27">
        <v>0</v>
      </c>
      <c r="C2435" s="27">
        <v>12.5</v>
      </c>
      <c r="E2435" s="18"/>
    </row>
    <row r="2436" spans="1:5" ht="16.5" thickTop="1" thickBot="1" x14ac:dyDescent="0.3">
      <c r="A2436" s="28">
        <v>4.5421345135486559</v>
      </c>
      <c r="B2436" s="27">
        <v>0</v>
      </c>
      <c r="C2436" s="27">
        <v>12.5</v>
      </c>
      <c r="E2436" s="18"/>
    </row>
    <row r="2437" spans="1:5" ht="16.5" thickTop="1" thickBot="1" x14ac:dyDescent="0.3">
      <c r="A2437" s="28">
        <v>1.7946700798776458</v>
      </c>
      <c r="B2437" s="27">
        <v>0</v>
      </c>
      <c r="C2437" s="27">
        <v>12.5</v>
      </c>
      <c r="E2437" s="18"/>
    </row>
    <row r="2438" spans="1:5" ht="16.5" thickTop="1" thickBot="1" x14ac:dyDescent="0.3">
      <c r="A2438" s="28">
        <v>1.9948820795139302</v>
      </c>
      <c r="B2438" s="27">
        <v>0</v>
      </c>
      <c r="C2438" s="27">
        <v>12.5</v>
      </c>
      <c r="E2438" s="18"/>
    </row>
    <row r="2439" spans="1:5" ht="16.5" thickTop="1" thickBot="1" x14ac:dyDescent="0.3">
      <c r="A2439" s="28">
        <v>2.9055713866094908</v>
      </c>
      <c r="B2439" s="27">
        <v>0</v>
      </c>
      <c r="C2439" s="27">
        <v>12.5</v>
      </c>
      <c r="E2439" s="18"/>
    </row>
    <row r="2440" spans="1:5" ht="16.5" thickTop="1" thickBot="1" x14ac:dyDescent="0.3">
      <c r="A2440" s="28">
        <v>1.8376096662519856</v>
      </c>
      <c r="B2440" s="27">
        <v>0</v>
      </c>
      <c r="C2440" s="27">
        <v>12.5</v>
      </c>
      <c r="E2440" s="18"/>
    </row>
    <row r="2441" spans="1:5" ht="16.5" thickTop="1" thickBot="1" x14ac:dyDescent="0.3">
      <c r="A2441" s="28">
        <v>11.105733010667562</v>
      </c>
      <c r="B2441" s="27">
        <v>0</v>
      </c>
      <c r="C2441" s="27">
        <v>12.5</v>
      </c>
      <c r="E2441" s="18"/>
    </row>
    <row r="2442" spans="1:5" ht="16.5" thickTop="1" thickBot="1" x14ac:dyDescent="0.3">
      <c r="A2442" s="28">
        <v>6.8893277197439193</v>
      </c>
      <c r="B2442" s="27">
        <v>0</v>
      </c>
      <c r="C2442" s="27">
        <v>12.5</v>
      </c>
      <c r="E2442" s="18"/>
    </row>
    <row r="2443" spans="1:5" ht="16.5" thickTop="1" thickBot="1" x14ac:dyDescent="0.3">
      <c r="A2443" s="28">
        <v>7.9603108758944678</v>
      </c>
      <c r="B2443" s="27">
        <v>0</v>
      </c>
      <c r="C2443" s="27">
        <v>12.5</v>
      </c>
      <c r="E2443" s="18"/>
    </row>
    <row r="2444" spans="1:5" ht="16.5" thickTop="1" thickBot="1" x14ac:dyDescent="0.3">
      <c r="A2444" s="28">
        <v>6.9701146302635104</v>
      </c>
      <c r="B2444" s="27">
        <v>0</v>
      </c>
      <c r="C2444" s="27">
        <v>12.5</v>
      </c>
      <c r="E2444" s="18"/>
    </row>
    <row r="2445" spans="1:5" ht="16.5" thickTop="1" thickBot="1" x14ac:dyDescent="0.3">
      <c r="A2445" s="28">
        <v>0.92526263879863002</v>
      </c>
      <c r="B2445" s="27">
        <v>0</v>
      </c>
      <c r="C2445" s="27">
        <v>12.5</v>
      </c>
      <c r="E2445" s="18"/>
    </row>
    <row r="2446" spans="1:5" ht="16.5" thickTop="1" thickBot="1" x14ac:dyDescent="0.3">
      <c r="A2446" s="28">
        <v>0.41706054473799625</v>
      </c>
      <c r="B2446" s="27">
        <v>0</v>
      </c>
      <c r="C2446" s="27">
        <v>12.5</v>
      </c>
      <c r="E2446" s="18"/>
    </row>
    <row r="2447" spans="1:5" ht="16.5" thickTop="1" thickBot="1" x14ac:dyDescent="0.3">
      <c r="A2447" s="28">
        <v>4.7923205497657957</v>
      </c>
      <c r="B2447" s="27">
        <v>0</v>
      </c>
      <c r="C2447" s="27">
        <v>11.1</v>
      </c>
      <c r="E2447" s="18"/>
    </row>
    <row r="2448" spans="1:5" ht="16.5" thickTop="1" thickBot="1" x14ac:dyDescent="0.3">
      <c r="A2448" s="28">
        <v>3.1893871364575066</v>
      </c>
      <c r="B2448" s="27">
        <v>0</v>
      </c>
      <c r="C2448" s="27">
        <v>11.1</v>
      </c>
      <c r="E2448" s="18"/>
    </row>
    <row r="2449" spans="1:5" ht="16.5" thickTop="1" thickBot="1" x14ac:dyDescent="0.3">
      <c r="A2449" s="28">
        <v>1.4126204505323452</v>
      </c>
      <c r="B2449" s="27">
        <v>0</v>
      </c>
      <c r="C2449" s="27">
        <v>11.1</v>
      </c>
      <c r="E2449" s="18"/>
    </row>
    <row r="2450" spans="1:5" ht="16.5" thickTop="1" thickBot="1" x14ac:dyDescent="0.3">
      <c r="A2450" s="28">
        <v>5.3426597326315353</v>
      </c>
      <c r="B2450" s="27">
        <v>0</v>
      </c>
      <c r="C2450" s="27">
        <v>11.1</v>
      </c>
      <c r="E2450" s="18"/>
    </row>
    <row r="2451" spans="1:5" ht="16.5" thickTop="1" thickBot="1" x14ac:dyDescent="0.3">
      <c r="A2451" s="28">
        <v>7.6953583657470723</v>
      </c>
      <c r="B2451" s="27">
        <v>0</v>
      </c>
      <c r="C2451" s="27">
        <v>11.1</v>
      </c>
      <c r="E2451" s="18"/>
    </row>
    <row r="2452" spans="1:5" ht="16.5" thickTop="1" thickBot="1" x14ac:dyDescent="0.3">
      <c r="A2452" s="28">
        <v>6.8129747995523662</v>
      </c>
      <c r="B2452" s="27">
        <v>0</v>
      </c>
      <c r="C2452" s="27">
        <v>11.1</v>
      </c>
      <c r="E2452" s="18"/>
    </row>
    <row r="2453" spans="1:5" ht="16.5" thickTop="1" thickBot="1" x14ac:dyDescent="0.3">
      <c r="A2453" s="28">
        <v>3.9349343166234991</v>
      </c>
      <c r="B2453" s="27">
        <v>0</v>
      </c>
      <c r="C2453" s="27">
        <v>11.1</v>
      </c>
      <c r="E2453" s="18"/>
    </row>
    <row r="2454" spans="1:5" ht="16.5" thickTop="1" thickBot="1" x14ac:dyDescent="0.3">
      <c r="A2454" s="28">
        <v>0.51588694157000436</v>
      </c>
      <c r="B2454" s="27">
        <v>0</v>
      </c>
      <c r="C2454" s="27">
        <v>11.1</v>
      </c>
      <c r="E2454" s="18"/>
    </row>
    <row r="2455" spans="1:5" ht="16.5" thickTop="1" thickBot="1" x14ac:dyDescent="0.3">
      <c r="A2455" s="28">
        <v>3.9364373483467467</v>
      </c>
      <c r="B2455" s="27">
        <v>0</v>
      </c>
      <c r="C2455" s="27">
        <v>11.1</v>
      </c>
      <c r="E2455" s="18"/>
    </row>
    <row r="2456" spans="1:5" ht="16.5" thickTop="1" thickBot="1" x14ac:dyDescent="0.3">
      <c r="A2456" s="28">
        <v>6.7572367820053838</v>
      </c>
      <c r="B2456" s="27">
        <v>0</v>
      </c>
      <c r="C2456" s="27">
        <v>11.1</v>
      </c>
      <c r="E2456" s="18"/>
    </row>
    <row r="2457" spans="1:5" ht="16.5" thickTop="1" thickBot="1" x14ac:dyDescent="0.3">
      <c r="A2457" s="28">
        <v>11.243486189714652</v>
      </c>
      <c r="B2457" s="27">
        <v>0</v>
      </c>
      <c r="C2457" s="27">
        <v>11.1</v>
      </c>
      <c r="E2457" s="18"/>
    </row>
    <row r="2458" spans="1:5" ht="16.5" thickTop="1" thickBot="1" x14ac:dyDescent="0.3">
      <c r="A2458" s="28">
        <v>3.4120198172862071</v>
      </c>
      <c r="B2458" s="27">
        <v>0</v>
      </c>
      <c r="C2458" s="27">
        <v>11.1</v>
      </c>
      <c r="E2458" s="18"/>
    </row>
    <row r="2459" spans="1:5" ht="16.5" thickTop="1" thickBot="1" x14ac:dyDescent="0.3">
      <c r="A2459" s="28">
        <v>1.2843959842307693</v>
      </c>
      <c r="B2459" s="27">
        <v>0</v>
      </c>
      <c r="C2459" s="27">
        <v>11.1</v>
      </c>
      <c r="E2459" s="18"/>
    </row>
    <row r="2460" spans="1:5" ht="16.5" thickTop="1" thickBot="1" x14ac:dyDescent="0.3">
      <c r="A2460" s="28">
        <v>1.2849052657301518</v>
      </c>
      <c r="B2460" s="27">
        <v>0</v>
      </c>
      <c r="C2460" s="27">
        <v>11.1</v>
      </c>
      <c r="E2460" s="18"/>
    </row>
    <row r="2461" spans="1:5" ht="16.5" thickTop="1" thickBot="1" x14ac:dyDescent="0.3">
      <c r="A2461" s="28">
        <v>6.9058883890506042</v>
      </c>
      <c r="B2461" s="27">
        <v>0</v>
      </c>
      <c r="C2461" s="27">
        <v>11.1</v>
      </c>
      <c r="E2461" s="18"/>
    </row>
    <row r="2462" spans="1:5" ht="16.5" thickTop="1" thickBot="1" x14ac:dyDescent="0.3">
      <c r="A2462" s="28">
        <v>4.5288523901277831</v>
      </c>
      <c r="B2462" s="27">
        <v>0</v>
      </c>
      <c r="C2462" s="27">
        <v>13.6</v>
      </c>
      <c r="E2462" s="18"/>
    </row>
    <row r="2463" spans="1:5" ht="16.5" thickTop="1" thickBot="1" x14ac:dyDescent="0.3">
      <c r="A2463" s="28">
        <v>0.40166177064194519</v>
      </c>
      <c r="B2463" s="27">
        <v>0</v>
      </c>
      <c r="C2463" s="27">
        <v>13.6</v>
      </c>
      <c r="E2463" s="18"/>
    </row>
    <row r="2464" spans="1:5" ht="16.5" thickTop="1" thickBot="1" x14ac:dyDescent="0.3">
      <c r="A2464" s="28">
        <v>0.32012576023767358</v>
      </c>
      <c r="B2464" s="27">
        <v>0</v>
      </c>
      <c r="C2464" s="27">
        <v>13.6</v>
      </c>
      <c r="E2464" s="18"/>
    </row>
    <row r="2465" spans="1:5" ht="16.5" thickTop="1" thickBot="1" x14ac:dyDescent="0.3">
      <c r="A2465" s="28">
        <v>6.4886763264575489</v>
      </c>
      <c r="B2465" s="27">
        <v>0</v>
      </c>
      <c r="C2465" s="27">
        <v>13.6</v>
      </c>
      <c r="E2465" s="18"/>
    </row>
    <row r="2466" spans="1:5" ht="16.5" thickTop="1" thickBot="1" x14ac:dyDescent="0.3">
      <c r="A2466" s="28">
        <v>5.7302839881298455</v>
      </c>
      <c r="B2466" s="27">
        <v>0</v>
      </c>
      <c r="C2466" s="27">
        <v>13.6</v>
      </c>
      <c r="E2466" s="18"/>
    </row>
    <row r="2467" spans="1:5" ht="16.5" thickTop="1" thickBot="1" x14ac:dyDescent="0.3">
      <c r="A2467" s="28">
        <v>5.4367512632948927</v>
      </c>
      <c r="B2467" s="27">
        <v>0</v>
      </c>
      <c r="C2467" s="27">
        <v>13.6</v>
      </c>
      <c r="E2467" s="18"/>
    </row>
    <row r="2468" spans="1:5" ht="16.5" thickTop="1" thickBot="1" x14ac:dyDescent="0.3">
      <c r="A2468" s="28">
        <v>4.1350613744023752</v>
      </c>
      <c r="B2468" s="27">
        <v>0</v>
      </c>
      <c r="C2468" s="27">
        <v>13.6</v>
      </c>
      <c r="E2468" s="18"/>
    </row>
    <row r="2469" spans="1:5" ht="16.5" thickTop="1" thickBot="1" x14ac:dyDescent="0.3">
      <c r="A2469" s="28">
        <v>7.5264551364189458</v>
      </c>
      <c r="B2469" s="27">
        <v>0</v>
      </c>
      <c r="C2469" s="27">
        <v>13.6</v>
      </c>
      <c r="E2469" s="18"/>
    </row>
    <row r="2470" spans="1:5" ht="16.5" thickTop="1" thickBot="1" x14ac:dyDescent="0.3">
      <c r="A2470" s="28">
        <v>3.7632020592791111</v>
      </c>
      <c r="B2470" s="27">
        <v>0</v>
      </c>
      <c r="C2470" s="27">
        <v>13.6</v>
      </c>
      <c r="E2470" s="18"/>
    </row>
    <row r="2471" spans="1:5" ht="16.5" thickTop="1" thickBot="1" x14ac:dyDescent="0.3">
      <c r="A2471" s="28">
        <v>6.5519193477365354</v>
      </c>
      <c r="B2471" s="27">
        <v>0</v>
      </c>
      <c r="C2471" s="27">
        <v>13.6</v>
      </c>
      <c r="E2471" s="18"/>
    </row>
    <row r="2472" spans="1:5" ht="16.5" thickTop="1" thickBot="1" x14ac:dyDescent="0.3">
      <c r="A2472" s="28">
        <v>3.284070450253497</v>
      </c>
      <c r="B2472" s="27">
        <v>0</v>
      </c>
      <c r="C2472" s="27">
        <v>13.6</v>
      </c>
      <c r="E2472" s="18"/>
    </row>
    <row r="2473" spans="1:5" ht="16.5" thickTop="1" thickBot="1" x14ac:dyDescent="0.3">
      <c r="A2473" s="28">
        <v>11.750702556561274</v>
      </c>
      <c r="B2473" s="27">
        <v>0</v>
      </c>
      <c r="C2473" s="27">
        <v>13.6</v>
      </c>
      <c r="E2473" s="18"/>
    </row>
    <row r="2474" spans="1:5" ht="16.5" thickTop="1" thickBot="1" x14ac:dyDescent="0.3">
      <c r="A2474" s="28">
        <v>6.8400281925967628</v>
      </c>
      <c r="B2474" s="27">
        <v>0</v>
      </c>
      <c r="C2474" s="27">
        <v>13.6</v>
      </c>
      <c r="E2474" s="18"/>
    </row>
    <row r="2475" spans="1:5" ht="16.5" thickTop="1" thickBot="1" x14ac:dyDescent="0.3">
      <c r="A2475" s="28">
        <v>0.7364665210868897</v>
      </c>
      <c r="B2475" s="27">
        <v>0</v>
      </c>
      <c r="C2475" s="27">
        <v>13.6</v>
      </c>
      <c r="E2475" s="18"/>
    </row>
    <row r="2476" spans="1:5" ht="16.5" thickTop="1" thickBot="1" x14ac:dyDescent="0.3">
      <c r="A2476" s="28">
        <v>5.3019542092455332</v>
      </c>
      <c r="B2476" s="27">
        <v>0</v>
      </c>
      <c r="C2476" s="27">
        <v>13.6</v>
      </c>
      <c r="E2476" s="18"/>
    </row>
    <row r="2477" spans="1:5" ht="16.5" thickTop="1" thickBot="1" x14ac:dyDescent="0.3">
      <c r="A2477" s="28">
        <v>11.852717118629695</v>
      </c>
      <c r="B2477" s="27">
        <v>0</v>
      </c>
      <c r="C2477" s="27">
        <v>17.7</v>
      </c>
      <c r="E2477" s="18"/>
    </row>
    <row r="2478" spans="1:5" ht="16.5" thickTop="1" thickBot="1" x14ac:dyDescent="0.3">
      <c r="A2478" s="28">
        <v>1.869402161709274</v>
      </c>
      <c r="B2478" s="27">
        <v>0</v>
      </c>
      <c r="C2478" s="27">
        <v>17.7</v>
      </c>
      <c r="E2478" s="18"/>
    </row>
    <row r="2479" spans="1:5" ht="16.5" thickTop="1" thickBot="1" x14ac:dyDescent="0.3">
      <c r="A2479" s="28">
        <v>8.4795808615509749</v>
      </c>
      <c r="B2479" s="27">
        <v>0</v>
      </c>
      <c r="C2479" s="27">
        <v>17.7</v>
      </c>
      <c r="E2479" s="18"/>
    </row>
    <row r="2480" spans="1:5" ht="16.5" thickTop="1" thickBot="1" x14ac:dyDescent="0.3">
      <c r="A2480" s="28">
        <v>1.0847980094094085</v>
      </c>
      <c r="B2480" s="27">
        <v>0</v>
      </c>
      <c r="C2480" s="27">
        <v>17.7</v>
      </c>
      <c r="E2480" s="18"/>
    </row>
    <row r="2481" spans="1:5" ht="16.5" thickTop="1" thickBot="1" x14ac:dyDescent="0.3">
      <c r="A2481" s="28">
        <v>8.0198972811422298</v>
      </c>
      <c r="B2481" s="27">
        <v>0</v>
      </c>
      <c r="C2481" s="27">
        <v>17.7</v>
      </c>
      <c r="E2481" s="18"/>
    </row>
    <row r="2482" spans="1:5" ht="16.5" thickTop="1" thickBot="1" x14ac:dyDescent="0.3">
      <c r="A2482" s="28">
        <v>2.8590643713873365</v>
      </c>
      <c r="B2482" s="27">
        <v>0</v>
      </c>
      <c r="C2482" s="27">
        <v>17.7</v>
      </c>
      <c r="E2482" s="18"/>
    </row>
    <row r="2483" spans="1:5" ht="16.5" thickTop="1" thickBot="1" x14ac:dyDescent="0.3">
      <c r="A2483" s="28">
        <v>5.8515469661538155</v>
      </c>
      <c r="B2483" s="27">
        <v>0</v>
      </c>
      <c r="C2483" s="27">
        <v>17.7</v>
      </c>
      <c r="E2483" s="18"/>
    </row>
    <row r="2484" spans="1:5" ht="16.5" thickTop="1" thickBot="1" x14ac:dyDescent="0.3">
      <c r="A2484" s="28">
        <v>6.9134540668637303</v>
      </c>
      <c r="B2484" s="27">
        <v>0</v>
      </c>
      <c r="C2484" s="27">
        <v>17.7</v>
      </c>
      <c r="E2484" s="18"/>
    </row>
    <row r="2485" spans="1:5" ht="16.5" thickTop="1" thickBot="1" x14ac:dyDescent="0.3">
      <c r="A2485" s="28">
        <v>7.4999142755809025</v>
      </c>
      <c r="B2485" s="27">
        <v>0</v>
      </c>
      <c r="C2485" s="27">
        <v>17.7</v>
      </c>
      <c r="E2485" s="18"/>
    </row>
    <row r="2486" spans="1:5" ht="16.5" thickTop="1" thickBot="1" x14ac:dyDescent="0.3">
      <c r="A2486" s="28">
        <v>5.0181028616949517</v>
      </c>
      <c r="B2486" s="27">
        <v>0</v>
      </c>
      <c r="C2486" s="27">
        <v>17.7</v>
      </c>
      <c r="E2486" s="18"/>
    </row>
    <row r="2487" spans="1:5" ht="16.5" thickTop="1" thickBot="1" x14ac:dyDescent="0.3">
      <c r="A2487" s="28">
        <v>0.14960632847953592</v>
      </c>
      <c r="B2487" s="27">
        <v>0</v>
      </c>
      <c r="C2487" s="27">
        <v>17.7</v>
      </c>
      <c r="E2487" s="18"/>
    </row>
    <row r="2488" spans="1:5" ht="16.5" thickTop="1" thickBot="1" x14ac:dyDescent="0.3">
      <c r="A2488" s="28">
        <v>4.7877621414171738</v>
      </c>
      <c r="B2488" s="27">
        <v>0</v>
      </c>
      <c r="C2488" s="27">
        <v>17.7</v>
      </c>
      <c r="E2488" s="18"/>
    </row>
    <row r="2489" spans="1:5" ht="16.5" thickTop="1" thickBot="1" x14ac:dyDescent="0.3">
      <c r="A2489" s="28">
        <v>1.3228162914964101</v>
      </c>
      <c r="B2489" s="27">
        <v>0</v>
      </c>
      <c r="C2489" s="27">
        <v>17.7</v>
      </c>
      <c r="E2489" s="18"/>
    </row>
    <row r="2490" spans="1:5" ht="16.5" thickTop="1" thickBot="1" x14ac:dyDescent="0.3">
      <c r="A2490" s="28">
        <v>4.4278923464522739</v>
      </c>
      <c r="B2490" s="27">
        <v>0</v>
      </c>
      <c r="C2490" s="27">
        <v>17.7</v>
      </c>
      <c r="E2490" s="18"/>
    </row>
    <row r="2491" spans="1:5" ht="16.5" thickTop="1" thickBot="1" x14ac:dyDescent="0.3">
      <c r="A2491" s="28">
        <v>8.2093365022665203</v>
      </c>
      <c r="B2491" s="27">
        <v>0</v>
      </c>
      <c r="C2491" s="27">
        <v>17.7</v>
      </c>
      <c r="E2491" s="18"/>
    </row>
    <row r="2492" spans="1:5" ht="16.5" thickTop="1" thickBot="1" x14ac:dyDescent="0.3">
      <c r="A2492" s="28">
        <v>3.2131137300849177</v>
      </c>
      <c r="B2492" s="27">
        <v>0</v>
      </c>
      <c r="C2492" s="27">
        <v>17.7</v>
      </c>
      <c r="E2492" s="18"/>
    </row>
    <row r="2493" spans="1:5" ht="16.5" thickTop="1" thickBot="1" x14ac:dyDescent="0.3">
      <c r="A2493" s="28">
        <v>11.216860886290144</v>
      </c>
      <c r="B2493" s="27">
        <v>0</v>
      </c>
      <c r="C2493" s="27">
        <v>10.9</v>
      </c>
      <c r="E2493" s="18"/>
    </row>
    <row r="2494" spans="1:5" ht="16.5" thickTop="1" thickBot="1" x14ac:dyDescent="0.3">
      <c r="A2494" s="28">
        <v>4.1083064420011892</v>
      </c>
      <c r="B2494" s="27">
        <v>0</v>
      </c>
      <c r="C2494" s="27">
        <v>10.9</v>
      </c>
      <c r="E2494" s="18"/>
    </row>
    <row r="2495" spans="1:5" ht="16.5" thickTop="1" thickBot="1" x14ac:dyDescent="0.3">
      <c r="A2495" s="28">
        <v>11.546207298478215</v>
      </c>
      <c r="B2495" s="27">
        <v>0</v>
      </c>
      <c r="C2495" s="27">
        <v>10.9</v>
      </c>
      <c r="E2495" s="18"/>
    </row>
    <row r="2496" spans="1:5" ht="16.5" thickTop="1" thickBot="1" x14ac:dyDescent="0.3">
      <c r="A2496" s="28">
        <v>6.8774934664526324</v>
      </c>
      <c r="B2496" s="27">
        <v>0</v>
      </c>
      <c r="C2496" s="27">
        <v>10.9</v>
      </c>
      <c r="E2496" s="18"/>
    </row>
    <row r="2497" spans="1:5" ht="16.5" thickTop="1" thickBot="1" x14ac:dyDescent="0.3">
      <c r="A2497" s="28">
        <v>9.8665979837294966</v>
      </c>
      <c r="B2497" s="27">
        <v>0</v>
      </c>
      <c r="C2497" s="27">
        <v>10.9</v>
      </c>
      <c r="E2497" s="18"/>
    </row>
    <row r="2498" spans="1:5" ht="16.5" thickTop="1" thickBot="1" x14ac:dyDescent="0.3">
      <c r="A2498" s="28">
        <v>4.5386038240341628</v>
      </c>
      <c r="B2498" s="27">
        <v>0</v>
      </c>
      <c r="C2498" s="27">
        <v>10.9</v>
      </c>
      <c r="E2498" s="18"/>
    </row>
    <row r="2499" spans="1:5" ht="16.5" thickTop="1" thickBot="1" x14ac:dyDescent="0.3">
      <c r="A2499" s="28">
        <v>9.7363100571250421</v>
      </c>
      <c r="B2499" s="27">
        <v>0</v>
      </c>
      <c r="C2499" s="27">
        <v>10.9</v>
      </c>
      <c r="E2499" s="18"/>
    </row>
    <row r="2500" spans="1:5" ht="16.5" thickTop="1" thickBot="1" x14ac:dyDescent="0.3">
      <c r="A2500" s="28">
        <v>5.7329681190198567</v>
      </c>
      <c r="B2500" s="27">
        <v>0</v>
      </c>
      <c r="C2500" s="27">
        <v>10.9</v>
      </c>
      <c r="E2500" s="18"/>
    </row>
    <row r="2501" spans="1:5" ht="16.5" thickTop="1" thickBot="1" x14ac:dyDescent="0.3">
      <c r="A2501" s="28">
        <v>10.313165271844564</v>
      </c>
      <c r="B2501" s="27">
        <v>0</v>
      </c>
      <c r="C2501" s="27">
        <v>10.9</v>
      </c>
      <c r="E2501" s="18"/>
    </row>
    <row r="2502" spans="1:5" ht="16.5" thickTop="1" thickBot="1" x14ac:dyDescent="0.3">
      <c r="A2502" s="28">
        <v>2.4165911350528853</v>
      </c>
      <c r="B2502" s="27">
        <v>0</v>
      </c>
      <c r="C2502" s="27">
        <v>10.9</v>
      </c>
      <c r="E2502" s="18"/>
    </row>
    <row r="2503" spans="1:5" ht="16.5" thickTop="1" thickBot="1" x14ac:dyDescent="0.3">
      <c r="A2503" s="28">
        <v>11.931038847412076</v>
      </c>
      <c r="B2503" s="27">
        <v>0</v>
      </c>
      <c r="C2503" s="27">
        <v>10.9</v>
      </c>
      <c r="E2503" s="18"/>
    </row>
    <row r="2504" spans="1:5" ht="16.5" thickTop="1" thickBot="1" x14ac:dyDescent="0.3">
      <c r="A2504" s="28">
        <v>0.879677371654635</v>
      </c>
      <c r="B2504" s="27">
        <v>0</v>
      </c>
      <c r="C2504" s="27">
        <v>10.9</v>
      </c>
      <c r="E2504" s="18"/>
    </row>
    <row r="2505" spans="1:5" ht="16.5" thickTop="1" thickBot="1" x14ac:dyDescent="0.3">
      <c r="A2505" s="28">
        <v>11.565686811700029</v>
      </c>
      <c r="B2505" s="27">
        <v>0</v>
      </c>
      <c r="C2505" s="27">
        <v>10.9</v>
      </c>
      <c r="E2505" s="18"/>
    </row>
    <row r="2506" spans="1:5" ht="16.5" thickTop="1" thickBot="1" x14ac:dyDescent="0.3">
      <c r="A2506" s="28">
        <v>6.9640611507727979</v>
      </c>
      <c r="B2506" s="27">
        <v>0</v>
      </c>
      <c r="C2506" s="27">
        <v>10.9</v>
      </c>
      <c r="E2506" s="18"/>
    </row>
    <row r="2507" spans="1:5" ht="16.5" thickTop="1" thickBot="1" x14ac:dyDescent="0.3">
      <c r="A2507" s="28">
        <v>9.0710885563960097</v>
      </c>
      <c r="B2507" s="27">
        <v>0</v>
      </c>
      <c r="C2507" s="27">
        <v>10.9</v>
      </c>
      <c r="E2507" s="18"/>
    </row>
    <row r="2508" spans="1:5" ht="16.5" thickTop="1" thickBot="1" x14ac:dyDescent="0.3">
      <c r="A2508" s="28">
        <v>1.0612630955908435</v>
      </c>
      <c r="B2508" s="27">
        <v>0</v>
      </c>
      <c r="C2508" s="27">
        <v>10.9</v>
      </c>
      <c r="E2508" s="18"/>
    </row>
    <row r="2509" spans="1:5" ht="16.5" thickTop="1" thickBot="1" x14ac:dyDescent="0.3">
      <c r="A2509" s="28">
        <v>7.3779360458706353</v>
      </c>
      <c r="B2509" s="27">
        <v>0</v>
      </c>
      <c r="C2509" s="27">
        <v>10.9</v>
      </c>
      <c r="E2509" s="18"/>
    </row>
    <row r="2510" spans="1:5" ht="16.5" thickTop="1" thickBot="1" x14ac:dyDescent="0.3">
      <c r="A2510" s="28">
        <v>6.6595460952289303</v>
      </c>
      <c r="B2510" s="27">
        <v>0</v>
      </c>
      <c r="C2510" s="27">
        <v>9.8000000000000007</v>
      </c>
      <c r="E2510" s="18"/>
    </row>
    <row r="2511" spans="1:5" ht="16.5" thickTop="1" thickBot="1" x14ac:dyDescent="0.3">
      <c r="A2511" s="28">
        <v>6.974927508418804</v>
      </c>
      <c r="B2511" s="27">
        <v>0</v>
      </c>
      <c r="C2511" s="27">
        <v>9.8000000000000007</v>
      </c>
      <c r="E2511" s="18"/>
    </row>
    <row r="2512" spans="1:5" ht="16.5" thickTop="1" thickBot="1" x14ac:dyDescent="0.3">
      <c r="A2512" s="28">
        <v>1.8826890066604025</v>
      </c>
      <c r="B2512" s="27">
        <v>0</v>
      </c>
      <c r="C2512" s="27">
        <v>9.8000000000000007</v>
      </c>
      <c r="E2512" s="18"/>
    </row>
    <row r="2513" spans="1:5" ht="16.5" thickTop="1" thickBot="1" x14ac:dyDescent="0.3">
      <c r="A2513" s="28">
        <v>6.8064218775973213</v>
      </c>
      <c r="B2513" s="27">
        <v>0</v>
      </c>
      <c r="C2513" s="27">
        <v>9.8000000000000007</v>
      </c>
      <c r="E2513" s="18"/>
    </row>
    <row r="2514" spans="1:5" ht="16.5" thickTop="1" thickBot="1" x14ac:dyDescent="0.3">
      <c r="A2514" s="28">
        <v>5.5941519116048122</v>
      </c>
      <c r="B2514" s="27">
        <v>0</v>
      </c>
      <c r="C2514" s="27">
        <v>9.8000000000000007</v>
      </c>
      <c r="E2514" s="18"/>
    </row>
    <row r="2515" spans="1:5" ht="16.5" thickTop="1" thickBot="1" x14ac:dyDescent="0.3">
      <c r="A2515" s="28">
        <v>6.5975867526621457</v>
      </c>
      <c r="B2515" s="27">
        <v>0</v>
      </c>
      <c r="C2515" s="27">
        <v>9.8000000000000007</v>
      </c>
      <c r="E2515" s="18"/>
    </row>
    <row r="2516" spans="1:5" ht="16.5" thickTop="1" thickBot="1" x14ac:dyDescent="0.3">
      <c r="A2516" s="28">
        <v>2.5972774474607476</v>
      </c>
      <c r="B2516" s="27">
        <v>0</v>
      </c>
      <c r="C2516" s="27">
        <v>9.8000000000000007</v>
      </c>
      <c r="E2516" s="18"/>
    </row>
    <row r="2517" spans="1:5" ht="16.5" thickTop="1" thickBot="1" x14ac:dyDescent="0.3">
      <c r="A2517" s="28">
        <v>8.588601111674496</v>
      </c>
      <c r="B2517" s="27">
        <v>0</v>
      </c>
      <c r="C2517" s="27">
        <v>9.8000000000000007</v>
      </c>
      <c r="E2517" s="18"/>
    </row>
    <row r="2518" spans="1:5" ht="16.5" thickTop="1" thickBot="1" x14ac:dyDescent="0.3">
      <c r="A2518" s="28">
        <v>1.9739205967923052</v>
      </c>
      <c r="B2518" s="27">
        <v>0</v>
      </c>
      <c r="C2518" s="27">
        <v>9.8000000000000007</v>
      </c>
      <c r="E2518" s="18"/>
    </row>
    <row r="2519" spans="1:5" ht="16.5" thickTop="1" thickBot="1" x14ac:dyDescent="0.3">
      <c r="A2519" s="28">
        <v>11.71302364468259</v>
      </c>
      <c r="B2519" s="27">
        <v>0</v>
      </c>
      <c r="C2519" s="27">
        <v>9.8000000000000007</v>
      </c>
      <c r="E2519" s="18"/>
    </row>
    <row r="2520" spans="1:5" ht="16.5" thickTop="1" thickBot="1" x14ac:dyDescent="0.3">
      <c r="A2520" s="28">
        <v>0.39667743763525187</v>
      </c>
      <c r="B2520" s="27">
        <v>0</v>
      </c>
      <c r="C2520" s="27">
        <v>9.8000000000000007</v>
      </c>
      <c r="E2520" s="18"/>
    </row>
    <row r="2521" spans="1:5" ht="16.5" thickTop="1" thickBot="1" x14ac:dyDescent="0.3">
      <c r="A2521" s="28">
        <v>10.420906991299619</v>
      </c>
      <c r="B2521" s="27">
        <v>0</v>
      </c>
      <c r="C2521" s="27">
        <v>9.8000000000000007</v>
      </c>
      <c r="E2521" s="18"/>
    </row>
    <row r="2522" spans="1:5" ht="16.5" thickTop="1" thickBot="1" x14ac:dyDescent="0.3">
      <c r="A2522" s="28">
        <v>1.1819432299641703</v>
      </c>
      <c r="B2522" s="27">
        <v>0</v>
      </c>
      <c r="C2522" s="27">
        <v>9.8000000000000007</v>
      </c>
      <c r="E2522" s="18"/>
    </row>
    <row r="2523" spans="1:5" ht="16.5" thickTop="1" thickBot="1" x14ac:dyDescent="0.3">
      <c r="A2523" s="28">
        <v>8.7365588276788912</v>
      </c>
      <c r="B2523" s="27">
        <v>0</v>
      </c>
      <c r="C2523" s="27">
        <v>9.8000000000000007</v>
      </c>
      <c r="E2523" s="18"/>
    </row>
    <row r="2524" spans="1:5" ht="16.5" thickTop="1" thickBot="1" x14ac:dyDescent="0.3">
      <c r="A2524" s="28">
        <v>6.9118327545623668</v>
      </c>
      <c r="B2524" s="27">
        <v>0</v>
      </c>
      <c r="C2524" s="27">
        <v>9.8000000000000007</v>
      </c>
      <c r="E2524" s="18"/>
    </row>
    <row r="2525" spans="1:5" ht="16.5" thickTop="1" thickBot="1" x14ac:dyDescent="0.3">
      <c r="A2525" s="28">
        <v>3.2793060732810706</v>
      </c>
      <c r="B2525" s="27">
        <v>0</v>
      </c>
      <c r="C2525" s="27">
        <v>9.8000000000000007</v>
      </c>
      <c r="E2525" s="18"/>
    </row>
    <row r="2526" spans="1:5" ht="16.5" thickTop="1" thickBot="1" x14ac:dyDescent="0.3">
      <c r="A2526" s="28">
        <v>5.0372693585310504</v>
      </c>
      <c r="B2526" s="27">
        <v>0</v>
      </c>
      <c r="C2526" s="27">
        <v>9.8000000000000007</v>
      </c>
      <c r="E2526" s="18"/>
    </row>
    <row r="2527" spans="1:5" ht="16.5" thickTop="1" thickBot="1" x14ac:dyDescent="0.3">
      <c r="A2527" s="28">
        <v>6.6645916765814537</v>
      </c>
      <c r="B2527" s="27">
        <v>0</v>
      </c>
      <c r="C2527" s="27">
        <v>19.2</v>
      </c>
      <c r="E2527" s="18"/>
    </row>
    <row r="2528" spans="1:5" ht="16.5" thickTop="1" thickBot="1" x14ac:dyDescent="0.3">
      <c r="A2528" s="28">
        <v>0.756887370944475</v>
      </c>
      <c r="B2528" s="27">
        <v>0</v>
      </c>
      <c r="C2528" s="27">
        <v>19.2</v>
      </c>
      <c r="E2528" s="18"/>
    </row>
    <row r="2529" spans="1:5" ht="16.5" thickTop="1" thickBot="1" x14ac:dyDescent="0.3">
      <c r="A2529" s="28">
        <v>1.3368851397874701</v>
      </c>
      <c r="B2529" s="27">
        <v>0</v>
      </c>
      <c r="C2529" s="27">
        <v>19.2</v>
      </c>
      <c r="E2529" s="18"/>
    </row>
    <row r="2530" spans="1:5" ht="16.5" thickTop="1" thickBot="1" x14ac:dyDescent="0.3">
      <c r="A2530" s="28">
        <v>3.9386101989633437</v>
      </c>
      <c r="B2530" s="27">
        <v>0</v>
      </c>
      <c r="C2530" s="27">
        <v>19.2</v>
      </c>
      <c r="E2530" s="18"/>
    </row>
    <row r="2531" spans="1:5" ht="16.5" thickTop="1" thickBot="1" x14ac:dyDescent="0.3">
      <c r="A2531" s="28">
        <v>1.8570023840258667</v>
      </c>
      <c r="B2531" s="27">
        <v>0</v>
      </c>
      <c r="C2531" s="27">
        <v>19.2</v>
      </c>
      <c r="E2531" s="18"/>
    </row>
    <row r="2532" spans="1:5" ht="16.5" thickTop="1" thickBot="1" x14ac:dyDescent="0.3">
      <c r="A2532" s="28">
        <v>6.3912543924837468</v>
      </c>
      <c r="B2532" s="27">
        <v>0</v>
      </c>
      <c r="C2532" s="27">
        <v>19.2</v>
      </c>
      <c r="E2532" s="18"/>
    </row>
    <row r="2533" spans="1:5" ht="16.5" thickTop="1" thickBot="1" x14ac:dyDescent="0.3">
      <c r="A2533" s="28">
        <v>4.3971812892293611</v>
      </c>
      <c r="B2533" s="27">
        <v>0</v>
      </c>
      <c r="C2533" s="27">
        <v>19.2</v>
      </c>
      <c r="E2533" s="18"/>
    </row>
    <row r="2534" spans="1:5" ht="16.5" thickTop="1" thickBot="1" x14ac:dyDescent="0.3">
      <c r="A2534" s="28">
        <v>2.431025011604957</v>
      </c>
      <c r="B2534" s="27">
        <v>0</v>
      </c>
      <c r="C2534" s="27">
        <v>19.2</v>
      </c>
      <c r="E2534" s="18"/>
    </row>
    <row r="2535" spans="1:5" ht="16.5" thickTop="1" thickBot="1" x14ac:dyDescent="0.3">
      <c r="A2535" s="28">
        <v>11.230590766187854</v>
      </c>
      <c r="B2535" s="27">
        <v>0</v>
      </c>
      <c r="C2535" s="27">
        <v>19.2</v>
      </c>
      <c r="E2535" s="18"/>
    </row>
    <row r="2536" spans="1:5" ht="16.5" thickTop="1" thickBot="1" x14ac:dyDescent="0.3">
      <c r="A2536" s="28">
        <v>0.55849503982759252</v>
      </c>
      <c r="B2536" s="27">
        <v>0</v>
      </c>
      <c r="C2536" s="27">
        <v>19.2</v>
      </c>
      <c r="E2536" s="18"/>
    </row>
    <row r="2537" spans="1:5" ht="16.5" thickTop="1" thickBot="1" x14ac:dyDescent="0.3">
      <c r="A2537" s="28">
        <v>7.9672522037160576</v>
      </c>
      <c r="B2537" s="27">
        <v>0</v>
      </c>
      <c r="C2537" s="27">
        <v>19.2</v>
      </c>
      <c r="E2537" s="18"/>
    </row>
    <row r="2538" spans="1:5" ht="16.5" thickTop="1" thickBot="1" x14ac:dyDescent="0.3">
      <c r="A2538" s="28">
        <v>0.68989066601535753</v>
      </c>
      <c r="B2538" s="27">
        <v>0</v>
      </c>
      <c r="C2538" s="27">
        <v>19.2</v>
      </c>
      <c r="E2538" s="18"/>
    </row>
    <row r="2539" spans="1:5" ht="16.5" thickTop="1" thickBot="1" x14ac:dyDescent="0.3">
      <c r="A2539" s="28">
        <v>10.518068228904886</v>
      </c>
      <c r="B2539" s="27">
        <v>0</v>
      </c>
      <c r="C2539" s="27">
        <v>19.2</v>
      </c>
      <c r="E2539" s="18"/>
    </row>
    <row r="2540" spans="1:5" ht="16.5" thickTop="1" thickBot="1" x14ac:dyDescent="0.3">
      <c r="A2540" s="28">
        <v>0.73312523598236834</v>
      </c>
      <c r="B2540" s="27">
        <v>0</v>
      </c>
      <c r="C2540" s="27">
        <v>19.2</v>
      </c>
      <c r="E2540" s="18"/>
    </row>
    <row r="2541" spans="1:5" ht="16.5" thickTop="1" thickBot="1" x14ac:dyDescent="0.3">
      <c r="A2541" s="28">
        <v>2.1735161654236808</v>
      </c>
      <c r="B2541" s="27">
        <v>0</v>
      </c>
      <c r="C2541" s="27">
        <v>19.2</v>
      </c>
      <c r="E2541" s="18"/>
    </row>
    <row r="2542" spans="1:5" ht="16.5" thickTop="1" thickBot="1" x14ac:dyDescent="0.3">
      <c r="A2542" s="28">
        <v>4.9600237577138344</v>
      </c>
      <c r="B2542" s="27">
        <v>0</v>
      </c>
      <c r="C2542" s="27">
        <v>19.2</v>
      </c>
      <c r="E2542" s="18"/>
    </row>
    <row r="2543" spans="1:5" ht="16.5" thickTop="1" thickBot="1" x14ac:dyDescent="0.3">
      <c r="A2543" s="28">
        <v>3.4227521357107853</v>
      </c>
      <c r="B2543" s="27">
        <v>0</v>
      </c>
      <c r="C2543" s="27">
        <v>19.2</v>
      </c>
      <c r="E2543" s="18"/>
    </row>
    <row r="2544" spans="1:5" ht="16.5" thickTop="1" thickBot="1" x14ac:dyDescent="0.3">
      <c r="A2544" s="28">
        <v>3.2135466059480216</v>
      </c>
      <c r="B2544" s="27">
        <v>0</v>
      </c>
      <c r="C2544" s="27">
        <v>12.3</v>
      </c>
      <c r="E2544" s="18"/>
    </row>
    <row r="2545" spans="1:5" ht="16.5" thickTop="1" thickBot="1" x14ac:dyDescent="0.3">
      <c r="A2545" s="28">
        <v>7.1059248479684509</v>
      </c>
      <c r="B2545" s="27">
        <v>0</v>
      </c>
      <c r="C2545" s="27">
        <v>12.3</v>
      </c>
      <c r="E2545" s="18"/>
    </row>
    <row r="2546" spans="1:5" ht="16.5" thickTop="1" thickBot="1" x14ac:dyDescent="0.3">
      <c r="A2546" s="28">
        <v>4.7125216203409614</v>
      </c>
      <c r="B2546" s="27">
        <v>0</v>
      </c>
      <c r="C2546" s="27">
        <v>12.3</v>
      </c>
      <c r="E2546" s="18"/>
    </row>
    <row r="2547" spans="1:5" ht="16.5" thickTop="1" thickBot="1" x14ac:dyDescent="0.3">
      <c r="A2547" s="28">
        <v>10.696458812940774</v>
      </c>
      <c r="B2547" s="27">
        <v>0</v>
      </c>
      <c r="C2547" s="27">
        <v>12.3</v>
      </c>
      <c r="E2547" s="18"/>
    </row>
    <row r="2548" spans="1:5" ht="16.5" thickTop="1" thickBot="1" x14ac:dyDescent="0.3">
      <c r="A2548" s="28">
        <v>4.2253211436714109</v>
      </c>
      <c r="B2548" s="27">
        <v>0</v>
      </c>
      <c r="C2548" s="27">
        <v>12.3</v>
      </c>
      <c r="E2548" s="18"/>
    </row>
    <row r="2549" spans="1:5" ht="16.5" thickTop="1" thickBot="1" x14ac:dyDescent="0.3">
      <c r="A2549" s="28">
        <v>2.2823718355275888</v>
      </c>
      <c r="B2549" s="27">
        <v>0</v>
      </c>
      <c r="C2549" s="27">
        <v>12.3</v>
      </c>
      <c r="E2549" s="18"/>
    </row>
    <row r="2550" spans="1:5" ht="16.5" thickTop="1" thickBot="1" x14ac:dyDescent="0.3">
      <c r="A2550" s="28">
        <v>5.3865622179908117</v>
      </c>
      <c r="B2550" s="27">
        <v>0</v>
      </c>
      <c r="C2550" s="27">
        <v>12.3</v>
      </c>
      <c r="E2550" s="18"/>
    </row>
    <row r="2551" spans="1:5" ht="16.5" thickTop="1" thickBot="1" x14ac:dyDescent="0.3">
      <c r="A2551" s="28">
        <v>0.14222491815275351</v>
      </c>
      <c r="B2551" s="27">
        <v>0</v>
      </c>
      <c r="C2551" s="27">
        <v>12.3</v>
      </c>
      <c r="E2551" s="18"/>
    </row>
    <row r="2552" spans="1:5" ht="16.5" thickTop="1" thickBot="1" x14ac:dyDescent="0.3">
      <c r="A2552" s="28">
        <v>1.3548990666167917</v>
      </c>
      <c r="B2552" s="27">
        <v>0</v>
      </c>
      <c r="C2552" s="27">
        <v>12.3</v>
      </c>
      <c r="E2552" s="18"/>
    </row>
    <row r="2553" spans="1:5" ht="16.5" thickTop="1" thickBot="1" x14ac:dyDescent="0.3">
      <c r="A2553" s="28">
        <v>11.131473983450494</v>
      </c>
      <c r="B2553" s="27">
        <v>0</v>
      </c>
      <c r="C2553" s="27">
        <v>12.3</v>
      </c>
      <c r="E2553" s="18"/>
    </row>
    <row r="2554" spans="1:5" ht="16.5" thickTop="1" thickBot="1" x14ac:dyDescent="0.3">
      <c r="A2554" s="28">
        <v>3.2848381704219305</v>
      </c>
      <c r="B2554" s="27">
        <v>0</v>
      </c>
      <c r="C2554" s="27">
        <v>12.3</v>
      </c>
      <c r="E2554" s="18"/>
    </row>
    <row r="2555" spans="1:5" ht="16.5" thickTop="1" thickBot="1" x14ac:dyDescent="0.3">
      <c r="A2555" s="28">
        <v>4.4735718718827631</v>
      </c>
      <c r="B2555" s="27">
        <v>0</v>
      </c>
      <c r="C2555" s="27">
        <v>12.3</v>
      </c>
      <c r="E2555" s="18"/>
    </row>
    <row r="2556" spans="1:5" ht="16.5" thickTop="1" thickBot="1" x14ac:dyDescent="0.3">
      <c r="A2556" s="28">
        <v>6.1515965347807207</v>
      </c>
      <c r="B2556" s="27">
        <v>0</v>
      </c>
      <c r="C2556" s="27">
        <v>12.3</v>
      </c>
      <c r="E2556" s="18"/>
    </row>
    <row r="2557" spans="1:5" ht="16.5" thickTop="1" thickBot="1" x14ac:dyDescent="0.3">
      <c r="A2557" s="28">
        <v>4.0747066236177094</v>
      </c>
      <c r="B2557" s="27">
        <v>0</v>
      </c>
      <c r="C2557" s="27">
        <v>12.3</v>
      </c>
      <c r="E2557" s="18"/>
    </row>
    <row r="2558" spans="1:5" ht="16.5" thickTop="1" thickBot="1" x14ac:dyDescent="0.3">
      <c r="A2558" s="28">
        <v>4.4796877483362598</v>
      </c>
      <c r="B2558" s="27">
        <v>0</v>
      </c>
      <c r="C2558" s="27">
        <v>12.3</v>
      </c>
      <c r="E2558" s="18"/>
    </row>
    <row r="2559" spans="1:5" ht="16.5" thickTop="1" thickBot="1" x14ac:dyDescent="0.3">
      <c r="A2559" s="28">
        <v>6.0289935858457788</v>
      </c>
      <c r="B2559" s="27">
        <v>0</v>
      </c>
      <c r="C2559" s="27">
        <v>12.3</v>
      </c>
      <c r="E2559" s="18"/>
    </row>
    <row r="2560" spans="1:5" ht="16.5" thickTop="1" thickBot="1" x14ac:dyDescent="0.3">
      <c r="A2560" s="28">
        <v>1.4422136527133476</v>
      </c>
      <c r="B2560" s="27">
        <v>0</v>
      </c>
      <c r="C2560" s="27">
        <v>12.3</v>
      </c>
      <c r="E2560" s="18"/>
    </row>
    <row r="2561" spans="1:5" ht="16.5" thickTop="1" thickBot="1" x14ac:dyDescent="0.3">
      <c r="A2561" s="28">
        <v>1.4393704674037502</v>
      </c>
      <c r="B2561" s="27">
        <v>0</v>
      </c>
      <c r="C2561" s="27">
        <v>13.8</v>
      </c>
      <c r="E2561" s="18"/>
    </row>
    <row r="2562" spans="1:5" ht="16.5" thickTop="1" thickBot="1" x14ac:dyDescent="0.3">
      <c r="A2562" s="28">
        <v>4.8411590794833286</v>
      </c>
      <c r="B2562" s="27">
        <v>0</v>
      </c>
      <c r="C2562" s="27">
        <v>13.8</v>
      </c>
      <c r="E2562" s="18"/>
    </row>
    <row r="2563" spans="1:5" ht="16.5" thickTop="1" thickBot="1" x14ac:dyDescent="0.3">
      <c r="A2563" s="28">
        <v>4.4279601709709491</v>
      </c>
      <c r="B2563" s="27">
        <v>0</v>
      </c>
      <c r="C2563" s="27">
        <v>13.8</v>
      </c>
      <c r="E2563" s="18"/>
    </row>
    <row r="2564" spans="1:5" ht="16.5" thickTop="1" thickBot="1" x14ac:dyDescent="0.3">
      <c r="A2564" s="28">
        <v>3.2066566730687449</v>
      </c>
      <c r="B2564" s="27">
        <v>0</v>
      </c>
      <c r="C2564" s="27">
        <v>13.8</v>
      </c>
      <c r="E2564" s="18"/>
    </row>
    <row r="2565" spans="1:5" ht="16.5" thickTop="1" thickBot="1" x14ac:dyDescent="0.3">
      <c r="A2565" s="28">
        <v>11.693836338700137</v>
      </c>
      <c r="B2565" s="27">
        <v>0</v>
      </c>
      <c r="C2565" s="27">
        <v>13.8</v>
      </c>
      <c r="E2565" s="18"/>
    </row>
    <row r="2566" spans="1:5" ht="16.5" thickTop="1" thickBot="1" x14ac:dyDescent="0.3">
      <c r="A2566" s="28">
        <v>6.8270246830084238</v>
      </c>
      <c r="B2566" s="27">
        <v>0</v>
      </c>
      <c r="C2566" s="27">
        <v>13.8</v>
      </c>
      <c r="E2566" s="18"/>
    </row>
    <row r="2567" spans="1:5" ht="16.5" thickTop="1" thickBot="1" x14ac:dyDescent="0.3">
      <c r="A2567" s="28">
        <v>8.752109589232667</v>
      </c>
      <c r="B2567" s="27">
        <v>0</v>
      </c>
      <c r="C2567" s="27">
        <v>13.8</v>
      </c>
      <c r="E2567" s="18"/>
    </row>
    <row r="2568" spans="1:5" ht="16.5" thickTop="1" thickBot="1" x14ac:dyDescent="0.3">
      <c r="A2568" s="28">
        <v>4.1313084102387583</v>
      </c>
      <c r="B2568" s="27">
        <v>0</v>
      </c>
      <c r="C2568" s="27">
        <v>13.8</v>
      </c>
      <c r="E2568" s="18"/>
    </row>
    <row r="2569" spans="1:5" ht="16.5" thickTop="1" thickBot="1" x14ac:dyDescent="0.3">
      <c r="A2569" s="28">
        <v>1.0802838815317068</v>
      </c>
      <c r="B2569" s="27">
        <v>0</v>
      </c>
      <c r="C2569" s="27">
        <v>13.8</v>
      </c>
      <c r="E2569" s="18"/>
    </row>
    <row r="2570" spans="1:5" ht="16.5" thickTop="1" thickBot="1" x14ac:dyDescent="0.3">
      <c r="A2570" s="28">
        <v>2.153736528711609</v>
      </c>
      <c r="B2570" s="27">
        <v>0</v>
      </c>
      <c r="C2570" s="27">
        <v>13.8</v>
      </c>
      <c r="E2570" s="18"/>
    </row>
    <row r="2571" spans="1:5" ht="16.5" thickTop="1" thickBot="1" x14ac:dyDescent="0.3">
      <c r="A2571" s="28">
        <v>9.8898208651091242</v>
      </c>
      <c r="B2571" s="27">
        <v>0</v>
      </c>
      <c r="C2571" s="27">
        <v>13.8</v>
      </c>
      <c r="E2571" s="18"/>
    </row>
    <row r="2572" spans="1:5" ht="16.5" thickTop="1" thickBot="1" x14ac:dyDescent="0.3">
      <c r="A2572" s="28">
        <v>5.6220374452305855</v>
      </c>
      <c r="B2572" s="27">
        <v>0</v>
      </c>
      <c r="C2572" s="27">
        <v>13.8</v>
      </c>
      <c r="E2572" s="18"/>
    </row>
    <row r="2573" spans="1:5" ht="16.5" thickTop="1" thickBot="1" x14ac:dyDescent="0.3">
      <c r="A2573" s="28">
        <v>7.9896635594231995</v>
      </c>
      <c r="B2573" s="27">
        <v>0</v>
      </c>
      <c r="C2573" s="27">
        <v>13.8</v>
      </c>
      <c r="E2573" s="18"/>
    </row>
    <row r="2574" spans="1:5" ht="16.5" thickTop="1" thickBot="1" x14ac:dyDescent="0.3">
      <c r="A2574" s="28">
        <v>1.3118822790735836</v>
      </c>
      <c r="B2574" s="27">
        <v>0</v>
      </c>
      <c r="C2574" s="27">
        <v>13.8</v>
      </c>
      <c r="E2574" s="18"/>
    </row>
    <row r="2575" spans="1:5" ht="16.5" thickTop="1" thickBot="1" x14ac:dyDescent="0.3">
      <c r="A2575" s="28">
        <v>4.7776836841710155</v>
      </c>
      <c r="B2575" s="27">
        <v>0</v>
      </c>
      <c r="C2575" s="27">
        <v>13.8</v>
      </c>
      <c r="E2575" s="18"/>
    </row>
    <row r="2576" spans="1:5" ht="16.5" thickTop="1" thickBot="1" x14ac:dyDescent="0.3">
      <c r="A2576" s="28">
        <v>3.7391798059161214</v>
      </c>
      <c r="B2576" s="27">
        <v>0</v>
      </c>
      <c r="C2576" s="27">
        <v>13.8</v>
      </c>
      <c r="E2576" s="18"/>
    </row>
    <row r="2577" spans="1:5" ht="16.5" thickTop="1" thickBot="1" x14ac:dyDescent="0.3">
      <c r="A2577" s="28">
        <v>5.1381402442120079</v>
      </c>
      <c r="B2577" s="27">
        <v>0</v>
      </c>
      <c r="C2577" s="27">
        <v>13.8</v>
      </c>
      <c r="E2577" s="18"/>
    </row>
    <row r="2578" spans="1:5" ht="16.5" thickTop="1" thickBot="1" x14ac:dyDescent="0.3">
      <c r="A2578" s="28">
        <v>5.7032162275206764</v>
      </c>
      <c r="B2578" s="27">
        <v>0</v>
      </c>
      <c r="C2578" s="27">
        <v>14.3</v>
      </c>
      <c r="E2578" s="18"/>
    </row>
    <row r="2579" spans="1:5" ht="16.5" thickTop="1" thickBot="1" x14ac:dyDescent="0.3">
      <c r="A2579" s="28">
        <v>1.0410400112499105</v>
      </c>
      <c r="B2579" s="27">
        <v>0</v>
      </c>
      <c r="C2579" s="27">
        <v>14.3</v>
      </c>
      <c r="E2579" s="18"/>
    </row>
    <row r="2580" spans="1:5" ht="16.5" thickTop="1" thickBot="1" x14ac:dyDescent="0.3">
      <c r="A2580" s="28">
        <v>0.24555192145888405</v>
      </c>
      <c r="B2580" s="27">
        <v>0</v>
      </c>
      <c r="C2580" s="27">
        <v>14.3</v>
      </c>
      <c r="E2580" s="18"/>
    </row>
    <row r="2581" spans="1:5" ht="16.5" thickTop="1" thickBot="1" x14ac:dyDescent="0.3">
      <c r="A2581" s="28">
        <v>2.6335631194336915</v>
      </c>
      <c r="B2581" s="27">
        <v>0</v>
      </c>
      <c r="C2581" s="27">
        <v>14.3</v>
      </c>
      <c r="E2581" s="18"/>
    </row>
    <row r="2582" spans="1:5" ht="16.5" thickTop="1" thickBot="1" x14ac:dyDescent="0.3">
      <c r="A2582" s="28">
        <v>5.2889672402833181</v>
      </c>
      <c r="B2582" s="27">
        <v>0</v>
      </c>
      <c r="C2582" s="27">
        <v>14.3</v>
      </c>
      <c r="E2582" s="18"/>
    </row>
    <row r="2583" spans="1:5" ht="16.5" thickTop="1" thickBot="1" x14ac:dyDescent="0.3">
      <c r="A2583" s="28">
        <v>6.8735956481556242</v>
      </c>
      <c r="B2583" s="27">
        <v>0</v>
      </c>
      <c r="C2583" s="27">
        <v>14.3</v>
      </c>
      <c r="E2583" s="18"/>
    </row>
    <row r="2584" spans="1:5" ht="16.5" thickTop="1" thickBot="1" x14ac:dyDescent="0.3">
      <c r="A2584" s="28">
        <v>4.8834871741171995</v>
      </c>
      <c r="B2584" s="27">
        <v>0</v>
      </c>
      <c r="C2584" s="27">
        <v>14.3</v>
      </c>
      <c r="E2584" s="18"/>
    </row>
    <row r="2585" spans="1:5" ht="16.5" thickTop="1" thickBot="1" x14ac:dyDescent="0.3">
      <c r="A2585" s="28">
        <v>9.4737186735848393</v>
      </c>
      <c r="B2585" s="27">
        <v>0</v>
      </c>
      <c r="C2585" s="27">
        <v>14.3</v>
      </c>
      <c r="E2585" s="18"/>
    </row>
    <row r="2586" spans="1:5" ht="16.5" thickTop="1" thickBot="1" x14ac:dyDescent="0.3">
      <c r="A2586" s="28">
        <v>5.7476633421270371</v>
      </c>
      <c r="B2586" s="27">
        <v>0</v>
      </c>
      <c r="C2586" s="27">
        <v>14.3</v>
      </c>
      <c r="E2586" s="18"/>
    </row>
    <row r="2587" spans="1:5" ht="16.5" thickTop="1" thickBot="1" x14ac:dyDescent="0.3">
      <c r="A2587" s="28">
        <v>6.3181076375591321</v>
      </c>
      <c r="B2587" s="27">
        <v>0</v>
      </c>
      <c r="C2587" s="27">
        <v>14.3</v>
      </c>
      <c r="E2587" s="18"/>
    </row>
    <row r="2588" spans="1:5" ht="16.5" thickTop="1" thickBot="1" x14ac:dyDescent="0.3">
      <c r="A2588" s="28">
        <v>0.7069629970227389</v>
      </c>
      <c r="B2588" s="27">
        <v>0</v>
      </c>
      <c r="C2588" s="27">
        <v>14.3</v>
      </c>
      <c r="E2588" s="18"/>
    </row>
    <row r="2589" spans="1:5" ht="16.5" thickTop="1" thickBot="1" x14ac:dyDescent="0.3">
      <c r="A2589" s="28">
        <v>8.7650753311501681</v>
      </c>
      <c r="B2589" s="27">
        <v>0</v>
      </c>
      <c r="C2589" s="27">
        <v>14.3</v>
      </c>
      <c r="E2589" s="18"/>
    </row>
    <row r="2590" spans="1:5" ht="16.5" thickTop="1" thickBot="1" x14ac:dyDescent="0.3">
      <c r="A2590" s="28">
        <v>0.56571422183912479</v>
      </c>
      <c r="B2590" s="27">
        <v>0</v>
      </c>
      <c r="C2590" s="27">
        <v>14.3</v>
      </c>
      <c r="E2590" s="18"/>
    </row>
    <row r="2591" spans="1:5" ht="16.5" thickTop="1" thickBot="1" x14ac:dyDescent="0.3">
      <c r="A2591" s="28">
        <v>11.057517588750926</v>
      </c>
      <c r="B2591" s="27">
        <v>0</v>
      </c>
      <c r="C2591" s="27">
        <v>14.3</v>
      </c>
      <c r="E2591" s="18"/>
    </row>
    <row r="2592" spans="1:5" ht="16.5" thickTop="1" thickBot="1" x14ac:dyDescent="0.3">
      <c r="A2592" s="28">
        <v>6.4477924863134257</v>
      </c>
      <c r="B2592" s="27">
        <v>0</v>
      </c>
      <c r="C2592" s="27">
        <v>14.3</v>
      </c>
      <c r="E2592" s="18"/>
    </row>
    <row r="2593" spans="1:5" ht="16.5" thickTop="1" thickBot="1" x14ac:dyDescent="0.3">
      <c r="A2593" s="28">
        <v>5.97893119555083</v>
      </c>
      <c r="B2593" s="27">
        <v>0</v>
      </c>
      <c r="C2593" s="27">
        <v>14.3</v>
      </c>
      <c r="E2593" s="18"/>
    </row>
    <row r="2594" spans="1:5" ht="16.5" thickTop="1" thickBot="1" x14ac:dyDescent="0.3">
      <c r="A2594" s="28">
        <v>0.7068326571658089</v>
      </c>
      <c r="B2594" s="27">
        <v>0</v>
      </c>
      <c r="C2594" s="27">
        <v>14.3</v>
      </c>
      <c r="E2594" s="18"/>
    </row>
    <row r="2595" spans="1:5" ht="16.5" thickTop="1" thickBot="1" x14ac:dyDescent="0.3">
      <c r="A2595" s="28">
        <v>10.756856696884237</v>
      </c>
      <c r="B2595" s="27">
        <v>0</v>
      </c>
      <c r="C2595" s="27">
        <v>17.3</v>
      </c>
      <c r="E2595" s="18"/>
    </row>
    <row r="2596" spans="1:5" ht="16.5" thickTop="1" thickBot="1" x14ac:dyDescent="0.3">
      <c r="A2596" s="28">
        <v>1.642333287413464</v>
      </c>
      <c r="B2596" s="27">
        <v>0</v>
      </c>
      <c r="C2596" s="27">
        <v>17.3</v>
      </c>
      <c r="E2596" s="18"/>
    </row>
    <row r="2597" spans="1:5" ht="16.5" thickTop="1" thickBot="1" x14ac:dyDescent="0.3">
      <c r="A2597" s="28">
        <v>7.875711668681399</v>
      </c>
      <c r="B2597" s="27">
        <v>0</v>
      </c>
      <c r="C2597" s="27">
        <v>17.3</v>
      </c>
      <c r="E2597" s="18"/>
    </row>
    <row r="2598" spans="1:5" ht="16.5" thickTop="1" thickBot="1" x14ac:dyDescent="0.3">
      <c r="A2598" s="28">
        <v>1.6260689894631655</v>
      </c>
      <c r="B2598" s="27">
        <v>0</v>
      </c>
      <c r="C2598" s="27">
        <v>17.3</v>
      </c>
      <c r="E2598" s="18"/>
    </row>
    <row r="2599" spans="1:5" ht="16.5" thickTop="1" thickBot="1" x14ac:dyDescent="0.3">
      <c r="A2599" s="28">
        <v>6.471881766009373</v>
      </c>
      <c r="B2599" s="27">
        <v>0</v>
      </c>
      <c r="C2599" s="27">
        <v>17.3</v>
      </c>
      <c r="E2599" s="18"/>
    </row>
    <row r="2600" spans="1:5" ht="16.5" thickTop="1" thickBot="1" x14ac:dyDescent="0.3">
      <c r="A2600" s="28">
        <v>3.9517904504406931</v>
      </c>
      <c r="B2600" s="27">
        <v>0</v>
      </c>
      <c r="C2600" s="27">
        <v>17.3</v>
      </c>
      <c r="E2600" s="18"/>
    </row>
    <row r="2601" spans="1:5" ht="16.5" thickTop="1" thickBot="1" x14ac:dyDescent="0.3">
      <c r="A2601" s="28">
        <v>9.4200624228093623</v>
      </c>
      <c r="B2601" s="27">
        <v>0</v>
      </c>
      <c r="C2601" s="27">
        <v>17.3</v>
      </c>
      <c r="E2601" s="18"/>
    </row>
    <row r="2602" spans="1:5" ht="16.5" thickTop="1" thickBot="1" x14ac:dyDescent="0.3">
      <c r="A2602" s="28">
        <v>5.698117053298037</v>
      </c>
      <c r="B2602" s="27">
        <v>0</v>
      </c>
      <c r="C2602" s="27">
        <v>17.3</v>
      </c>
      <c r="E2602" s="18"/>
    </row>
    <row r="2603" spans="1:5" ht="16.5" thickTop="1" thickBot="1" x14ac:dyDescent="0.3">
      <c r="A2603" s="28">
        <v>10.405252906298642</v>
      </c>
      <c r="B2603" s="27">
        <v>0</v>
      </c>
      <c r="C2603" s="27">
        <v>17.3</v>
      </c>
      <c r="E2603" s="18"/>
    </row>
    <row r="2604" spans="1:5" ht="16.5" thickTop="1" thickBot="1" x14ac:dyDescent="0.3">
      <c r="A2604" s="28">
        <v>0.63965865606221917</v>
      </c>
      <c r="B2604" s="27">
        <v>0</v>
      </c>
      <c r="C2604" s="27">
        <v>17.3</v>
      </c>
      <c r="E2604" s="18"/>
    </row>
    <row r="2605" spans="1:5" ht="16.5" thickTop="1" thickBot="1" x14ac:dyDescent="0.3">
      <c r="A2605" s="28">
        <v>11.311153426141747</v>
      </c>
      <c r="B2605" s="27">
        <v>0</v>
      </c>
      <c r="C2605" s="27">
        <v>17.3</v>
      </c>
      <c r="E2605" s="18"/>
    </row>
    <row r="2606" spans="1:5" ht="16.5" thickTop="1" thickBot="1" x14ac:dyDescent="0.3">
      <c r="A2606" s="28">
        <v>4.8575398511358383</v>
      </c>
      <c r="B2606" s="27">
        <v>0</v>
      </c>
      <c r="C2606" s="27">
        <v>17.3</v>
      </c>
      <c r="E2606" s="18"/>
    </row>
    <row r="2607" spans="1:5" ht="16.5" thickTop="1" thickBot="1" x14ac:dyDescent="0.3">
      <c r="A2607" s="28">
        <v>11.683572712958959</v>
      </c>
      <c r="B2607" s="27">
        <v>0</v>
      </c>
      <c r="C2607" s="27">
        <v>17.3</v>
      </c>
      <c r="E2607" s="18"/>
    </row>
    <row r="2608" spans="1:5" ht="16.5" thickTop="1" thickBot="1" x14ac:dyDescent="0.3">
      <c r="A2608" s="28">
        <v>6.1705984868921409</v>
      </c>
      <c r="B2608" s="27">
        <v>0</v>
      </c>
      <c r="C2608" s="27">
        <v>17.3</v>
      </c>
      <c r="E2608" s="18"/>
    </row>
    <row r="2609" spans="1:5" ht="16.5" thickTop="1" thickBot="1" x14ac:dyDescent="0.3">
      <c r="A2609" s="28">
        <v>6.796724928625693</v>
      </c>
      <c r="B2609" s="27">
        <v>0</v>
      </c>
      <c r="C2609" s="27">
        <v>17.3</v>
      </c>
      <c r="E2609" s="18"/>
    </row>
    <row r="2610" spans="1:5" ht="16.5" thickTop="1" thickBot="1" x14ac:dyDescent="0.3">
      <c r="A2610" s="28">
        <v>0.99942856544788106</v>
      </c>
      <c r="B2610" s="27">
        <v>0</v>
      </c>
      <c r="C2610" s="27">
        <v>17.3</v>
      </c>
      <c r="E2610" s="18"/>
    </row>
    <row r="2611" spans="1:5" ht="16.5" thickTop="1" thickBot="1" x14ac:dyDescent="0.3">
      <c r="A2611" s="28">
        <v>4.1029100467705026</v>
      </c>
      <c r="B2611" s="27">
        <v>0</v>
      </c>
      <c r="C2611" s="27">
        <v>17.3</v>
      </c>
      <c r="E2611" s="18"/>
    </row>
    <row r="2612" spans="1:5" ht="16.5" thickTop="1" thickBot="1" x14ac:dyDescent="0.3">
      <c r="A2612" s="28">
        <v>7.2228472850940695E-2</v>
      </c>
      <c r="B2612" s="27">
        <v>0</v>
      </c>
      <c r="C2612" s="27">
        <v>8</v>
      </c>
      <c r="E2612" s="18"/>
    </row>
    <row r="2613" spans="1:5" ht="16.5" thickTop="1" thickBot="1" x14ac:dyDescent="0.3">
      <c r="A2613" s="28">
        <v>5.6304445221068331</v>
      </c>
      <c r="B2613" s="27">
        <v>0</v>
      </c>
      <c r="C2613" s="27">
        <v>8</v>
      </c>
      <c r="E2613" s="18"/>
    </row>
    <row r="2614" spans="1:5" ht="16.5" thickTop="1" thickBot="1" x14ac:dyDescent="0.3">
      <c r="A2614" s="28">
        <v>0.85386588218307258</v>
      </c>
      <c r="B2614" s="27">
        <v>0</v>
      </c>
      <c r="C2614" s="27">
        <v>8</v>
      </c>
      <c r="E2614" s="18"/>
    </row>
    <row r="2615" spans="1:5" ht="16.5" thickTop="1" thickBot="1" x14ac:dyDescent="0.3">
      <c r="A2615" s="28">
        <v>8.7100793332453978</v>
      </c>
      <c r="B2615" s="27">
        <v>0</v>
      </c>
      <c r="C2615" s="27">
        <v>8</v>
      </c>
      <c r="E2615" s="18"/>
    </row>
    <row r="2616" spans="1:5" ht="16.5" thickTop="1" thickBot="1" x14ac:dyDescent="0.3">
      <c r="A2616" s="28">
        <v>1.1436718469512874</v>
      </c>
      <c r="B2616" s="27">
        <v>0</v>
      </c>
      <c r="C2616" s="27">
        <v>8</v>
      </c>
      <c r="E2616" s="18"/>
    </row>
    <row r="2617" spans="1:5" ht="16.5" thickTop="1" thickBot="1" x14ac:dyDescent="0.3">
      <c r="A2617" s="28">
        <v>1.8785319385792496</v>
      </c>
      <c r="B2617" s="27">
        <v>0</v>
      </c>
      <c r="C2617" s="27">
        <v>8</v>
      </c>
      <c r="E2617" s="18"/>
    </row>
    <row r="2618" spans="1:5" ht="16.5" thickTop="1" thickBot="1" x14ac:dyDescent="0.3">
      <c r="A2618" s="28">
        <v>3.0255406791822632</v>
      </c>
      <c r="B2618" s="27">
        <v>0</v>
      </c>
      <c r="C2618" s="27">
        <v>8</v>
      </c>
      <c r="E2618" s="18"/>
    </row>
    <row r="2619" spans="1:5" ht="16.5" thickTop="1" thickBot="1" x14ac:dyDescent="0.3">
      <c r="A2619" s="28">
        <v>10.218791049276819</v>
      </c>
      <c r="B2619" s="27">
        <v>0</v>
      </c>
      <c r="C2619" s="27">
        <v>8</v>
      </c>
      <c r="E2619" s="18"/>
    </row>
    <row r="2620" spans="1:5" ht="16.5" thickTop="1" thickBot="1" x14ac:dyDescent="0.3">
      <c r="A2620" s="28">
        <v>2.7732240628934433</v>
      </c>
      <c r="B2620" s="27">
        <v>0</v>
      </c>
      <c r="C2620" s="27">
        <v>8</v>
      </c>
      <c r="E2620" s="18"/>
    </row>
    <row r="2621" spans="1:5" ht="16.5" thickTop="1" thickBot="1" x14ac:dyDescent="0.3">
      <c r="A2621" s="28">
        <v>4.868414818265558</v>
      </c>
      <c r="B2621" s="27">
        <v>0</v>
      </c>
      <c r="C2621" s="27">
        <v>8</v>
      </c>
      <c r="E2621" s="18"/>
    </row>
    <row r="2622" spans="1:5" ht="16.5" thickTop="1" thickBot="1" x14ac:dyDescent="0.3">
      <c r="A2622" s="28">
        <v>0.96677263907522837</v>
      </c>
      <c r="B2622" s="27">
        <v>0</v>
      </c>
      <c r="C2622" s="27">
        <v>8</v>
      </c>
      <c r="E2622" s="18"/>
    </row>
    <row r="2623" spans="1:5" ht="16.5" thickTop="1" thickBot="1" x14ac:dyDescent="0.3">
      <c r="A2623" s="28">
        <v>8.4759584491100508</v>
      </c>
      <c r="B2623" s="27">
        <v>0</v>
      </c>
      <c r="C2623" s="27">
        <v>8</v>
      </c>
      <c r="E2623" s="18"/>
    </row>
    <row r="2624" spans="1:5" ht="16.5" thickTop="1" thickBot="1" x14ac:dyDescent="0.3">
      <c r="A2624" s="28">
        <v>0.86968198768695049</v>
      </c>
      <c r="B2624" s="27">
        <v>0</v>
      </c>
      <c r="C2624" s="27">
        <v>8</v>
      </c>
      <c r="E2624" s="18"/>
    </row>
    <row r="2625" spans="1:5" ht="16.5" thickTop="1" thickBot="1" x14ac:dyDescent="0.3">
      <c r="A2625" s="28">
        <v>11.942203152419147</v>
      </c>
      <c r="B2625" s="27">
        <v>0</v>
      </c>
      <c r="C2625" s="27">
        <v>8</v>
      </c>
      <c r="E2625" s="18"/>
    </row>
    <row r="2626" spans="1:5" ht="16.5" thickTop="1" thickBot="1" x14ac:dyDescent="0.3">
      <c r="A2626" s="28">
        <v>1.0915518594236095</v>
      </c>
      <c r="B2626" s="27">
        <v>0</v>
      </c>
      <c r="C2626" s="27">
        <v>8</v>
      </c>
      <c r="E2626" s="18"/>
    </row>
    <row r="2627" spans="1:5" ht="16.5" thickTop="1" thickBot="1" x14ac:dyDescent="0.3">
      <c r="A2627" s="28">
        <v>5.8926077046820868</v>
      </c>
      <c r="B2627" s="27">
        <v>0</v>
      </c>
      <c r="C2627" s="27">
        <v>6.2</v>
      </c>
      <c r="E2627" s="18"/>
    </row>
    <row r="2628" spans="1:5" ht="16.5" thickTop="1" thickBot="1" x14ac:dyDescent="0.3">
      <c r="A2628" s="28">
        <v>4.4811265327459031</v>
      </c>
      <c r="B2628" s="27">
        <v>0</v>
      </c>
      <c r="C2628" s="27">
        <v>6.2</v>
      </c>
      <c r="E2628" s="18"/>
    </row>
    <row r="2629" spans="1:5" ht="16.5" thickTop="1" thickBot="1" x14ac:dyDescent="0.3">
      <c r="A2629" s="28">
        <v>5.1514680971827556</v>
      </c>
      <c r="B2629" s="27">
        <v>0</v>
      </c>
      <c r="C2629" s="27">
        <v>6.2</v>
      </c>
      <c r="E2629" s="18"/>
    </row>
    <row r="2630" spans="1:5" ht="16.5" thickTop="1" thickBot="1" x14ac:dyDescent="0.3">
      <c r="A2630" s="28">
        <v>2.9937679894641738</v>
      </c>
      <c r="B2630" s="27">
        <v>0</v>
      </c>
      <c r="C2630" s="27">
        <v>6.2</v>
      </c>
      <c r="E2630" s="18"/>
    </row>
    <row r="2631" spans="1:5" ht="16.5" thickTop="1" thickBot="1" x14ac:dyDescent="0.3">
      <c r="A2631" s="28">
        <v>2.8798466606996906</v>
      </c>
      <c r="B2631" s="27">
        <v>0</v>
      </c>
      <c r="C2631" s="27">
        <v>6.2</v>
      </c>
      <c r="E2631" s="18"/>
    </row>
    <row r="2632" spans="1:5" ht="16.5" thickTop="1" thickBot="1" x14ac:dyDescent="0.3">
      <c r="A2632" s="28">
        <v>4.6062018914642255</v>
      </c>
      <c r="B2632" s="27">
        <v>0</v>
      </c>
      <c r="C2632" s="27">
        <v>6.2</v>
      </c>
      <c r="E2632" s="18"/>
    </row>
    <row r="2633" spans="1:5" ht="16.5" thickTop="1" thickBot="1" x14ac:dyDescent="0.3">
      <c r="A2633" s="28">
        <v>11.97961549148752</v>
      </c>
      <c r="B2633" s="27">
        <v>0</v>
      </c>
      <c r="C2633" s="27">
        <v>6.2</v>
      </c>
      <c r="E2633" s="18"/>
    </row>
    <row r="2634" spans="1:5" ht="16.5" thickTop="1" thickBot="1" x14ac:dyDescent="0.3">
      <c r="A2634" s="28">
        <v>2.5272360170459822</v>
      </c>
      <c r="B2634" s="27">
        <v>0</v>
      </c>
      <c r="C2634" s="27">
        <v>6.2</v>
      </c>
      <c r="E2634" s="18"/>
    </row>
    <row r="2635" spans="1:5" ht="16.5" thickTop="1" thickBot="1" x14ac:dyDescent="0.3">
      <c r="A2635" s="28">
        <v>0.51698011122062759</v>
      </c>
      <c r="B2635" s="27">
        <v>0</v>
      </c>
      <c r="C2635" s="27">
        <v>6.2</v>
      </c>
      <c r="E2635" s="18"/>
    </row>
    <row r="2636" spans="1:5" ht="16.5" thickTop="1" thickBot="1" x14ac:dyDescent="0.3">
      <c r="A2636" s="28">
        <v>4.8646802156619016</v>
      </c>
      <c r="B2636" s="27">
        <v>0</v>
      </c>
      <c r="C2636" s="27">
        <v>6.2</v>
      </c>
      <c r="E2636" s="18"/>
    </row>
    <row r="2637" spans="1:5" ht="16.5" thickTop="1" thickBot="1" x14ac:dyDescent="0.3">
      <c r="A2637" s="28">
        <v>3.4476684410787191</v>
      </c>
      <c r="B2637" s="27">
        <v>0</v>
      </c>
      <c r="C2637" s="27">
        <v>6.2</v>
      </c>
      <c r="E2637" s="18"/>
    </row>
    <row r="2638" spans="1:5" ht="16.5" thickTop="1" thickBot="1" x14ac:dyDescent="0.3">
      <c r="A2638" s="28">
        <v>3.3381006677275593</v>
      </c>
      <c r="B2638" s="27">
        <v>0</v>
      </c>
      <c r="C2638" s="27">
        <v>6.2</v>
      </c>
      <c r="E2638" s="18"/>
    </row>
    <row r="2639" spans="1:5" ht="16.5" thickTop="1" thickBot="1" x14ac:dyDescent="0.3">
      <c r="A2639" s="28">
        <v>2.7814077340561796</v>
      </c>
      <c r="B2639" s="27">
        <v>0</v>
      </c>
      <c r="C2639" s="27">
        <v>6.2</v>
      </c>
      <c r="E2639" s="18"/>
    </row>
    <row r="2640" spans="1:5" ht="16.5" thickTop="1" thickBot="1" x14ac:dyDescent="0.3">
      <c r="A2640" s="28">
        <v>4.9673737575004946</v>
      </c>
      <c r="B2640" s="27">
        <v>0</v>
      </c>
      <c r="C2640" s="27">
        <v>6.2</v>
      </c>
      <c r="E2640" s="18"/>
    </row>
    <row r="2641" spans="1:5" ht="16.5" thickTop="1" thickBot="1" x14ac:dyDescent="0.3">
      <c r="A2641" s="28">
        <v>6.2212651312508083</v>
      </c>
      <c r="B2641" s="27">
        <v>0</v>
      </c>
      <c r="C2641" s="27">
        <v>6.2</v>
      </c>
      <c r="E2641" s="18"/>
    </row>
    <row r="2642" spans="1:5" ht="16.5" thickTop="1" thickBot="1" x14ac:dyDescent="0.3">
      <c r="A2642" s="28">
        <v>1.8976798978966354</v>
      </c>
      <c r="B2642" s="27">
        <v>0</v>
      </c>
      <c r="C2642" s="27">
        <v>6.2</v>
      </c>
      <c r="E2642" s="18"/>
    </row>
    <row r="2643" spans="1:5" ht="16.5" thickTop="1" thickBot="1" x14ac:dyDescent="0.3">
      <c r="A2643" s="28">
        <v>0.74219019963767785</v>
      </c>
      <c r="B2643" s="27">
        <v>0</v>
      </c>
      <c r="C2643" s="27">
        <v>11.7</v>
      </c>
      <c r="E2643" s="18"/>
    </row>
    <row r="2644" spans="1:5" ht="16.5" thickTop="1" thickBot="1" x14ac:dyDescent="0.3">
      <c r="A2644" s="28">
        <v>3.7625116615960454</v>
      </c>
      <c r="B2644" s="27">
        <v>0</v>
      </c>
      <c r="C2644" s="27">
        <v>11.7</v>
      </c>
      <c r="E2644" s="18"/>
    </row>
    <row r="2645" spans="1:5" ht="16.5" thickTop="1" thickBot="1" x14ac:dyDescent="0.3">
      <c r="A2645" s="28">
        <v>6.0587317539842562</v>
      </c>
      <c r="B2645" s="27">
        <v>0</v>
      </c>
      <c r="C2645" s="27">
        <v>11.7</v>
      </c>
      <c r="E2645" s="18"/>
    </row>
    <row r="2646" spans="1:5" ht="16.5" thickTop="1" thickBot="1" x14ac:dyDescent="0.3">
      <c r="A2646" s="28">
        <v>4.5688787791527377</v>
      </c>
      <c r="B2646" s="27">
        <v>0</v>
      </c>
      <c r="C2646" s="27">
        <v>11.7</v>
      </c>
      <c r="E2646" s="18"/>
    </row>
    <row r="2647" spans="1:5" ht="16.5" thickTop="1" thickBot="1" x14ac:dyDescent="0.3">
      <c r="A2647" s="28">
        <v>8.8186336151551785</v>
      </c>
      <c r="B2647" s="27">
        <v>0</v>
      </c>
      <c r="C2647" s="27">
        <v>11.7</v>
      </c>
      <c r="E2647" s="18"/>
    </row>
    <row r="2648" spans="1:5" ht="16.5" thickTop="1" thickBot="1" x14ac:dyDescent="0.3">
      <c r="A2648" s="28">
        <v>0.36725633407649971</v>
      </c>
      <c r="B2648" s="27">
        <v>0</v>
      </c>
      <c r="C2648" s="27">
        <v>11.7</v>
      </c>
      <c r="E2648" s="18"/>
    </row>
    <row r="2649" spans="1:5" ht="16.5" thickTop="1" thickBot="1" x14ac:dyDescent="0.3">
      <c r="A2649" s="28">
        <v>3.7274671295854636</v>
      </c>
      <c r="B2649" s="27">
        <v>0</v>
      </c>
      <c r="C2649" s="27">
        <v>11.7</v>
      </c>
      <c r="E2649" s="18"/>
    </row>
    <row r="2650" spans="1:5" ht="16.5" thickTop="1" thickBot="1" x14ac:dyDescent="0.3">
      <c r="A2650" s="28">
        <v>4.9801124229720006</v>
      </c>
      <c r="B2650" s="27">
        <v>0</v>
      </c>
      <c r="C2650" s="27">
        <v>11.7</v>
      </c>
      <c r="E2650" s="18"/>
    </row>
    <row r="2651" spans="1:5" ht="16.5" thickTop="1" thickBot="1" x14ac:dyDescent="0.3">
      <c r="A2651" s="28">
        <v>5.2041002103223013</v>
      </c>
      <c r="B2651" s="27">
        <v>0</v>
      </c>
      <c r="C2651" s="27">
        <v>11.7</v>
      </c>
      <c r="E2651" s="18"/>
    </row>
    <row r="2652" spans="1:5" ht="16.5" thickTop="1" thickBot="1" x14ac:dyDescent="0.3">
      <c r="A2652" s="28">
        <v>5.9777035564675973</v>
      </c>
      <c r="B2652" s="27">
        <v>0</v>
      </c>
      <c r="C2652" s="27">
        <v>11.7</v>
      </c>
      <c r="E2652" s="18"/>
    </row>
    <row r="2653" spans="1:5" ht="16.5" thickTop="1" thickBot="1" x14ac:dyDescent="0.3">
      <c r="A2653" s="28">
        <v>6.8042977161730356</v>
      </c>
      <c r="B2653" s="27">
        <v>0</v>
      </c>
      <c r="C2653" s="27">
        <v>11.7</v>
      </c>
      <c r="E2653" s="18"/>
    </row>
    <row r="2654" spans="1:5" ht="16.5" thickTop="1" thickBot="1" x14ac:dyDescent="0.3">
      <c r="A2654" s="28">
        <v>3.2968326359523097</v>
      </c>
      <c r="B2654" s="27">
        <v>0</v>
      </c>
      <c r="C2654" s="27">
        <v>11.7</v>
      </c>
      <c r="E2654" s="18"/>
    </row>
    <row r="2655" spans="1:5" ht="16.5" thickTop="1" thickBot="1" x14ac:dyDescent="0.3">
      <c r="A2655" s="28">
        <v>4.3046665023260129</v>
      </c>
      <c r="B2655" s="27">
        <v>0</v>
      </c>
      <c r="C2655" s="27">
        <v>11.7</v>
      </c>
      <c r="E2655" s="18"/>
    </row>
    <row r="2656" spans="1:5" ht="16.5" thickTop="1" thickBot="1" x14ac:dyDescent="0.3">
      <c r="A2656" s="28">
        <v>2.7486774135652081</v>
      </c>
      <c r="B2656" s="27">
        <v>0</v>
      </c>
      <c r="C2656" s="27">
        <v>11.7</v>
      </c>
      <c r="E2656" s="18"/>
    </row>
    <row r="2657" spans="1:5" ht="16.5" thickTop="1" thickBot="1" x14ac:dyDescent="0.3">
      <c r="A2657" s="28">
        <v>9.0186637826055769</v>
      </c>
      <c r="B2657" s="27">
        <v>0</v>
      </c>
      <c r="C2657" s="27">
        <v>11.7</v>
      </c>
      <c r="E2657" s="18"/>
    </row>
    <row r="2658" spans="1:5" ht="16.5" thickTop="1" thickBot="1" x14ac:dyDescent="0.3">
      <c r="A2658" s="28">
        <v>0.84969666002637867</v>
      </c>
      <c r="B2658" s="27">
        <v>0</v>
      </c>
      <c r="C2658" s="27">
        <v>11.7</v>
      </c>
      <c r="E2658" s="18"/>
    </row>
    <row r="2659" spans="1:5" ht="16.5" thickTop="1" thickBot="1" x14ac:dyDescent="0.3">
      <c r="A2659" s="28">
        <v>11.035375106491799</v>
      </c>
      <c r="B2659" s="27">
        <v>0</v>
      </c>
      <c r="C2659" s="27">
        <v>11.7</v>
      </c>
      <c r="E2659" s="18"/>
    </row>
    <row r="2660" spans="1:5" ht="16.5" thickTop="1" thickBot="1" x14ac:dyDescent="0.3">
      <c r="A2660" s="28">
        <v>6.2442996807958933</v>
      </c>
      <c r="B2660" s="27">
        <v>0</v>
      </c>
      <c r="C2660" s="27">
        <v>24.5</v>
      </c>
      <c r="E2660" s="18"/>
    </row>
    <row r="2661" spans="1:5" ht="16.5" thickTop="1" thickBot="1" x14ac:dyDescent="0.3">
      <c r="A2661" s="28">
        <v>9.1344721875170674</v>
      </c>
      <c r="B2661" s="27">
        <v>0</v>
      </c>
      <c r="C2661" s="27">
        <v>24.5</v>
      </c>
      <c r="E2661" s="18"/>
    </row>
    <row r="2662" spans="1:5" ht="16.5" thickTop="1" thickBot="1" x14ac:dyDescent="0.3">
      <c r="A2662" s="28">
        <v>5.7373068985209743</v>
      </c>
      <c r="B2662" s="27">
        <v>0</v>
      </c>
      <c r="C2662" s="27">
        <v>24.5</v>
      </c>
      <c r="E2662" s="18"/>
    </row>
    <row r="2663" spans="1:5" ht="16.5" thickTop="1" thickBot="1" x14ac:dyDescent="0.3">
      <c r="A2663" s="28">
        <v>5.2127155616823266</v>
      </c>
      <c r="B2663" s="27">
        <v>0</v>
      </c>
      <c r="C2663" s="27">
        <v>24.5</v>
      </c>
      <c r="E2663" s="18"/>
    </row>
    <row r="2664" spans="1:5" ht="16.5" thickTop="1" thickBot="1" x14ac:dyDescent="0.3">
      <c r="A2664" s="28">
        <v>1.2144560392186152</v>
      </c>
      <c r="B2664" s="27">
        <v>0</v>
      </c>
      <c r="C2664" s="27">
        <v>24.5</v>
      </c>
      <c r="E2664" s="18"/>
    </row>
    <row r="2665" spans="1:5" ht="16.5" thickTop="1" thickBot="1" x14ac:dyDescent="0.3">
      <c r="A2665" s="28">
        <v>2.424541076545998</v>
      </c>
      <c r="B2665" s="27">
        <v>0</v>
      </c>
      <c r="C2665" s="27">
        <v>24.5</v>
      </c>
      <c r="E2665" s="18"/>
    </row>
    <row r="2666" spans="1:5" ht="16.5" thickTop="1" thickBot="1" x14ac:dyDescent="0.3">
      <c r="A2666" s="28">
        <v>5.2757457728312813</v>
      </c>
      <c r="B2666" s="27">
        <v>0</v>
      </c>
      <c r="C2666" s="27">
        <v>24.5</v>
      </c>
      <c r="E2666" s="18"/>
    </row>
    <row r="2667" spans="1:5" ht="16.5" thickTop="1" thickBot="1" x14ac:dyDescent="0.3">
      <c r="A2667" s="28">
        <v>9.8349935619293412</v>
      </c>
      <c r="B2667" s="27">
        <v>0</v>
      </c>
      <c r="C2667" s="27">
        <v>24.5</v>
      </c>
      <c r="E2667" s="18"/>
    </row>
    <row r="2668" spans="1:5" ht="16.5" thickTop="1" thickBot="1" x14ac:dyDescent="0.3">
      <c r="A2668" s="28">
        <v>1.645456076947752</v>
      </c>
      <c r="B2668" s="27">
        <v>0</v>
      </c>
      <c r="C2668" s="27">
        <v>24.5</v>
      </c>
      <c r="E2668" s="18"/>
    </row>
    <row r="2669" spans="1:5" ht="16.5" thickTop="1" thickBot="1" x14ac:dyDescent="0.3">
      <c r="A2669" s="28">
        <v>8.0903725903413903</v>
      </c>
      <c r="B2669" s="27">
        <v>0</v>
      </c>
      <c r="C2669" s="27">
        <v>24.5</v>
      </c>
      <c r="E2669" s="18"/>
    </row>
    <row r="2670" spans="1:5" ht="16.5" thickTop="1" thickBot="1" x14ac:dyDescent="0.3">
      <c r="A2670" s="28">
        <v>3.7197691759738905</v>
      </c>
      <c r="B2670" s="27">
        <v>0</v>
      </c>
      <c r="C2670" s="27">
        <v>24.5</v>
      </c>
      <c r="E2670" s="18"/>
    </row>
    <row r="2671" spans="1:5" ht="16.5" thickTop="1" thickBot="1" x14ac:dyDescent="0.3">
      <c r="A2671" s="28">
        <v>11.682837443099539</v>
      </c>
      <c r="B2671" s="27">
        <v>0</v>
      </c>
      <c r="C2671" s="27">
        <v>24.5</v>
      </c>
      <c r="E2671" s="18"/>
    </row>
    <row r="2672" spans="1:5" ht="16.5" thickTop="1" thickBot="1" x14ac:dyDescent="0.3">
      <c r="A2672" s="28">
        <v>6.4733888709797496</v>
      </c>
      <c r="B2672" s="27">
        <v>0</v>
      </c>
      <c r="C2672" s="27">
        <v>24.5</v>
      </c>
      <c r="E2672" s="18"/>
    </row>
    <row r="2673" spans="1:5" ht="16.5" thickTop="1" thickBot="1" x14ac:dyDescent="0.3">
      <c r="A2673" s="28">
        <v>0.37756683312120964</v>
      </c>
      <c r="B2673" s="27">
        <v>0</v>
      </c>
      <c r="C2673" s="27">
        <v>10.8</v>
      </c>
      <c r="E2673" s="18"/>
    </row>
    <row r="2674" spans="1:5" ht="16.5" thickTop="1" thickBot="1" x14ac:dyDescent="0.3">
      <c r="A2674" s="28">
        <v>1.4850488756404956</v>
      </c>
      <c r="B2674" s="27">
        <v>0</v>
      </c>
      <c r="C2674" s="27">
        <v>10.8</v>
      </c>
      <c r="E2674" s="18"/>
    </row>
    <row r="2675" spans="1:5" ht="16.5" thickTop="1" thickBot="1" x14ac:dyDescent="0.3">
      <c r="A2675" s="28">
        <v>1.5722651696559131</v>
      </c>
      <c r="B2675" s="27">
        <v>0</v>
      </c>
      <c r="C2675" s="27">
        <v>10.8</v>
      </c>
      <c r="E2675" s="18"/>
    </row>
    <row r="2676" spans="1:5" ht="16.5" thickTop="1" thickBot="1" x14ac:dyDescent="0.3">
      <c r="A2676" s="28">
        <v>3.5880246863813987</v>
      </c>
      <c r="B2676" s="27">
        <v>0</v>
      </c>
      <c r="C2676" s="27">
        <v>10.8</v>
      </c>
      <c r="E2676" s="18"/>
    </row>
    <row r="2677" spans="1:5" ht="16.5" thickTop="1" thickBot="1" x14ac:dyDescent="0.3">
      <c r="A2677" s="28">
        <v>1.6996794671873459</v>
      </c>
      <c r="B2677" s="27">
        <v>0</v>
      </c>
      <c r="C2677" s="27">
        <v>10.8</v>
      </c>
      <c r="E2677" s="18"/>
    </row>
    <row r="2678" spans="1:5" ht="16.5" thickTop="1" thickBot="1" x14ac:dyDescent="0.3">
      <c r="A2678" s="28">
        <v>5.5472326865507977</v>
      </c>
      <c r="B2678" s="27">
        <v>0</v>
      </c>
      <c r="C2678" s="27">
        <v>10.8</v>
      </c>
      <c r="E2678" s="18"/>
    </row>
    <row r="2679" spans="1:5" ht="16.5" thickTop="1" thickBot="1" x14ac:dyDescent="0.3">
      <c r="A2679" s="28">
        <v>2.7150143944424627</v>
      </c>
      <c r="B2679" s="27">
        <v>0</v>
      </c>
      <c r="C2679" s="27">
        <v>10.8</v>
      </c>
      <c r="E2679" s="18"/>
    </row>
    <row r="2680" spans="1:5" ht="16.5" thickTop="1" thickBot="1" x14ac:dyDescent="0.3">
      <c r="A2680" s="28">
        <v>1.9483818690538324</v>
      </c>
      <c r="B2680" s="27">
        <v>0</v>
      </c>
      <c r="C2680" s="27">
        <v>10.8</v>
      </c>
      <c r="E2680" s="18"/>
    </row>
    <row r="2681" spans="1:5" ht="16.5" thickTop="1" thickBot="1" x14ac:dyDescent="0.3">
      <c r="A2681" s="28">
        <v>4.7828974726598013</v>
      </c>
      <c r="B2681" s="27">
        <v>0</v>
      </c>
      <c r="C2681" s="27">
        <v>10</v>
      </c>
      <c r="E2681" s="18"/>
    </row>
    <row r="2682" spans="1:5" ht="16.5" thickTop="1" thickBot="1" x14ac:dyDescent="0.3">
      <c r="A2682" s="28">
        <v>4.5119899044586651</v>
      </c>
      <c r="B2682" s="27">
        <v>0</v>
      </c>
      <c r="C2682" s="27">
        <v>10</v>
      </c>
      <c r="E2682" s="18"/>
    </row>
    <row r="2683" spans="1:5" ht="16.5" thickTop="1" thickBot="1" x14ac:dyDescent="0.3">
      <c r="A2683" s="28">
        <v>11.791309768603544</v>
      </c>
      <c r="B2683" s="27">
        <v>0</v>
      </c>
      <c r="C2683" s="27">
        <v>10</v>
      </c>
      <c r="E2683" s="18"/>
    </row>
    <row r="2684" spans="1:5" ht="16.5" thickTop="1" thickBot="1" x14ac:dyDescent="0.3">
      <c r="A2684" s="28">
        <v>2.3521496613558375</v>
      </c>
      <c r="B2684" s="27">
        <v>0</v>
      </c>
      <c r="C2684" s="27">
        <v>10</v>
      </c>
      <c r="E2684" s="18"/>
    </row>
    <row r="2685" spans="1:5" ht="16.5" thickTop="1" thickBot="1" x14ac:dyDescent="0.3">
      <c r="A2685" s="28">
        <v>7.4443573899916577</v>
      </c>
      <c r="B2685" s="27">
        <v>0</v>
      </c>
      <c r="C2685" s="27">
        <v>10</v>
      </c>
      <c r="E2685" s="18"/>
    </row>
    <row r="2686" spans="1:5" ht="16.5" thickTop="1" thickBot="1" x14ac:dyDescent="0.3">
      <c r="A2686" s="28">
        <v>2.5487545395954694</v>
      </c>
      <c r="B2686" s="27">
        <v>0</v>
      </c>
      <c r="C2686" s="27">
        <v>10</v>
      </c>
      <c r="E2686" s="18"/>
    </row>
    <row r="2687" spans="1:5" ht="16.5" thickTop="1" thickBot="1" x14ac:dyDescent="0.3">
      <c r="A2687" s="28">
        <v>1.5939020222605773</v>
      </c>
      <c r="B2687" s="27">
        <v>0</v>
      </c>
      <c r="C2687" s="27">
        <v>10</v>
      </c>
      <c r="E2687" s="18"/>
    </row>
    <row r="2688" spans="1:5" ht="16.5" thickTop="1" thickBot="1" x14ac:dyDescent="0.3">
      <c r="A2688" s="28">
        <v>3.9259743148236788</v>
      </c>
      <c r="B2688" s="27">
        <v>0</v>
      </c>
      <c r="C2688" s="27">
        <v>10</v>
      </c>
      <c r="E2688" s="18"/>
    </row>
    <row r="2689" spans="1:5" ht="16.5" thickTop="1" thickBot="1" x14ac:dyDescent="0.3">
      <c r="A2689" s="28">
        <v>8.6335779273188535</v>
      </c>
      <c r="B2689" s="27">
        <v>0</v>
      </c>
      <c r="C2689" s="27">
        <v>10</v>
      </c>
      <c r="E2689" s="18"/>
    </row>
    <row r="2690" spans="1:5" ht="16.5" thickTop="1" thickBot="1" x14ac:dyDescent="0.3">
      <c r="A2690" s="28">
        <v>1.5760243175497388</v>
      </c>
      <c r="B2690" s="27">
        <v>0</v>
      </c>
      <c r="C2690" s="27">
        <v>10</v>
      </c>
      <c r="E2690" s="18"/>
    </row>
    <row r="2691" spans="1:5" ht="16.5" thickTop="1" thickBot="1" x14ac:dyDescent="0.3">
      <c r="A2691" s="28">
        <v>9.3081848944100862</v>
      </c>
      <c r="B2691" s="27">
        <v>0</v>
      </c>
      <c r="C2691" s="27">
        <v>10</v>
      </c>
      <c r="E2691" s="18"/>
    </row>
    <row r="2692" spans="1:5" ht="16.5" thickTop="1" thickBot="1" x14ac:dyDescent="0.3">
      <c r="A2692" s="28">
        <v>2.1537568246549941</v>
      </c>
      <c r="B2692" s="27">
        <v>0</v>
      </c>
      <c r="C2692" s="27">
        <v>10</v>
      </c>
      <c r="E2692" s="18"/>
    </row>
    <row r="2693" spans="1:5" ht="16.5" thickTop="1" thickBot="1" x14ac:dyDescent="0.3">
      <c r="A2693" s="28">
        <v>2.6620995559256753</v>
      </c>
      <c r="B2693" s="27">
        <v>0</v>
      </c>
      <c r="C2693" s="27">
        <v>10</v>
      </c>
      <c r="E2693" s="18"/>
    </row>
    <row r="2694" spans="1:5" ht="16.5" thickTop="1" thickBot="1" x14ac:dyDescent="0.3">
      <c r="A2694" s="28">
        <v>3.6793551177471167</v>
      </c>
      <c r="B2694" s="27">
        <v>0</v>
      </c>
      <c r="C2694" s="27">
        <v>10</v>
      </c>
      <c r="E2694" s="18"/>
    </row>
    <row r="2695" spans="1:5" ht="16.5" thickTop="1" thickBot="1" x14ac:dyDescent="0.3">
      <c r="A2695" s="28">
        <v>4.7410195564022413</v>
      </c>
      <c r="B2695" s="27">
        <v>0</v>
      </c>
      <c r="C2695" s="27">
        <v>10</v>
      </c>
      <c r="E2695" s="18"/>
    </row>
    <row r="2696" spans="1:5" ht="16.5" thickTop="1" thickBot="1" x14ac:dyDescent="0.3">
      <c r="A2696" s="28">
        <v>0.96692623575260539</v>
      </c>
      <c r="B2696" s="27">
        <v>0</v>
      </c>
      <c r="C2696" s="27">
        <v>12.3</v>
      </c>
      <c r="E2696" s="18"/>
    </row>
    <row r="2697" spans="1:5" ht="16.5" thickTop="1" thickBot="1" x14ac:dyDescent="0.3">
      <c r="A2697" s="28">
        <v>2.3995360184227352</v>
      </c>
      <c r="B2697" s="27">
        <v>0</v>
      </c>
      <c r="C2697" s="27">
        <v>12.3</v>
      </c>
      <c r="E2697" s="18"/>
    </row>
    <row r="2698" spans="1:5" ht="16.5" thickTop="1" thickBot="1" x14ac:dyDescent="0.3">
      <c r="A2698" s="28">
        <v>6.553679788851424</v>
      </c>
      <c r="B2698" s="27">
        <v>0</v>
      </c>
      <c r="C2698" s="27">
        <v>12.3</v>
      </c>
      <c r="E2698" s="18"/>
    </row>
    <row r="2699" spans="1:5" ht="16.5" thickTop="1" thickBot="1" x14ac:dyDescent="0.3">
      <c r="A2699" s="28">
        <v>9.2490538803524061</v>
      </c>
      <c r="B2699" s="27">
        <v>0</v>
      </c>
      <c r="C2699" s="27">
        <v>12.3</v>
      </c>
      <c r="E2699" s="18"/>
    </row>
    <row r="2700" spans="1:5" ht="16.5" thickTop="1" thickBot="1" x14ac:dyDescent="0.3">
      <c r="A2700" s="28">
        <v>6.5615473198923766</v>
      </c>
      <c r="B2700" s="27">
        <v>0</v>
      </c>
      <c r="C2700" s="27">
        <v>12.3</v>
      </c>
      <c r="E2700" s="18"/>
    </row>
    <row r="2701" spans="1:5" ht="16.5" thickTop="1" thickBot="1" x14ac:dyDescent="0.3">
      <c r="A2701" s="28">
        <v>4.5795564197061687</v>
      </c>
      <c r="B2701" s="27">
        <v>0</v>
      </c>
      <c r="C2701" s="27">
        <v>12.3</v>
      </c>
      <c r="E2701" s="18"/>
    </row>
    <row r="2702" spans="1:5" ht="16.5" thickTop="1" thickBot="1" x14ac:dyDescent="0.3">
      <c r="A2702" s="28">
        <v>4.3573264824368882</v>
      </c>
      <c r="B2702" s="27">
        <v>0</v>
      </c>
      <c r="C2702" s="27">
        <v>12.3</v>
      </c>
      <c r="E2702" s="18"/>
    </row>
    <row r="2703" spans="1:5" ht="16.5" thickTop="1" thickBot="1" x14ac:dyDescent="0.3">
      <c r="A2703" s="28">
        <v>9.5532903160687077</v>
      </c>
      <c r="B2703" s="27">
        <v>0</v>
      </c>
      <c r="C2703" s="27">
        <v>12.3</v>
      </c>
      <c r="E2703" s="18"/>
    </row>
    <row r="2704" spans="1:5" ht="16.5" thickTop="1" thickBot="1" x14ac:dyDescent="0.3">
      <c r="A2704" s="28">
        <v>5.197506617367706</v>
      </c>
      <c r="B2704" s="27">
        <v>0</v>
      </c>
      <c r="C2704" s="27">
        <v>12.3</v>
      </c>
      <c r="E2704" s="18"/>
    </row>
    <row r="2705" spans="1:5" ht="16.5" thickTop="1" thickBot="1" x14ac:dyDescent="0.3">
      <c r="A2705" s="28">
        <v>11.268837393874461</v>
      </c>
      <c r="B2705" s="27">
        <v>0</v>
      </c>
      <c r="C2705" s="27">
        <v>12.3</v>
      </c>
      <c r="E2705" s="18"/>
    </row>
    <row r="2706" spans="1:5" ht="16.5" thickTop="1" thickBot="1" x14ac:dyDescent="0.3">
      <c r="A2706" s="28">
        <v>1.5457368612921418</v>
      </c>
      <c r="B2706" s="27">
        <v>0</v>
      </c>
      <c r="C2706" s="27">
        <v>12.3</v>
      </c>
      <c r="E2706" s="18"/>
    </row>
    <row r="2707" spans="1:5" ht="16.5" thickTop="1" thickBot="1" x14ac:dyDescent="0.3">
      <c r="A2707" s="28">
        <v>10.46422474224317</v>
      </c>
      <c r="B2707" s="27">
        <v>0</v>
      </c>
      <c r="C2707" s="27">
        <v>12.3</v>
      </c>
      <c r="E2707" s="18"/>
    </row>
    <row r="2708" spans="1:5" ht="16.5" thickTop="1" thickBot="1" x14ac:dyDescent="0.3">
      <c r="A2708" s="28">
        <v>6.0289456971950246</v>
      </c>
      <c r="B2708" s="27">
        <v>0</v>
      </c>
      <c r="C2708" s="27">
        <v>12.3</v>
      </c>
      <c r="E2708" s="18"/>
    </row>
    <row r="2709" spans="1:5" ht="16.5" thickTop="1" thickBot="1" x14ac:dyDescent="0.3">
      <c r="A2709" s="28">
        <v>6.5615985258828129</v>
      </c>
      <c r="B2709" s="27">
        <v>0</v>
      </c>
      <c r="C2709" s="27">
        <v>12.3</v>
      </c>
      <c r="E2709" s="18"/>
    </row>
    <row r="2710" spans="1:5" ht="16.5" thickTop="1" thickBot="1" x14ac:dyDescent="0.3">
      <c r="A2710" s="28">
        <v>5.8143010342584329</v>
      </c>
      <c r="B2710" s="27">
        <v>0</v>
      </c>
      <c r="C2710" s="27">
        <v>14.8</v>
      </c>
      <c r="E2710" s="18"/>
    </row>
    <row r="2711" spans="1:5" ht="16.5" thickTop="1" thickBot="1" x14ac:dyDescent="0.3">
      <c r="A2711" s="28">
        <v>11.208145314382557</v>
      </c>
      <c r="B2711" s="27">
        <v>0</v>
      </c>
      <c r="C2711" s="27">
        <v>14.8</v>
      </c>
      <c r="E2711" s="18"/>
    </row>
    <row r="2712" spans="1:5" ht="16.5" thickTop="1" thickBot="1" x14ac:dyDescent="0.3">
      <c r="A2712" s="28">
        <v>5.1563059759716765</v>
      </c>
      <c r="B2712" s="27">
        <v>0</v>
      </c>
      <c r="C2712" s="27">
        <v>14.8</v>
      </c>
      <c r="E2712" s="18"/>
    </row>
    <row r="2713" spans="1:5" ht="16.5" thickTop="1" thickBot="1" x14ac:dyDescent="0.3">
      <c r="A2713" s="28">
        <v>4.7250740139548597</v>
      </c>
      <c r="B2713" s="27">
        <v>0</v>
      </c>
      <c r="C2713" s="27">
        <v>14.8</v>
      </c>
      <c r="E2713" s="18"/>
    </row>
    <row r="2714" spans="1:5" ht="16.5" thickTop="1" thickBot="1" x14ac:dyDescent="0.3">
      <c r="A2714" s="28">
        <v>0.40277878303874814</v>
      </c>
      <c r="B2714" s="27">
        <v>0</v>
      </c>
      <c r="C2714" s="27">
        <v>14.8</v>
      </c>
      <c r="E2714" s="18"/>
    </row>
    <row r="2715" spans="1:5" ht="16.5" thickTop="1" thickBot="1" x14ac:dyDescent="0.3">
      <c r="A2715" s="28">
        <v>2.5801703881238272</v>
      </c>
      <c r="B2715" s="27">
        <v>0</v>
      </c>
      <c r="C2715" s="27">
        <v>14.8</v>
      </c>
      <c r="E2715" s="18"/>
    </row>
    <row r="2716" spans="1:5" ht="16.5" thickTop="1" thickBot="1" x14ac:dyDescent="0.3">
      <c r="A2716" s="28">
        <v>1.1783152285024052</v>
      </c>
      <c r="B2716" s="27">
        <v>0</v>
      </c>
      <c r="C2716" s="27">
        <v>14.8</v>
      </c>
      <c r="E2716" s="18"/>
    </row>
    <row r="2717" spans="1:5" ht="16.5" thickTop="1" thickBot="1" x14ac:dyDescent="0.3">
      <c r="A2717" s="28">
        <v>8.1029638820651133</v>
      </c>
      <c r="B2717" s="27">
        <v>0</v>
      </c>
      <c r="C2717" s="27">
        <v>14.8</v>
      </c>
      <c r="E2717" s="18"/>
    </row>
    <row r="2718" spans="1:5" ht="16.5" thickTop="1" thickBot="1" x14ac:dyDescent="0.3">
      <c r="A2718" s="28">
        <v>4.505270686545547</v>
      </c>
      <c r="B2718" s="27">
        <v>0</v>
      </c>
      <c r="C2718" s="27">
        <v>14.8</v>
      </c>
      <c r="E2718" s="18"/>
    </row>
    <row r="2719" spans="1:5" ht="16.5" thickTop="1" thickBot="1" x14ac:dyDescent="0.3">
      <c r="A2719" s="28">
        <v>1.265840730455766</v>
      </c>
      <c r="B2719" s="27">
        <v>0</v>
      </c>
      <c r="C2719" s="27">
        <v>14.8</v>
      </c>
      <c r="E2719" s="18"/>
    </row>
    <row r="2720" spans="1:5" ht="16.5" thickTop="1" thickBot="1" x14ac:dyDescent="0.3">
      <c r="A2720" s="28">
        <v>4.7876656625603591</v>
      </c>
      <c r="B2720" s="27">
        <v>0</v>
      </c>
      <c r="C2720" s="27">
        <v>14.8</v>
      </c>
      <c r="E2720" s="18"/>
    </row>
    <row r="2721" spans="1:5" ht="16.5" thickTop="1" thickBot="1" x14ac:dyDescent="0.3">
      <c r="A2721" s="28">
        <v>6.3928055209849273</v>
      </c>
      <c r="B2721" s="27">
        <v>0</v>
      </c>
      <c r="C2721" s="27">
        <v>14.8</v>
      </c>
      <c r="E2721" s="18"/>
    </row>
    <row r="2722" spans="1:5" ht="16.5" thickTop="1" thickBot="1" x14ac:dyDescent="0.3">
      <c r="A2722" s="28">
        <v>3.6917534493998847</v>
      </c>
      <c r="B2722" s="27">
        <v>0</v>
      </c>
      <c r="C2722" s="27">
        <v>14.8</v>
      </c>
      <c r="E2722" s="18"/>
    </row>
    <row r="2723" spans="1:5" ht="16.5" thickTop="1" thickBot="1" x14ac:dyDescent="0.3">
      <c r="A2723" s="28">
        <v>11.715395203083892</v>
      </c>
      <c r="B2723" s="27">
        <v>0</v>
      </c>
      <c r="C2723" s="27">
        <v>14.8</v>
      </c>
      <c r="E2723" s="18"/>
    </row>
    <row r="2724" spans="1:5" ht="16.5" thickTop="1" thickBot="1" x14ac:dyDescent="0.3">
      <c r="A2724" s="28">
        <v>6.1599375635114191</v>
      </c>
      <c r="B2724" s="27">
        <v>0</v>
      </c>
      <c r="C2724" s="27">
        <v>14.8</v>
      </c>
      <c r="E2724" s="18"/>
    </row>
    <row r="2725" spans="1:5" ht="16.5" thickTop="1" thickBot="1" x14ac:dyDescent="0.3">
      <c r="A2725" s="28">
        <v>2.6338301977967822</v>
      </c>
      <c r="B2725" s="27">
        <v>0</v>
      </c>
      <c r="C2725" s="27">
        <v>6.7</v>
      </c>
      <c r="E2725" s="18"/>
    </row>
    <row r="2726" spans="1:5" ht="16.5" thickTop="1" thickBot="1" x14ac:dyDescent="0.3">
      <c r="A2726" s="28">
        <v>5.0598259227369908</v>
      </c>
      <c r="B2726" s="27">
        <v>0</v>
      </c>
      <c r="C2726" s="27">
        <v>6.7</v>
      </c>
      <c r="E2726" s="18"/>
    </row>
    <row r="2727" spans="1:5" ht="16.5" thickTop="1" thickBot="1" x14ac:dyDescent="0.3">
      <c r="A2727" s="28">
        <v>11.671772084515204</v>
      </c>
      <c r="B2727" s="27">
        <v>0</v>
      </c>
      <c r="C2727" s="27">
        <v>6.7</v>
      </c>
      <c r="E2727" s="18"/>
    </row>
    <row r="2728" spans="1:5" ht="16.5" thickTop="1" thickBot="1" x14ac:dyDescent="0.3">
      <c r="A2728" s="28">
        <v>5.248105176425792</v>
      </c>
      <c r="B2728" s="27">
        <v>0</v>
      </c>
      <c r="C2728" s="27">
        <v>6.7</v>
      </c>
      <c r="E2728" s="18"/>
    </row>
    <row r="2729" spans="1:5" ht="16.5" thickTop="1" thickBot="1" x14ac:dyDescent="0.3">
      <c r="A2729" s="28">
        <v>1.7992188945333263</v>
      </c>
      <c r="B2729" s="27">
        <v>0</v>
      </c>
      <c r="C2729" s="27">
        <v>6.7</v>
      </c>
      <c r="E2729" s="18"/>
    </row>
    <row r="2730" spans="1:5" ht="16.5" thickTop="1" thickBot="1" x14ac:dyDescent="0.3">
      <c r="A2730" s="28">
        <v>5.0185953841610118</v>
      </c>
      <c r="B2730" s="27">
        <v>0</v>
      </c>
      <c r="C2730" s="27">
        <v>6.7</v>
      </c>
      <c r="E2730" s="18"/>
    </row>
    <row r="2731" spans="1:5" ht="16.5" thickTop="1" thickBot="1" x14ac:dyDescent="0.3">
      <c r="A2731" s="28">
        <v>3.321179177770829</v>
      </c>
      <c r="B2731" s="27">
        <v>0</v>
      </c>
      <c r="C2731" s="27">
        <v>6.7</v>
      </c>
      <c r="E2731" s="18"/>
    </row>
    <row r="2732" spans="1:5" ht="16.5" thickTop="1" thickBot="1" x14ac:dyDescent="0.3">
      <c r="A2732" s="28">
        <v>3.9408297903167986</v>
      </c>
      <c r="B2732" s="27">
        <v>0</v>
      </c>
      <c r="C2732" s="27">
        <v>6.7</v>
      </c>
      <c r="E2732" s="18"/>
    </row>
    <row r="2733" spans="1:5" ht="16.5" thickTop="1" thickBot="1" x14ac:dyDescent="0.3">
      <c r="A2733" s="28">
        <v>6.9231659738628757</v>
      </c>
      <c r="B2733" s="27">
        <v>0</v>
      </c>
      <c r="C2733" s="27">
        <v>6.7</v>
      </c>
      <c r="E2733" s="18"/>
    </row>
    <row r="2734" spans="1:5" ht="16.5" thickTop="1" thickBot="1" x14ac:dyDescent="0.3">
      <c r="A2734" s="28">
        <v>1.8488141050431688</v>
      </c>
      <c r="B2734" s="27">
        <v>0</v>
      </c>
      <c r="C2734" s="27">
        <v>6.7</v>
      </c>
      <c r="E2734" s="18"/>
    </row>
    <row r="2735" spans="1:5" ht="16.5" thickTop="1" thickBot="1" x14ac:dyDescent="0.3">
      <c r="A2735" s="28">
        <v>7.8671855227986898</v>
      </c>
      <c r="B2735" s="27">
        <v>0</v>
      </c>
      <c r="C2735" s="27">
        <v>6.7</v>
      </c>
      <c r="E2735" s="18"/>
    </row>
    <row r="2736" spans="1:5" ht="16.5" thickTop="1" thickBot="1" x14ac:dyDescent="0.3">
      <c r="A2736" s="28">
        <v>4.8748094572081389</v>
      </c>
      <c r="B2736" s="27">
        <v>0</v>
      </c>
      <c r="C2736" s="27">
        <v>6.7</v>
      </c>
      <c r="E2736" s="18"/>
    </row>
    <row r="2737" spans="1:5" ht="16.5" thickTop="1" thickBot="1" x14ac:dyDescent="0.3">
      <c r="A2737" s="28">
        <v>7.3338445665524823</v>
      </c>
      <c r="B2737" s="27">
        <v>0</v>
      </c>
      <c r="C2737" s="27">
        <v>6.7</v>
      </c>
      <c r="E2737" s="18"/>
    </row>
    <row r="2738" spans="1:5" ht="16.5" thickTop="1" thickBot="1" x14ac:dyDescent="0.3">
      <c r="A2738" s="28">
        <v>6.5072265784126975</v>
      </c>
      <c r="B2738" s="27">
        <v>0</v>
      </c>
      <c r="C2738" s="27">
        <v>6.7</v>
      </c>
      <c r="E2738" s="18"/>
    </row>
    <row r="2739" spans="1:5" ht="16.5" thickTop="1" thickBot="1" x14ac:dyDescent="0.3">
      <c r="A2739" s="28">
        <v>0.6323151486284786</v>
      </c>
      <c r="B2739" s="27">
        <v>0</v>
      </c>
      <c r="C2739" s="27">
        <v>6.7</v>
      </c>
      <c r="E2739" s="18"/>
    </row>
    <row r="2740" spans="1:5" ht="16.5" thickTop="1" thickBot="1" x14ac:dyDescent="0.3">
      <c r="A2740" s="28">
        <v>4.3249754693658886</v>
      </c>
      <c r="B2740" s="27">
        <v>0</v>
      </c>
      <c r="C2740" s="27">
        <v>6.7</v>
      </c>
      <c r="E2740" s="18"/>
    </row>
    <row r="2741" spans="1:5" ht="16.5" thickTop="1" thickBot="1" x14ac:dyDescent="0.3">
      <c r="A2741" s="28">
        <v>5.1058808310470791</v>
      </c>
      <c r="B2741" s="27">
        <v>0</v>
      </c>
      <c r="C2741" s="27">
        <v>6.7</v>
      </c>
      <c r="E2741" s="18"/>
    </row>
    <row r="2742" spans="1:5" ht="16.5" thickTop="1" thickBot="1" x14ac:dyDescent="0.3">
      <c r="A2742" s="28">
        <v>2.9914240695788434</v>
      </c>
      <c r="B2742" s="27">
        <v>0</v>
      </c>
      <c r="C2742" s="27">
        <v>13.4</v>
      </c>
      <c r="E2742" s="18"/>
    </row>
    <row r="2743" spans="1:5" ht="16.5" thickTop="1" thickBot="1" x14ac:dyDescent="0.3">
      <c r="A2743" s="28">
        <v>11.105169991209316</v>
      </c>
      <c r="B2743" s="27">
        <v>0</v>
      </c>
      <c r="C2743" s="27">
        <v>13.4</v>
      </c>
      <c r="E2743" s="18"/>
    </row>
    <row r="2744" spans="1:5" ht="16.5" thickTop="1" thickBot="1" x14ac:dyDescent="0.3">
      <c r="A2744" s="28">
        <v>2.7558783061789724</v>
      </c>
      <c r="B2744" s="27">
        <v>0</v>
      </c>
      <c r="C2744" s="27">
        <v>13.4</v>
      </c>
      <c r="E2744" s="18"/>
    </row>
    <row r="2745" spans="1:5" ht="16.5" thickTop="1" thickBot="1" x14ac:dyDescent="0.3">
      <c r="A2745" s="28">
        <v>6.3423182927108916</v>
      </c>
      <c r="B2745" s="27">
        <v>0</v>
      </c>
      <c r="C2745" s="27">
        <v>13.4</v>
      </c>
      <c r="E2745" s="18"/>
    </row>
    <row r="2746" spans="1:5" ht="16.5" thickTop="1" thickBot="1" x14ac:dyDescent="0.3">
      <c r="A2746" s="28">
        <v>3.3893249387467321</v>
      </c>
      <c r="B2746" s="27">
        <v>0</v>
      </c>
      <c r="C2746" s="27">
        <v>13.4</v>
      </c>
      <c r="E2746" s="18"/>
    </row>
    <row r="2747" spans="1:5" ht="16.5" thickTop="1" thickBot="1" x14ac:dyDescent="0.3">
      <c r="A2747" s="28">
        <v>1.4769361920545805</v>
      </c>
      <c r="B2747" s="27">
        <v>0</v>
      </c>
      <c r="C2747" s="27">
        <v>13.4</v>
      </c>
      <c r="E2747" s="18"/>
    </row>
    <row r="2748" spans="1:5" ht="16.5" thickTop="1" thickBot="1" x14ac:dyDescent="0.3">
      <c r="A2748" s="28">
        <v>1.6063968156799993</v>
      </c>
      <c r="B2748" s="27">
        <v>0</v>
      </c>
      <c r="C2748" s="27">
        <v>13.4</v>
      </c>
      <c r="E2748" s="18"/>
    </row>
    <row r="2749" spans="1:5" ht="16.5" thickTop="1" thickBot="1" x14ac:dyDescent="0.3">
      <c r="A2749" s="28">
        <v>1.4590843611059534</v>
      </c>
      <c r="B2749" s="27">
        <v>0</v>
      </c>
      <c r="C2749" s="27">
        <v>13.4</v>
      </c>
      <c r="E2749" s="18"/>
    </row>
    <row r="2750" spans="1:5" ht="16.5" thickTop="1" thickBot="1" x14ac:dyDescent="0.3">
      <c r="A2750" s="28">
        <v>4.4332224083712894</v>
      </c>
      <c r="B2750" s="27">
        <v>0</v>
      </c>
      <c r="C2750" s="27">
        <v>13.4</v>
      </c>
      <c r="E2750" s="18"/>
    </row>
    <row r="2751" spans="1:5" ht="16.5" thickTop="1" thickBot="1" x14ac:dyDescent="0.3">
      <c r="A2751" s="28">
        <v>5.1920788691408788</v>
      </c>
      <c r="B2751" s="27">
        <v>0</v>
      </c>
      <c r="C2751" s="27">
        <v>13.4</v>
      </c>
      <c r="E2751" s="18"/>
    </row>
    <row r="2752" spans="1:5" ht="16.5" thickTop="1" thickBot="1" x14ac:dyDescent="0.3">
      <c r="A2752" s="28">
        <v>3.3094887861949362E-2</v>
      </c>
      <c r="B2752" s="27">
        <v>0</v>
      </c>
      <c r="C2752" s="27">
        <v>13.4</v>
      </c>
      <c r="E2752" s="18"/>
    </row>
    <row r="2753" spans="1:5" ht="16.5" thickTop="1" thickBot="1" x14ac:dyDescent="0.3">
      <c r="A2753" s="28">
        <v>9.8636505913400772</v>
      </c>
      <c r="B2753" s="27">
        <v>0</v>
      </c>
      <c r="C2753" s="27">
        <v>13.4</v>
      </c>
      <c r="E2753" s="18"/>
    </row>
    <row r="2754" spans="1:5" ht="16.5" thickTop="1" thickBot="1" x14ac:dyDescent="0.3">
      <c r="A2754" s="28">
        <v>0.24997488165635506</v>
      </c>
      <c r="B2754" s="27">
        <v>0</v>
      </c>
      <c r="C2754" s="27">
        <v>13.4</v>
      </c>
      <c r="E2754" s="18"/>
    </row>
    <row r="2755" spans="1:5" ht="16.5" thickTop="1" thickBot="1" x14ac:dyDescent="0.3">
      <c r="A2755" s="28">
        <v>10.710353175908576</v>
      </c>
      <c r="B2755" s="27">
        <v>0</v>
      </c>
      <c r="C2755" s="27">
        <v>13.4</v>
      </c>
      <c r="E2755" s="18"/>
    </row>
    <row r="2756" spans="1:5" ht="16.5" thickTop="1" thickBot="1" x14ac:dyDescent="0.3">
      <c r="A2756" s="28">
        <v>3.6646906041586851</v>
      </c>
      <c r="B2756" s="27">
        <v>0</v>
      </c>
      <c r="C2756" s="27">
        <v>14.5</v>
      </c>
      <c r="E2756" s="18"/>
    </row>
    <row r="2757" spans="1:5" ht="16.5" thickTop="1" thickBot="1" x14ac:dyDescent="0.3">
      <c r="A2757" s="28">
        <v>2.9066189342071165</v>
      </c>
      <c r="B2757" s="27">
        <v>0</v>
      </c>
      <c r="C2757" s="27">
        <v>14.5</v>
      </c>
      <c r="E2757" s="18"/>
    </row>
    <row r="2758" spans="1:5" ht="16.5" thickTop="1" thickBot="1" x14ac:dyDescent="0.3">
      <c r="A2758" s="28">
        <v>4.9957988970176501</v>
      </c>
      <c r="B2758" s="27">
        <v>0</v>
      </c>
      <c r="C2758" s="27">
        <v>14.5</v>
      </c>
      <c r="E2758" s="18"/>
    </row>
    <row r="2759" spans="1:5" ht="16.5" thickTop="1" thickBot="1" x14ac:dyDescent="0.3">
      <c r="A2759" s="28">
        <v>4.1068626165285602</v>
      </c>
      <c r="B2759" s="27">
        <v>0</v>
      </c>
      <c r="C2759" s="27">
        <v>14.5</v>
      </c>
      <c r="E2759" s="18"/>
    </row>
    <row r="2760" spans="1:5" ht="16.5" thickTop="1" thickBot="1" x14ac:dyDescent="0.3">
      <c r="A2760" s="28">
        <v>6.213118865478334</v>
      </c>
      <c r="B2760" s="27">
        <v>0</v>
      </c>
      <c r="C2760" s="27">
        <v>14.5</v>
      </c>
      <c r="E2760" s="18"/>
    </row>
    <row r="2761" spans="1:5" ht="16.5" thickTop="1" thickBot="1" x14ac:dyDescent="0.3">
      <c r="A2761" s="28">
        <v>1.7334099932730234</v>
      </c>
      <c r="B2761" s="27">
        <v>0</v>
      </c>
      <c r="C2761" s="27">
        <v>14.5</v>
      </c>
      <c r="E2761" s="18"/>
    </row>
    <row r="2762" spans="1:5" ht="16.5" thickTop="1" thickBot="1" x14ac:dyDescent="0.3">
      <c r="A2762" s="28">
        <v>3.4296673751187088</v>
      </c>
      <c r="B2762" s="27">
        <v>0</v>
      </c>
      <c r="C2762" s="27">
        <v>14.5</v>
      </c>
      <c r="E2762" s="18"/>
    </row>
    <row r="2763" spans="1:5" ht="16.5" thickTop="1" thickBot="1" x14ac:dyDescent="0.3">
      <c r="A2763" s="28">
        <v>1.973994395426208</v>
      </c>
      <c r="B2763" s="27">
        <v>0</v>
      </c>
      <c r="C2763" s="27">
        <v>14.5</v>
      </c>
      <c r="E2763" s="18"/>
    </row>
    <row r="2764" spans="1:5" ht="16.5" thickTop="1" thickBot="1" x14ac:dyDescent="0.3">
      <c r="A2764" s="28">
        <v>2.4258153613574791</v>
      </c>
      <c r="B2764" s="27">
        <v>0</v>
      </c>
      <c r="C2764" s="27">
        <v>14.5</v>
      </c>
      <c r="E2764" s="18"/>
    </row>
    <row r="2765" spans="1:5" ht="16.5" thickTop="1" thickBot="1" x14ac:dyDescent="0.3">
      <c r="A2765" s="28">
        <v>0.26563102494085111</v>
      </c>
      <c r="B2765" s="27">
        <v>0</v>
      </c>
      <c r="C2765" s="27">
        <v>14.5</v>
      </c>
      <c r="E2765" s="18"/>
    </row>
    <row r="2766" spans="1:5" ht="16.5" thickTop="1" thickBot="1" x14ac:dyDescent="0.3">
      <c r="A2766" s="28">
        <v>1.3826402467702057</v>
      </c>
      <c r="B2766" s="27">
        <v>0</v>
      </c>
      <c r="C2766" s="27">
        <v>14.5</v>
      </c>
      <c r="E2766" s="18"/>
    </row>
    <row r="2767" spans="1:5" ht="16.5" thickTop="1" thickBot="1" x14ac:dyDescent="0.3">
      <c r="A2767" s="28">
        <v>6.115394207153841</v>
      </c>
      <c r="B2767" s="27">
        <v>0</v>
      </c>
      <c r="C2767" s="27">
        <v>14.5</v>
      </c>
      <c r="E2767" s="18"/>
    </row>
    <row r="2768" spans="1:5" ht="16.5" thickTop="1" thickBot="1" x14ac:dyDescent="0.3">
      <c r="A2768" s="28">
        <v>6.6549706956738</v>
      </c>
      <c r="B2768" s="27">
        <v>0</v>
      </c>
      <c r="C2768" s="27">
        <v>14.5</v>
      </c>
      <c r="E2768" s="18"/>
    </row>
    <row r="2769" spans="1:5" ht="16.5" thickTop="1" thickBot="1" x14ac:dyDescent="0.3">
      <c r="A2769" s="28">
        <v>0.79454366198686044</v>
      </c>
      <c r="B2769" s="27">
        <v>0</v>
      </c>
      <c r="C2769" s="27">
        <v>14.5</v>
      </c>
      <c r="E2769" s="18"/>
    </row>
    <row r="2770" spans="1:5" ht="16.5" thickTop="1" thickBot="1" x14ac:dyDescent="0.3">
      <c r="A2770" s="28">
        <v>2.4886154374261857</v>
      </c>
      <c r="B2770" s="27">
        <v>0</v>
      </c>
      <c r="C2770" s="27">
        <v>7.4</v>
      </c>
      <c r="E2770" s="18"/>
    </row>
    <row r="2771" spans="1:5" ht="16.5" thickTop="1" thickBot="1" x14ac:dyDescent="0.3">
      <c r="A2771" s="28">
        <v>5.4646365915200263</v>
      </c>
      <c r="B2771" s="27">
        <v>0</v>
      </c>
      <c r="C2771" s="27">
        <v>7.4</v>
      </c>
      <c r="E2771" s="18"/>
    </row>
    <row r="2772" spans="1:5" ht="16.5" thickTop="1" thickBot="1" x14ac:dyDescent="0.3">
      <c r="A2772" s="28">
        <v>1.0568383852416301</v>
      </c>
      <c r="B2772" s="27">
        <v>0</v>
      </c>
      <c r="C2772" s="27">
        <v>7.4</v>
      </c>
      <c r="E2772" s="18"/>
    </row>
    <row r="2773" spans="1:5" ht="16.5" thickTop="1" thickBot="1" x14ac:dyDescent="0.3">
      <c r="A2773" s="28">
        <v>10.826347932322262</v>
      </c>
      <c r="B2773" s="27">
        <v>0</v>
      </c>
      <c r="C2773" s="27">
        <v>7.4</v>
      </c>
      <c r="E2773" s="18"/>
    </row>
    <row r="2774" spans="1:5" ht="16.5" thickTop="1" thickBot="1" x14ac:dyDescent="0.3">
      <c r="A2774" s="28">
        <v>5.8925032337284557</v>
      </c>
      <c r="B2774" s="27">
        <v>0</v>
      </c>
      <c r="C2774" s="27">
        <v>7.4</v>
      </c>
      <c r="E2774" s="18"/>
    </row>
    <row r="2775" spans="1:5" ht="16.5" thickTop="1" thickBot="1" x14ac:dyDescent="0.3">
      <c r="A2775" s="28">
        <v>10.415503491759129</v>
      </c>
      <c r="B2775" s="27">
        <v>0</v>
      </c>
      <c r="C2775" s="27">
        <v>7.4</v>
      </c>
      <c r="E2775" s="18"/>
    </row>
    <row r="2776" spans="1:5" ht="16.5" thickTop="1" thickBot="1" x14ac:dyDescent="0.3">
      <c r="A2776" s="28">
        <v>0.79632122451052778</v>
      </c>
      <c r="B2776" s="27">
        <v>0</v>
      </c>
      <c r="C2776" s="27">
        <v>7.4</v>
      </c>
      <c r="E2776" s="18"/>
    </row>
    <row r="2777" spans="1:5" ht="16.5" thickTop="1" thickBot="1" x14ac:dyDescent="0.3">
      <c r="A2777" s="28">
        <v>2.8746114386891923</v>
      </c>
      <c r="B2777" s="27">
        <v>0</v>
      </c>
      <c r="C2777" s="27">
        <v>7.4</v>
      </c>
      <c r="E2777" s="18"/>
    </row>
    <row r="2778" spans="1:5" ht="16.5" thickTop="1" thickBot="1" x14ac:dyDescent="0.3">
      <c r="A2778" s="28">
        <v>6.2382261267081498</v>
      </c>
      <c r="B2778" s="27">
        <v>0</v>
      </c>
      <c r="C2778" s="27">
        <v>7.4</v>
      </c>
      <c r="E2778" s="18"/>
    </row>
    <row r="2779" spans="1:5" ht="16.5" thickTop="1" thickBot="1" x14ac:dyDescent="0.3">
      <c r="A2779" s="28">
        <v>1.1243103024058758</v>
      </c>
      <c r="B2779" s="27">
        <v>0</v>
      </c>
      <c r="C2779" s="27">
        <v>7.4</v>
      </c>
      <c r="E2779" s="18"/>
    </row>
    <row r="2780" spans="1:5" ht="16.5" thickTop="1" thickBot="1" x14ac:dyDescent="0.3">
      <c r="A2780" s="28">
        <v>4.4265962521895084</v>
      </c>
      <c r="B2780" s="27">
        <v>0</v>
      </c>
      <c r="C2780" s="27">
        <v>7.4</v>
      </c>
      <c r="E2780" s="18"/>
    </row>
    <row r="2781" spans="1:5" ht="16.5" thickTop="1" thickBot="1" x14ac:dyDescent="0.3">
      <c r="A2781" s="28">
        <v>11.49322027412739</v>
      </c>
      <c r="B2781" s="27">
        <v>0</v>
      </c>
      <c r="C2781" s="27">
        <v>7.4</v>
      </c>
      <c r="E2781" s="18"/>
    </row>
    <row r="2782" spans="1:5" ht="16.5" thickTop="1" thickBot="1" x14ac:dyDescent="0.3">
      <c r="A2782" s="28">
        <v>6.6377949076680007</v>
      </c>
      <c r="B2782" s="27">
        <v>0</v>
      </c>
      <c r="C2782" s="27">
        <v>7.4</v>
      </c>
      <c r="E2782" s="18"/>
    </row>
    <row r="2783" spans="1:5" ht="16.5" thickTop="1" thickBot="1" x14ac:dyDescent="0.3">
      <c r="A2783" s="28">
        <v>8.2273120858599178</v>
      </c>
      <c r="B2783" s="27">
        <v>0</v>
      </c>
      <c r="C2783" s="27">
        <v>7.4</v>
      </c>
      <c r="E2783" s="18"/>
    </row>
    <row r="2784" spans="1:5" ht="16.5" thickTop="1" thickBot="1" x14ac:dyDescent="0.3">
      <c r="A2784" s="28">
        <v>1.83167055400276</v>
      </c>
      <c r="B2784" s="27">
        <v>0</v>
      </c>
      <c r="C2784" s="27">
        <v>7.4</v>
      </c>
      <c r="E2784" s="18"/>
    </row>
    <row r="2785" spans="1:5" ht="16.5" thickTop="1" thickBot="1" x14ac:dyDescent="0.3">
      <c r="A2785" s="28">
        <v>10.029592669123705</v>
      </c>
      <c r="B2785" s="27">
        <v>0</v>
      </c>
      <c r="C2785" s="27">
        <v>9.9</v>
      </c>
      <c r="E2785" s="18"/>
    </row>
    <row r="2786" spans="1:5" ht="16.5" thickTop="1" thickBot="1" x14ac:dyDescent="0.3">
      <c r="A2786" s="28">
        <v>4.1556925634750463</v>
      </c>
      <c r="B2786" s="27">
        <v>0</v>
      </c>
      <c r="C2786" s="27">
        <v>9.9</v>
      </c>
      <c r="E2786" s="18"/>
    </row>
    <row r="2787" spans="1:5" ht="16.5" thickTop="1" thickBot="1" x14ac:dyDescent="0.3">
      <c r="A2787" s="28">
        <v>8.386710453059429</v>
      </c>
      <c r="B2787" s="27">
        <v>0</v>
      </c>
      <c r="C2787" s="27">
        <v>9.9</v>
      </c>
      <c r="E2787" s="18"/>
    </row>
    <row r="2788" spans="1:5" ht="16.5" thickTop="1" thickBot="1" x14ac:dyDescent="0.3">
      <c r="A2788" s="28">
        <v>1.9372063150607337</v>
      </c>
      <c r="B2788" s="27">
        <v>0</v>
      </c>
      <c r="C2788" s="27">
        <v>9.9</v>
      </c>
      <c r="E2788" s="18"/>
    </row>
    <row r="2789" spans="1:5" ht="16.5" thickTop="1" thickBot="1" x14ac:dyDescent="0.3">
      <c r="A2789" s="28">
        <v>9.1350210336683624</v>
      </c>
      <c r="B2789" s="27">
        <v>0</v>
      </c>
      <c r="C2789" s="27">
        <v>9.9</v>
      </c>
      <c r="E2789" s="18"/>
    </row>
    <row r="2790" spans="1:5" ht="16.5" thickTop="1" thickBot="1" x14ac:dyDescent="0.3">
      <c r="A2790" s="28">
        <v>2.6640146298646643</v>
      </c>
      <c r="B2790" s="27">
        <v>0</v>
      </c>
      <c r="C2790" s="27">
        <v>9.9</v>
      </c>
      <c r="E2790" s="18"/>
    </row>
    <row r="2791" spans="1:5" ht="16.5" thickTop="1" thickBot="1" x14ac:dyDescent="0.3">
      <c r="A2791" s="28">
        <v>6.2043632984265127</v>
      </c>
      <c r="B2791" s="27">
        <v>0</v>
      </c>
      <c r="C2791" s="27">
        <v>9.9</v>
      </c>
      <c r="E2791" s="18"/>
    </row>
    <row r="2792" spans="1:5" ht="16.5" thickTop="1" thickBot="1" x14ac:dyDescent="0.3">
      <c r="A2792" s="28">
        <v>1.2861775208020179</v>
      </c>
      <c r="B2792" s="27">
        <v>0</v>
      </c>
      <c r="C2792" s="27">
        <v>9.9</v>
      </c>
      <c r="E2792" s="18"/>
    </row>
    <row r="2793" spans="1:5" ht="16.5" thickTop="1" thickBot="1" x14ac:dyDescent="0.3">
      <c r="A2793" s="28">
        <v>5.097664184985133</v>
      </c>
      <c r="B2793" s="27">
        <v>0</v>
      </c>
      <c r="C2793" s="27">
        <v>9.9</v>
      </c>
      <c r="E2793" s="18"/>
    </row>
    <row r="2794" spans="1:5" ht="16.5" thickTop="1" thickBot="1" x14ac:dyDescent="0.3">
      <c r="A2794" s="28">
        <v>0.75115204247679368</v>
      </c>
      <c r="B2794" s="27">
        <v>0</v>
      </c>
      <c r="C2794" s="27">
        <v>9.9</v>
      </c>
      <c r="E2794" s="18"/>
    </row>
    <row r="2795" spans="1:5" ht="16.5" thickTop="1" thickBot="1" x14ac:dyDescent="0.3">
      <c r="A2795" s="28">
        <v>9.5400583240413095</v>
      </c>
      <c r="B2795" s="27">
        <v>0</v>
      </c>
      <c r="C2795" s="27">
        <v>9.9</v>
      </c>
      <c r="E2795" s="18"/>
    </row>
    <row r="2796" spans="1:5" ht="16.5" thickTop="1" thickBot="1" x14ac:dyDescent="0.3">
      <c r="A2796" s="28">
        <v>0.41487713099893364</v>
      </c>
      <c r="B2796" s="27">
        <v>0</v>
      </c>
      <c r="C2796" s="27">
        <v>9.9</v>
      </c>
      <c r="E2796" s="18"/>
    </row>
    <row r="2797" spans="1:5" ht="16.5" thickTop="1" thickBot="1" x14ac:dyDescent="0.3">
      <c r="A2797" s="28">
        <v>6.231433622386497</v>
      </c>
      <c r="B2797" s="27">
        <v>0</v>
      </c>
      <c r="C2797" s="27">
        <v>9.9</v>
      </c>
      <c r="E2797" s="18"/>
    </row>
    <row r="2798" spans="1:5" ht="16.5" thickTop="1" thickBot="1" x14ac:dyDescent="0.3">
      <c r="A2798" s="28">
        <v>5.9583543864163255</v>
      </c>
      <c r="B2798" s="27">
        <v>0</v>
      </c>
      <c r="C2798" s="27">
        <v>9.9</v>
      </c>
      <c r="E2798" s="18"/>
    </row>
    <row r="2799" spans="1:5" ht="16.5" thickTop="1" thickBot="1" x14ac:dyDescent="0.3">
      <c r="A2799" s="28">
        <v>5.2093692398519451</v>
      </c>
      <c r="B2799" s="27">
        <v>0</v>
      </c>
      <c r="C2799" s="27">
        <v>9.9</v>
      </c>
      <c r="E2799" s="18"/>
    </row>
    <row r="2800" spans="1:5" ht="16.5" thickTop="1" thickBot="1" x14ac:dyDescent="0.3">
      <c r="A2800" s="28">
        <v>1.6988645476188067</v>
      </c>
      <c r="B2800" s="27">
        <v>0</v>
      </c>
      <c r="C2800" s="27">
        <v>9.9</v>
      </c>
      <c r="E2800" s="18"/>
    </row>
    <row r="2801" spans="1:5" ht="16.5" thickTop="1" thickBot="1" x14ac:dyDescent="0.3">
      <c r="A2801" s="28">
        <v>1.9299016985344757</v>
      </c>
      <c r="B2801" s="27">
        <v>0</v>
      </c>
      <c r="C2801" s="27">
        <v>9.9</v>
      </c>
      <c r="E2801" s="18"/>
    </row>
    <row r="2802" spans="1:5" ht="16.5" thickTop="1" thickBot="1" x14ac:dyDescent="0.3">
      <c r="A2802" s="28">
        <v>5.7668648109853282E-2</v>
      </c>
      <c r="B2802" s="27">
        <v>0</v>
      </c>
      <c r="C2802" s="27">
        <v>17.7</v>
      </c>
      <c r="E2802" s="18"/>
    </row>
    <row r="2803" spans="1:5" ht="16.5" thickTop="1" thickBot="1" x14ac:dyDescent="0.3">
      <c r="A2803" s="28">
        <v>5.219988208765642</v>
      </c>
      <c r="B2803" s="27">
        <v>0</v>
      </c>
      <c r="C2803" s="27">
        <v>17.7</v>
      </c>
      <c r="E2803" s="18"/>
    </row>
    <row r="2804" spans="1:5" ht="16.5" thickTop="1" thickBot="1" x14ac:dyDescent="0.3">
      <c r="A2804" s="28">
        <v>0.15785802432877138</v>
      </c>
      <c r="B2804" s="27">
        <v>0</v>
      </c>
      <c r="C2804" s="27">
        <v>17.7</v>
      </c>
      <c r="E2804" s="18"/>
    </row>
    <row r="2805" spans="1:5" ht="16.5" thickTop="1" thickBot="1" x14ac:dyDescent="0.3">
      <c r="A2805" s="28">
        <v>4.5796654011720168</v>
      </c>
      <c r="B2805" s="27">
        <v>0</v>
      </c>
      <c r="C2805" s="27">
        <v>17.7</v>
      </c>
      <c r="E2805" s="18"/>
    </row>
    <row r="2806" spans="1:5" ht="16.5" thickTop="1" thickBot="1" x14ac:dyDescent="0.3">
      <c r="A2806" s="28">
        <v>3.0966059709634006</v>
      </c>
      <c r="B2806" s="27">
        <v>0</v>
      </c>
      <c r="C2806" s="27">
        <v>17.7</v>
      </c>
      <c r="E2806" s="18"/>
    </row>
    <row r="2807" spans="1:5" ht="16.5" thickTop="1" thickBot="1" x14ac:dyDescent="0.3">
      <c r="A2807" s="28">
        <v>6.8213515216225602</v>
      </c>
      <c r="B2807" s="27">
        <v>0</v>
      </c>
      <c r="C2807" s="27">
        <v>17.7</v>
      </c>
      <c r="E2807" s="18"/>
    </row>
    <row r="2808" spans="1:5" ht="16.5" thickTop="1" thickBot="1" x14ac:dyDescent="0.3">
      <c r="A2808" s="28">
        <v>1.5122139818220968</v>
      </c>
      <c r="B2808" s="27">
        <v>0</v>
      </c>
      <c r="C2808" s="27">
        <v>17.7</v>
      </c>
      <c r="E2808" s="18"/>
    </row>
    <row r="2809" spans="1:5" ht="16.5" thickTop="1" thickBot="1" x14ac:dyDescent="0.3">
      <c r="A2809" s="28">
        <v>11.891143715606114</v>
      </c>
      <c r="B2809" s="27">
        <v>0</v>
      </c>
      <c r="C2809" s="27">
        <v>17.7</v>
      </c>
      <c r="E2809" s="18"/>
    </row>
    <row r="2810" spans="1:5" ht="16.5" thickTop="1" thickBot="1" x14ac:dyDescent="0.3">
      <c r="A2810" s="28">
        <v>1.7074072286862827</v>
      </c>
      <c r="B2810" s="27">
        <v>0</v>
      </c>
      <c r="C2810" s="27">
        <v>17.7</v>
      </c>
      <c r="E2810" s="18"/>
    </row>
    <row r="2811" spans="1:5" ht="16.5" thickTop="1" thickBot="1" x14ac:dyDescent="0.3">
      <c r="A2811" s="28">
        <v>2.6693207315622547</v>
      </c>
      <c r="B2811" s="27">
        <v>0</v>
      </c>
      <c r="C2811" s="27">
        <v>17.7</v>
      </c>
      <c r="E2811" s="18"/>
    </row>
    <row r="2812" spans="1:5" ht="16.5" thickTop="1" thickBot="1" x14ac:dyDescent="0.3">
      <c r="A2812" s="28">
        <v>3.6469245600830611</v>
      </c>
      <c r="B2812" s="27">
        <v>0</v>
      </c>
      <c r="C2812" s="27">
        <v>17.7</v>
      </c>
      <c r="E2812" s="18"/>
    </row>
    <row r="2813" spans="1:5" ht="16.5" thickTop="1" thickBot="1" x14ac:dyDescent="0.3">
      <c r="A2813" s="28">
        <v>10.05627227941747</v>
      </c>
      <c r="B2813" s="27">
        <v>0</v>
      </c>
      <c r="C2813" s="27">
        <v>17.7</v>
      </c>
      <c r="E2813" s="18"/>
    </row>
    <row r="2814" spans="1:5" ht="16.5" thickTop="1" thickBot="1" x14ac:dyDescent="0.3">
      <c r="A2814" s="28">
        <v>5.9643629518195169</v>
      </c>
      <c r="B2814" s="27">
        <v>0</v>
      </c>
      <c r="C2814" s="27">
        <v>17.7</v>
      </c>
      <c r="E2814" s="18"/>
    </row>
    <row r="2815" spans="1:5" ht="16.5" thickTop="1" thickBot="1" x14ac:dyDescent="0.3">
      <c r="A2815" s="28">
        <v>7.4061399075130421</v>
      </c>
      <c r="B2815" s="27">
        <v>0</v>
      </c>
      <c r="C2815" s="27">
        <v>17.7</v>
      </c>
      <c r="E2815" s="18"/>
    </row>
    <row r="2816" spans="1:5" ht="16.5" thickTop="1" thickBot="1" x14ac:dyDescent="0.3">
      <c r="A2816" s="28">
        <v>6.8658627954874145</v>
      </c>
      <c r="B2816" s="27">
        <v>0</v>
      </c>
      <c r="C2816" s="27">
        <v>17.7</v>
      </c>
      <c r="E2816" s="18"/>
    </row>
    <row r="2817" spans="1:5" ht="16.5" thickTop="1" thickBot="1" x14ac:dyDescent="0.3">
      <c r="A2817" s="28">
        <v>0.52346128833101657</v>
      </c>
      <c r="B2817" s="27">
        <v>0</v>
      </c>
      <c r="C2817" s="27">
        <v>17.7</v>
      </c>
      <c r="E2817" s="18"/>
    </row>
    <row r="2818" spans="1:5" ht="16.5" thickTop="1" thickBot="1" x14ac:dyDescent="0.3">
      <c r="A2818" s="28">
        <v>6.59864613115609</v>
      </c>
      <c r="B2818" s="27">
        <v>0</v>
      </c>
      <c r="C2818" s="27">
        <v>9.6</v>
      </c>
      <c r="E2818" s="18"/>
    </row>
    <row r="2819" spans="1:5" ht="16.5" thickTop="1" thickBot="1" x14ac:dyDescent="0.3">
      <c r="A2819" s="28">
        <v>3.8259747352963451</v>
      </c>
      <c r="B2819" s="27">
        <v>0</v>
      </c>
      <c r="C2819" s="27">
        <v>9.6</v>
      </c>
      <c r="E2819" s="18"/>
    </row>
    <row r="2820" spans="1:5" ht="16.5" thickTop="1" thickBot="1" x14ac:dyDescent="0.3">
      <c r="A2820" s="28">
        <v>5.2617113149628398</v>
      </c>
      <c r="B2820" s="27">
        <v>0</v>
      </c>
      <c r="C2820" s="27">
        <v>9.6</v>
      </c>
      <c r="E2820" s="18"/>
    </row>
    <row r="2821" spans="1:5" ht="16.5" thickTop="1" thickBot="1" x14ac:dyDescent="0.3">
      <c r="A2821" s="28">
        <v>7.4796634824174362</v>
      </c>
      <c r="B2821" s="27">
        <v>0</v>
      </c>
      <c r="C2821" s="27">
        <v>9.6</v>
      </c>
      <c r="E2821" s="18"/>
    </row>
    <row r="2822" spans="1:5" ht="16.5" thickTop="1" thickBot="1" x14ac:dyDescent="0.3">
      <c r="A2822" s="28">
        <v>3.554577466552951</v>
      </c>
      <c r="B2822" s="27">
        <v>0</v>
      </c>
      <c r="C2822" s="27">
        <v>9.6</v>
      </c>
      <c r="E2822" s="18"/>
    </row>
    <row r="2823" spans="1:5" ht="16.5" thickTop="1" thickBot="1" x14ac:dyDescent="0.3">
      <c r="A2823" s="28">
        <v>2.7865800899003546</v>
      </c>
      <c r="B2823" s="27">
        <v>0</v>
      </c>
      <c r="C2823" s="27">
        <v>9.6</v>
      </c>
      <c r="E2823" s="18"/>
    </row>
    <row r="2824" spans="1:5" ht="16.5" thickTop="1" thickBot="1" x14ac:dyDescent="0.3">
      <c r="A2824" s="28">
        <v>4.8299306662184893</v>
      </c>
      <c r="B2824" s="27">
        <v>0</v>
      </c>
      <c r="C2824" s="27">
        <v>9.6</v>
      </c>
      <c r="E2824" s="18"/>
    </row>
    <row r="2825" spans="1:5" ht="16.5" thickTop="1" thickBot="1" x14ac:dyDescent="0.3">
      <c r="A2825" s="28">
        <v>7.5230278538020929</v>
      </c>
      <c r="B2825" s="27">
        <v>0</v>
      </c>
      <c r="C2825" s="27">
        <v>9.6</v>
      </c>
      <c r="E2825" s="18"/>
    </row>
    <row r="2826" spans="1:5" ht="16.5" thickTop="1" thickBot="1" x14ac:dyDescent="0.3">
      <c r="A2826" s="28">
        <v>2.1132991415335383</v>
      </c>
      <c r="B2826" s="27">
        <v>0</v>
      </c>
      <c r="C2826" s="27">
        <v>9.6</v>
      </c>
      <c r="E2826" s="18"/>
    </row>
    <row r="2827" spans="1:5" ht="16.5" thickTop="1" thickBot="1" x14ac:dyDescent="0.3">
      <c r="A2827" s="28">
        <v>9.5972316478768285</v>
      </c>
      <c r="B2827" s="27">
        <v>0</v>
      </c>
      <c r="C2827" s="27">
        <v>9.6</v>
      </c>
      <c r="E2827" s="18"/>
    </row>
    <row r="2828" spans="1:5" ht="16.5" thickTop="1" thickBot="1" x14ac:dyDescent="0.3">
      <c r="A2828" s="28">
        <v>2.9250359532129044</v>
      </c>
      <c r="B2828" s="27">
        <v>0</v>
      </c>
      <c r="C2828" s="27">
        <v>9.6</v>
      </c>
      <c r="E2828" s="18"/>
    </row>
    <row r="2829" spans="1:5" ht="16.5" thickTop="1" thickBot="1" x14ac:dyDescent="0.3">
      <c r="A2829" s="28">
        <v>5.5257586609470799</v>
      </c>
      <c r="B2829" s="27">
        <v>0</v>
      </c>
      <c r="C2829" s="27">
        <v>9.6</v>
      </c>
      <c r="E2829" s="18"/>
    </row>
    <row r="2830" spans="1:5" ht="16.5" thickTop="1" thickBot="1" x14ac:dyDescent="0.3">
      <c r="A2830" s="28">
        <v>2.4331015853676656</v>
      </c>
      <c r="B2830" s="27">
        <v>0</v>
      </c>
      <c r="C2830" s="27">
        <v>9.6</v>
      </c>
      <c r="E2830" s="18"/>
    </row>
    <row r="2831" spans="1:5" ht="16.5" thickTop="1" thickBot="1" x14ac:dyDescent="0.3">
      <c r="A2831" s="28">
        <v>6.0444405523717091</v>
      </c>
      <c r="B2831" s="27">
        <v>0</v>
      </c>
      <c r="C2831" s="27">
        <v>9.6</v>
      </c>
      <c r="E2831" s="18"/>
    </row>
    <row r="2832" spans="1:5" ht="16.5" thickTop="1" thickBot="1" x14ac:dyDescent="0.3">
      <c r="A2832" s="28">
        <v>1.834209065299139</v>
      </c>
      <c r="B2832" s="27">
        <v>0</v>
      </c>
      <c r="C2832" s="27">
        <v>9.6</v>
      </c>
      <c r="E2832" s="18"/>
    </row>
    <row r="2833" spans="1:5" ht="16.5" thickTop="1" thickBot="1" x14ac:dyDescent="0.3">
      <c r="A2833" s="28">
        <v>5.6549056005948959</v>
      </c>
      <c r="B2833" s="27">
        <v>0</v>
      </c>
      <c r="C2833" s="27">
        <v>9.6</v>
      </c>
      <c r="E2833" s="18"/>
    </row>
    <row r="2834" spans="1:5" ht="16.5" thickTop="1" thickBot="1" x14ac:dyDescent="0.3">
      <c r="A2834" s="28">
        <v>9.9264951058369189E-2</v>
      </c>
      <c r="B2834" s="27">
        <v>0</v>
      </c>
      <c r="C2834" s="27">
        <v>4.0999999999999996</v>
      </c>
      <c r="E2834" s="18"/>
    </row>
    <row r="2835" spans="1:5" ht="16.5" thickTop="1" thickBot="1" x14ac:dyDescent="0.3">
      <c r="A2835" s="28">
        <v>2.8490183468124539</v>
      </c>
      <c r="B2835" s="27">
        <v>0</v>
      </c>
      <c r="C2835" s="27">
        <v>4.0999999999999996</v>
      </c>
      <c r="E2835" s="18"/>
    </row>
    <row r="2836" spans="1:5" ht="16.5" thickTop="1" thickBot="1" x14ac:dyDescent="0.3">
      <c r="A2836" s="28">
        <v>3.4321938141902515</v>
      </c>
      <c r="B2836" s="27">
        <v>0</v>
      </c>
      <c r="C2836" s="27">
        <v>4.0999999999999996</v>
      </c>
      <c r="E2836" s="18"/>
    </row>
    <row r="2837" spans="1:5" ht="16.5" thickTop="1" thickBot="1" x14ac:dyDescent="0.3">
      <c r="A2837" s="28">
        <v>5.7885289248454086</v>
      </c>
      <c r="B2837" s="27">
        <v>0</v>
      </c>
      <c r="C2837" s="27">
        <v>4.0999999999999996</v>
      </c>
      <c r="E2837" s="18"/>
    </row>
    <row r="2838" spans="1:5" ht="16.5" thickTop="1" thickBot="1" x14ac:dyDescent="0.3">
      <c r="A2838" s="28">
        <v>6.3224865136867372</v>
      </c>
      <c r="B2838" s="27">
        <v>0</v>
      </c>
      <c r="C2838" s="27">
        <v>4.0999999999999996</v>
      </c>
      <c r="E2838" s="18"/>
    </row>
    <row r="2839" spans="1:5" ht="16.5" thickTop="1" thickBot="1" x14ac:dyDescent="0.3">
      <c r="A2839" s="28">
        <v>11.44189285166501</v>
      </c>
      <c r="B2839" s="27">
        <v>0</v>
      </c>
      <c r="C2839" s="27">
        <v>4.0999999999999996</v>
      </c>
      <c r="E2839" s="18"/>
    </row>
    <row r="2840" spans="1:5" ht="16.5" thickTop="1" thickBot="1" x14ac:dyDescent="0.3">
      <c r="A2840" s="28">
        <v>1.0530773751910278</v>
      </c>
      <c r="B2840" s="27">
        <v>0</v>
      </c>
      <c r="C2840" s="27">
        <v>4.0999999999999996</v>
      </c>
      <c r="E2840" s="18"/>
    </row>
    <row r="2841" spans="1:5" ht="16.5" thickTop="1" thickBot="1" x14ac:dyDescent="0.3">
      <c r="A2841" s="28">
        <v>0.79053551601323191</v>
      </c>
      <c r="B2841" s="27">
        <v>0</v>
      </c>
      <c r="C2841" s="27">
        <v>4.0999999999999996</v>
      </c>
      <c r="E2841" s="18"/>
    </row>
    <row r="2842" spans="1:5" ht="16.5" thickTop="1" thickBot="1" x14ac:dyDescent="0.3">
      <c r="A2842" s="28">
        <v>4.8212046371100534</v>
      </c>
      <c r="B2842" s="27">
        <v>0</v>
      </c>
      <c r="C2842" s="27">
        <v>4.0999999999999996</v>
      </c>
      <c r="E2842" s="18"/>
    </row>
    <row r="2843" spans="1:5" ht="16.5" thickTop="1" thickBot="1" x14ac:dyDescent="0.3">
      <c r="A2843" s="28">
        <v>5.2659686823915104</v>
      </c>
      <c r="B2843" s="27">
        <v>0</v>
      </c>
      <c r="C2843" s="27">
        <v>4.0999999999999996</v>
      </c>
      <c r="E2843" s="18"/>
    </row>
    <row r="2844" spans="1:5" ht="16.5" thickTop="1" thickBot="1" x14ac:dyDescent="0.3">
      <c r="A2844" s="28">
        <v>2.8233914505854747</v>
      </c>
      <c r="B2844" s="27">
        <v>0</v>
      </c>
      <c r="C2844" s="27">
        <v>4.0999999999999996</v>
      </c>
      <c r="E2844" s="18"/>
    </row>
    <row r="2845" spans="1:5" ht="16.5" thickTop="1" thickBot="1" x14ac:dyDescent="0.3">
      <c r="A2845" s="28">
        <v>9.0440607954143797</v>
      </c>
      <c r="B2845" s="27">
        <v>0</v>
      </c>
      <c r="C2845" s="27">
        <v>4.0999999999999996</v>
      </c>
      <c r="E2845" s="18"/>
    </row>
    <row r="2846" spans="1:5" ht="16.5" thickTop="1" thickBot="1" x14ac:dyDescent="0.3">
      <c r="A2846" s="28">
        <v>1.9202009541462468</v>
      </c>
      <c r="B2846" s="27">
        <v>0</v>
      </c>
      <c r="C2846" s="27">
        <v>4.0999999999999996</v>
      </c>
      <c r="E2846" s="18"/>
    </row>
    <row r="2847" spans="1:5" ht="16.5" thickTop="1" thickBot="1" x14ac:dyDescent="0.3">
      <c r="A2847" s="28">
        <v>6.8611167511077973</v>
      </c>
      <c r="B2847" s="27">
        <v>0</v>
      </c>
      <c r="C2847" s="27">
        <v>4.0999999999999996</v>
      </c>
      <c r="E2847" s="18"/>
    </row>
    <row r="2848" spans="1:5" ht="16.5" thickTop="1" thickBot="1" x14ac:dyDescent="0.3">
      <c r="A2848" s="28">
        <v>3.8489375711739444</v>
      </c>
      <c r="B2848" s="27">
        <v>0</v>
      </c>
      <c r="C2848" s="27">
        <v>4.0999999999999996</v>
      </c>
      <c r="E2848" s="18"/>
    </row>
    <row r="2849" spans="1:5" ht="16.5" thickTop="1" thickBot="1" x14ac:dyDescent="0.3">
      <c r="A2849" s="28">
        <v>6.2064145334498875</v>
      </c>
      <c r="B2849" s="27">
        <v>0</v>
      </c>
      <c r="C2849" s="27">
        <v>4.0999999999999996</v>
      </c>
      <c r="E2849" s="18"/>
    </row>
    <row r="2850" spans="1:5" ht="16.5" thickTop="1" thickBot="1" x14ac:dyDescent="0.3">
      <c r="A2850" s="28">
        <v>2.5339418562727416</v>
      </c>
      <c r="B2850" s="27">
        <v>0</v>
      </c>
      <c r="C2850" s="27">
        <v>14.5</v>
      </c>
      <c r="E2850" s="18"/>
    </row>
    <row r="2851" spans="1:5" ht="16.5" thickTop="1" thickBot="1" x14ac:dyDescent="0.3">
      <c r="A2851" s="28">
        <v>2.9241998841951307</v>
      </c>
      <c r="B2851" s="27">
        <v>0</v>
      </c>
      <c r="C2851" s="27">
        <v>14.5</v>
      </c>
      <c r="E2851" s="18"/>
    </row>
    <row r="2852" spans="1:5" ht="16.5" thickTop="1" thickBot="1" x14ac:dyDescent="0.3">
      <c r="A2852" s="28">
        <v>0.41262120831597227</v>
      </c>
      <c r="B2852" s="27">
        <v>0</v>
      </c>
      <c r="C2852" s="27">
        <v>14.5</v>
      </c>
      <c r="E2852" s="18"/>
    </row>
    <row r="2853" spans="1:5" ht="16.5" thickTop="1" thickBot="1" x14ac:dyDescent="0.3">
      <c r="A2853" s="28">
        <v>5.6684684144366209</v>
      </c>
      <c r="B2853" s="27">
        <v>0</v>
      </c>
      <c r="C2853" s="27">
        <v>14.5</v>
      </c>
      <c r="E2853" s="18"/>
    </row>
    <row r="2854" spans="1:5" ht="16.5" thickTop="1" thickBot="1" x14ac:dyDescent="0.3">
      <c r="A2854" s="28">
        <v>4.1211996703160336</v>
      </c>
      <c r="B2854" s="27">
        <v>0</v>
      </c>
      <c r="C2854" s="27">
        <v>14.5</v>
      </c>
      <c r="E2854" s="18"/>
    </row>
    <row r="2855" spans="1:5" ht="16.5" thickTop="1" thickBot="1" x14ac:dyDescent="0.3">
      <c r="A2855" s="28">
        <v>11.63087509619336</v>
      </c>
      <c r="B2855" s="27">
        <v>0</v>
      </c>
      <c r="C2855" s="27">
        <v>14.5</v>
      </c>
      <c r="E2855" s="18"/>
    </row>
    <row r="2856" spans="1:5" ht="16.5" thickTop="1" thickBot="1" x14ac:dyDescent="0.3">
      <c r="A2856" s="28">
        <v>1.2658891974377122</v>
      </c>
      <c r="B2856" s="27">
        <v>0</v>
      </c>
      <c r="C2856" s="27">
        <v>14.5</v>
      </c>
      <c r="E2856" s="18"/>
    </row>
    <row r="2857" spans="1:5" ht="16.5" thickTop="1" thickBot="1" x14ac:dyDescent="0.3">
      <c r="A2857" s="28">
        <v>11.420928678157983</v>
      </c>
      <c r="B2857" s="27">
        <v>0</v>
      </c>
      <c r="C2857" s="27">
        <v>14.5</v>
      </c>
      <c r="E2857" s="18"/>
    </row>
    <row r="2858" spans="1:5" ht="16.5" thickTop="1" thickBot="1" x14ac:dyDescent="0.3">
      <c r="A2858" s="28">
        <v>4.6149334370028079</v>
      </c>
      <c r="B2858" s="27">
        <v>0</v>
      </c>
      <c r="C2858" s="27">
        <v>14.5</v>
      </c>
      <c r="E2858" s="18"/>
    </row>
    <row r="2859" spans="1:5" ht="16.5" thickTop="1" thickBot="1" x14ac:dyDescent="0.3">
      <c r="A2859" s="28">
        <v>5.7179770672188894</v>
      </c>
      <c r="B2859" s="27">
        <v>0</v>
      </c>
      <c r="C2859" s="27">
        <v>14.5</v>
      </c>
      <c r="E2859" s="18"/>
    </row>
    <row r="2860" spans="1:5" ht="16.5" thickTop="1" thickBot="1" x14ac:dyDescent="0.3">
      <c r="A2860" s="28">
        <v>5.7846209541786369</v>
      </c>
      <c r="B2860" s="27">
        <v>0</v>
      </c>
      <c r="C2860" s="27">
        <v>14.5</v>
      </c>
      <c r="E2860" s="18"/>
    </row>
    <row r="2861" spans="1:5" ht="16.5" thickTop="1" thickBot="1" x14ac:dyDescent="0.3">
      <c r="A2861" s="28">
        <v>2.9547174939254046</v>
      </c>
      <c r="B2861" s="27">
        <v>0</v>
      </c>
      <c r="C2861" s="27">
        <v>14.5</v>
      </c>
      <c r="E2861" s="18"/>
    </row>
    <row r="2862" spans="1:5" ht="16.5" thickTop="1" thickBot="1" x14ac:dyDescent="0.3">
      <c r="A2862" s="28">
        <v>2.5998613123234042</v>
      </c>
      <c r="B2862" s="27">
        <v>0</v>
      </c>
      <c r="C2862" s="27">
        <v>14.5</v>
      </c>
      <c r="E2862" s="18"/>
    </row>
    <row r="2863" spans="1:5" ht="16.5" thickTop="1" thickBot="1" x14ac:dyDescent="0.3">
      <c r="A2863" s="28">
        <v>5.976057467737089</v>
      </c>
      <c r="B2863" s="27">
        <v>0</v>
      </c>
      <c r="C2863" s="27">
        <v>14.5</v>
      </c>
      <c r="E2863" s="18"/>
    </row>
    <row r="2864" spans="1:5" ht="16.5" thickTop="1" thickBot="1" x14ac:dyDescent="0.3">
      <c r="A2864" s="28">
        <v>1.3483203039153269</v>
      </c>
      <c r="B2864" s="27">
        <v>0</v>
      </c>
      <c r="C2864" s="27">
        <v>14.5</v>
      </c>
      <c r="E2864" s="18"/>
    </row>
    <row r="2865" spans="1:5" ht="16.5" thickTop="1" thickBot="1" x14ac:dyDescent="0.3">
      <c r="A2865" s="28">
        <v>5.8867530093366423</v>
      </c>
      <c r="B2865" s="27">
        <v>0</v>
      </c>
      <c r="C2865" s="27">
        <v>17</v>
      </c>
      <c r="E2865" s="18"/>
    </row>
    <row r="2866" spans="1:5" ht="16.5" thickTop="1" thickBot="1" x14ac:dyDescent="0.3">
      <c r="A2866" s="28">
        <v>5.1354066788414077</v>
      </c>
      <c r="B2866" s="27">
        <v>0</v>
      </c>
      <c r="C2866" s="27">
        <v>17</v>
      </c>
      <c r="E2866" s="18"/>
    </row>
    <row r="2867" spans="1:5" ht="16.5" thickTop="1" thickBot="1" x14ac:dyDescent="0.3">
      <c r="A2867" s="28">
        <v>9.4853580333193186</v>
      </c>
      <c r="B2867" s="27">
        <v>0</v>
      </c>
      <c r="C2867" s="27">
        <v>17</v>
      </c>
      <c r="E2867" s="18"/>
    </row>
    <row r="2868" spans="1:5" ht="16.5" thickTop="1" thickBot="1" x14ac:dyDescent="0.3">
      <c r="A2868" s="28">
        <v>6.2082075380382209</v>
      </c>
      <c r="B2868" s="27">
        <v>0</v>
      </c>
      <c r="C2868" s="27">
        <v>17</v>
      </c>
      <c r="E2868" s="18"/>
    </row>
    <row r="2869" spans="1:5" ht="16.5" thickTop="1" thickBot="1" x14ac:dyDescent="0.3">
      <c r="A2869" s="28">
        <v>1.51268791905773</v>
      </c>
      <c r="B2869" s="27">
        <v>0</v>
      </c>
      <c r="C2869" s="27">
        <v>17</v>
      </c>
      <c r="E2869" s="18"/>
    </row>
    <row r="2870" spans="1:5" ht="16.5" thickTop="1" thickBot="1" x14ac:dyDescent="0.3">
      <c r="A2870" s="28">
        <v>4.5928719721652982</v>
      </c>
      <c r="B2870" s="27">
        <v>0</v>
      </c>
      <c r="C2870" s="27">
        <v>17</v>
      </c>
      <c r="E2870" s="18"/>
    </row>
    <row r="2871" spans="1:5" ht="16.5" thickTop="1" thickBot="1" x14ac:dyDescent="0.3">
      <c r="A2871" s="28">
        <v>3.8587152574774275</v>
      </c>
      <c r="B2871" s="27">
        <v>0</v>
      </c>
      <c r="C2871" s="27">
        <v>17</v>
      </c>
      <c r="E2871" s="18"/>
    </row>
    <row r="2872" spans="1:5" ht="16.5" thickTop="1" thickBot="1" x14ac:dyDescent="0.3">
      <c r="A2872" s="28">
        <v>3.905325930903091</v>
      </c>
      <c r="B2872" s="27">
        <v>0</v>
      </c>
      <c r="C2872" s="27">
        <v>17</v>
      </c>
      <c r="E2872" s="18"/>
    </row>
    <row r="2873" spans="1:5" ht="16.5" thickTop="1" thickBot="1" x14ac:dyDescent="0.3">
      <c r="A2873" s="28">
        <v>5.0651630897174513</v>
      </c>
      <c r="B2873" s="27">
        <v>0</v>
      </c>
      <c r="C2873" s="27">
        <v>17</v>
      </c>
      <c r="E2873" s="18"/>
    </row>
    <row r="2874" spans="1:5" ht="16.5" thickTop="1" thickBot="1" x14ac:dyDescent="0.3">
      <c r="A2874" s="28">
        <v>0.46018325700035534</v>
      </c>
      <c r="B2874" s="27">
        <v>0</v>
      </c>
      <c r="C2874" s="27">
        <v>17</v>
      </c>
      <c r="E2874" s="18"/>
    </row>
    <row r="2875" spans="1:5" ht="16.5" thickTop="1" thickBot="1" x14ac:dyDescent="0.3">
      <c r="A2875" s="28">
        <v>11.267640979924703</v>
      </c>
      <c r="B2875" s="27">
        <v>0</v>
      </c>
      <c r="C2875" s="27">
        <v>17</v>
      </c>
      <c r="E2875" s="18"/>
    </row>
    <row r="2876" spans="1:5" ht="16.5" thickTop="1" thickBot="1" x14ac:dyDescent="0.3">
      <c r="A2876" s="28">
        <v>1.024528063897689</v>
      </c>
      <c r="B2876" s="27">
        <v>0</v>
      </c>
      <c r="C2876" s="27">
        <v>17</v>
      </c>
      <c r="E2876" s="18"/>
    </row>
    <row r="2877" spans="1:5" ht="16.5" thickTop="1" thickBot="1" x14ac:dyDescent="0.3">
      <c r="A2877" s="28">
        <v>6.9294194831218521</v>
      </c>
      <c r="B2877" s="27">
        <v>0</v>
      </c>
      <c r="C2877" s="27">
        <v>17</v>
      </c>
      <c r="E2877" s="18"/>
    </row>
    <row r="2878" spans="1:5" ht="16.5" thickTop="1" thickBot="1" x14ac:dyDescent="0.3">
      <c r="A2878" s="28">
        <v>0.77852503812153673</v>
      </c>
      <c r="B2878" s="27">
        <v>0</v>
      </c>
      <c r="C2878" s="27">
        <v>6.6</v>
      </c>
      <c r="E2878" s="18"/>
    </row>
    <row r="2879" spans="1:5" ht="16.5" thickTop="1" thickBot="1" x14ac:dyDescent="0.3">
      <c r="A2879" s="28">
        <v>3.3393811446601238</v>
      </c>
      <c r="B2879" s="27">
        <v>0</v>
      </c>
      <c r="C2879" s="27">
        <v>6.6</v>
      </c>
      <c r="E2879" s="18"/>
    </row>
    <row r="2880" spans="1:5" ht="16.5" thickTop="1" thickBot="1" x14ac:dyDescent="0.3">
      <c r="A2880" s="28">
        <v>2.0670730442149479</v>
      </c>
      <c r="B2880" s="27">
        <v>0</v>
      </c>
      <c r="C2880" s="27">
        <v>6.6</v>
      </c>
      <c r="E2880" s="18"/>
    </row>
    <row r="2881" spans="1:5" ht="16.5" thickTop="1" thickBot="1" x14ac:dyDescent="0.3">
      <c r="A2881" s="28">
        <v>4.2895087485896948</v>
      </c>
      <c r="B2881" s="27">
        <v>0</v>
      </c>
      <c r="C2881" s="27">
        <v>6.6</v>
      </c>
      <c r="E2881" s="18"/>
    </row>
    <row r="2882" spans="1:5" ht="16.5" thickTop="1" thickBot="1" x14ac:dyDescent="0.3">
      <c r="A2882" s="28">
        <v>3.5893152407099329</v>
      </c>
      <c r="B2882" s="27">
        <v>0</v>
      </c>
      <c r="C2882" s="27">
        <v>6.6</v>
      </c>
      <c r="E2882" s="18"/>
    </row>
    <row r="2883" spans="1:5" ht="16.5" thickTop="1" thickBot="1" x14ac:dyDescent="0.3">
      <c r="A2883" s="28">
        <v>1.1968691945944383</v>
      </c>
      <c r="B2883" s="27">
        <v>0</v>
      </c>
      <c r="C2883" s="27">
        <v>6.6</v>
      </c>
      <c r="E2883" s="18"/>
    </row>
    <row r="2884" spans="1:5" ht="16.5" thickTop="1" thickBot="1" x14ac:dyDescent="0.3">
      <c r="A2884" s="28">
        <v>0.51325501630284787</v>
      </c>
      <c r="B2884" s="27">
        <v>0</v>
      </c>
      <c r="C2884" s="27">
        <v>6.6</v>
      </c>
      <c r="E2884" s="18"/>
    </row>
    <row r="2885" spans="1:5" ht="16.5" thickTop="1" thickBot="1" x14ac:dyDescent="0.3">
      <c r="A2885" s="28">
        <v>1.1836359851929963</v>
      </c>
      <c r="B2885" s="27">
        <v>0</v>
      </c>
      <c r="C2885" s="27">
        <v>6.6</v>
      </c>
      <c r="E2885" s="18"/>
    </row>
    <row r="2886" spans="1:5" ht="16.5" thickTop="1" thickBot="1" x14ac:dyDescent="0.3">
      <c r="A2886" s="28">
        <v>3.077145812366413</v>
      </c>
      <c r="B2886" s="27">
        <v>0</v>
      </c>
      <c r="C2886" s="27">
        <v>6.6</v>
      </c>
      <c r="E2886" s="18"/>
    </row>
    <row r="2887" spans="1:5" ht="16.5" thickTop="1" thickBot="1" x14ac:dyDescent="0.3">
      <c r="A2887" s="28">
        <v>9.0875638667172716</v>
      </c>
      <c r="B2887" s="27">
        <v>0</v>
      </c>
      <c r="C2887" s="27">
        <v>6.6</v>
      </c>
      <c r="E2887" s="18"/>
    </row>
    <row r="2888" spans="1:5" ht="16.5" thickTop="1" thickBot="1" x14ac:dyDescent="0.3">
      <c r="A2888" s="28">
        <v>3.8350774324060657</v>
      </c>
      <c r="B2888" s="27">
        <v>0</v>
      </c>
      <c r="C2888" s="27">
        <v>6.6</v>
      </c>
      <c r="E2888" s="18"/>
    </row>
    <row r="2889" spans="1:5" ht="16.5" thickTop="1" thickBot="1" x14ac:dyDescent="0.3">
      <c r="A2889" s="28">
        <v>9.0143667017191511</v>
      </c>
      <c r="B2889" s="27">
        <v>0</v>
      </c>
      <c r="C2889" s="27">
        <v>6.6</v>
      </c>
      <c r="E2889" s="18"/>
    </row>
    <row r="2890" spans="1:5" ht="16.5" thickTop="1" thickBot="1" x14ac:dyDescent="0.3">
      <c r="A2890" s="28">
        <v>1.6471855197680356</v>
      </c>
      <c r="B2890" s="27">
        <v>0</v>
      </c>
      <c r="C2890" s="27">
        <v>6.6</v>
      </c>
      <c r="E2890" s="18"/>
    </row>
    <row r="2891" spans="1:5" ht="16.5" thickTop="1" thickBot="1" x14ac:dyDescent="0.3">
      <c r="A2891" s="28">
        <v>5.2257612602866601</v>
      </c>
      <c r="B2891" s="27">
        <v>0</v>
      </c>
      <c r="C2891" s="27">
        <v>6.6</v>
      </c>
      <c r="E2891" s="18"/>
    </row>
    <row r="2892" spans="1:5" ht="16.5" thickTop="1" thickBot="1" x14ac:dyDescent="0.3">
      <c r="A2892" s="28">
        <v>0.65232830535140307</v>
      </c>
      <c r="B2892" s="27">
        <v>0</v>
      </c>
      <c r="C2892" s="27">
        <v>6.6</v>
      </c>
      <c r="E2892" s="18"/>
    </row>
    <row r="2893" spans="1:5" ht="16.5" thickTop="1" thickBot="1" x14ac:dyDescent="0.3">
      <c r="A2893" s="28">
        <v>7.1262572148763086</v>
      </c>
      <c r="B2893" s="27">
        <v>0</v>
      </c>
      <c r="C2893" s="27">
        <v>6.6</v>
      </c>
      <c r="E2893" s="18"/>
    </row>
    <row r="2894" spans="1:5" ht="16.5" thickTop="1" thickBot="1" x14ac:dyDescent="0.3">
      <c r="A2894" s="28">
        <v>6.1065552711541624</v>
      </c>
      <c r="B2894" s="27">
        <v>0</v>
      </c>
      <c r="C2894" s="27">
        <v>15.9</v>
      </c>
      <c r="E2894" s="18"/>
    </row>
    <row r="2895" spans="1:5" ht="16.5" thickTop="1" thickBot="1" x14ac:dyDescent="0.3">
      <c r="A2895" s="28">
        <v>7.757225494378404</v>
      </c>
      <c r="B2895" s="27">
        <v>0</v>
      </c>
      <c r="C2895" s="27">
        <v>15.9</v>
      </c>
      <c r="E2895" s="18"/>
    </row>
    <row r="2896" spans="1:5" ht="16.5" thickTop="1" thickBot="1" x14ac:dyDescent="0.3">
      <c r="A2896" s="28">
        <v>4.2452537975534526</v>
      </c>
      <c r="B2896" s="27">
        <v>0</v>
      </c>
      <c r="C2896" s="27">
        <v>15.9</v>
      </c>
      <c r="E2896" s="18"/>
    </row>
    <row r="2897" spans="1:5" ht="16.5" thickTop="1" thickBot="1" x14ac:dyDescent="0.3">
      <c r="A2897" s="28">
        <v>3.0639883321776726</v>
      </c>
      <c r="B2897" s="27">
        <v>0</v>
      </c>
      <c r="C2897" s="27">
        <v>15.9</v>
      </c>
      <c r="E2897" s="18"/>
    </row>
    <row r="2898" spans="1:5" ht="16.5" thickTop="1" thickBot="1" x14ac:dyDescent="0.3">
      <c r="A2898" s="28">
        <v>1.3610194252626391</v>
      </c>
      <c r="B2898" s="27">
        <v>0</v>
      </c>
      <c r="C2898" s="27">
        <v>15.9</v>
      </c>
      <c r="E2898" s="18"/>
    </row>
    <row r="2899" spans="1:5" ht="16.5" thickTop="1" thickBot="1" x14ac:dyDescent="0.3">
      <c r="A2899" s="28">
        <v>4.1740103877951666</v>
      </c>
      <c r="B2899" s="27">
        <v>0</v>
      </c>
      <c r="C2899" s="27">
        <v>15.9</v>
      </c>
      <c r="E2899" s="18"/>
    </row>
    <row r="2900" spans="1:5" ht="16.5" thickTop="1" thickBot="1" x14ac:dyDescent="0.3">
      <c r="A2900" s="28">
        <v>4.8525706204991952</v>
      </c>
      <c r="B2900" s="27">
        <v>0</v>
      </c>
      <c r="C2900" s="27">
        <v>15.9</v>
      </c>
      <c r="E2900" s="18"/>
    </row>
    <row r="2901" spans="1:5" ht="16.5" thickTop="1" thickBot="1" x14ac:dyDescent="0.3">
      <c r="A2901" s="28">
        <v>3.6803871466827878</v>
      </c>
      <c r="B2901" s="27">
        <v>0</v>
      </c>
      <c r="C2901" s="27">
        <v>15.9</v>
      </c>
      <c r="E2901" s="18"/>
    </row>
    <row r="2902" spans="1:5" ht="16.5" thickTop="1" thickBot="1" x14ac:dyDescent="0.3">
      <c r="A2902" s="28">
        <v>0.73835172588204967</v>
      </c>
      <c r="B2902" s="27">
        <v>0</v>
      </c>
      <c r="C2902" s="27">
        <v>15.9</v>
      </c>
      <c r="E2902" s="18"/>
    </row>
    <row r="2903" spans="1:5" ht="16.5" thickTop="1" thickBot="1" x14ac:dyDescent="0.3">
      <c r="A2903" s="28">
        <v>10.384009896631035</v>
      </c>
      <c r="B2903" s="27">
        <v>0</v>
      </c>
      <c r="C2903" s="27">
        <v>15.9</v>
      </c>
      <c r="E2903" s="18"/>
    </row>
    <row r="2904" spans="1:5" ht="16.5" thickTop="1" thickBot="1" x14ac:dyDescent="0.3">
      <c r="A2904" s="28">
        <v>4.4439041466188316</v>
      </c>
      <c r="B2904" s="27">
        <v>0</v>
      </c>
      <c r="C2904" s="27">
        <v>15.9</v>
      </c>
      <c r="E2904" s="18"/>
    </row>
    <row r="2905" spans="1:5" ht="16.5" thickTop="1" thickBot="1" x14ac:dyDescent="0.3">
      <c r="A2905" s="28">
        <v>6.5559043336681171</v>
      </c>
      <c r="B2905" s="27">
        <v>0</v>
      </c>
      <c r="C2905" s="27">
        <v>15.9</v>
      </c>
      <c r="E2905" s="18"/>
    </row>
    <row r="2906" spans="1:5" ht="16.5" thickTop="1" thickBot="1" x14ac:dyDescent="0.3">
      <c r="A2906" s="28">
        <v>2.0620891649385884</v>
      </c>
      <c r="B2906" s="27">
        <v>0</v>
      </c>
      <c r="C2906" s="27">
        <v>15.9</v>
      </c>
      <c r="E2906" s="18"/>
    </row>
    <row r="2907" spans="1:5" ht="16.5" thickTop="1" thickBot="1" x14ac:dyDescent="0.3">
      <c r="A2907" s="28">
        <v>11.927335518463874</v>
      </c>
      <c r="B2907" s="27">
        <v>0</v>
      </c>
      <c r="C2907" s="27">
        <v>15.9</v>
      </c>
      <c r="E2907" s="18"/>
    </row>
    <row r="2908" spans="1:5" ht="16.5" thickTop="1" thickBot="1" x14ac:dyDescent="0.3">
      <c r="A2908" s="28">
        <v>0.26042184864729978</v>
      </c>
      <c r="B2908" s="27">
        <v>0</v>
      </c>
      <c r="C2908" s="27">
        <v>15.9</v>
      </c>
      <c r="E2908" s="18"/>
    </row>
    <row r="2909" spans="1:5" ht="16.5" thickTop="1" thickBot="1" x14ac:dyDescent="0.3">
      <c r="A2909" s="28">
        <v>4.7030891393503174</v>
      </c>
      <c r="B2909" s="27">
        <v>0</v>
      </c>
      <c r="C2909" s="27">
        <v>15.9</v>
      </c>
      <c r="E2909" s="18"/>
    </row>
    <row r="2910" spans="1:5" ht="16.5" thickTop="1" thickBot="1" x14ac:dyDescent="0.3">
      <c r="A2910" s="28">
        <v>5.1455868461242398</v>
      </c>
      <c r="B2910" s="27">
        <v>0</v>
      </c>
      <c r="C2910" s="27">
        <v>15.9</v>
      </c>
      <c r="E2910" s="18"/>
    </row>
    <row r="2911" spans="1:5" ht="16.5" thickTop="1" thickBot="1" x14ac:dyDescent="0.3">
      <c r="A2911" s="28">
        <v>2.0427121590462267</v>
      </c>
      <c r="B2911" s="27">
        <v>0</v>
      </c>
      <c r="C2911" s="27">
        <v>14.9</v>
      </c>
      <c r="E2911" s="18"/>
    </row>
    <row r="2912" spans="1:5" ht="16.5" thickTop="1" thickBot="1" x14ac:dyDescent="0.3">
      <c r="A2912" s="28">
        <v>5.8552162390980484</v>
      </c>
      <c r="B2912" s="27">
        <v>0</v>
      </c>
      <c r="C2912" s="27">
        <v>14.9</v>
      </c>
      <c r="E2912" s="18"/>
    </row>
    <row r="2913" spans="1:5" ht="16.5" thickTop="1" thickBot="1" x14ac:dyDescent="0.3">
      <c r="A2913" s="28">
        <v>1.955753214264917</v>
      </c>
      <c r="B2913" s="27">
        <v>0</v>
      </c>
      <c r="C2913" s="27">
        <v>14.9</v>
      </c>
      <c r="E2913" s="18"/>
    </row>
    <row r="2914" spans="1:5" ht="16.5" thickTop="1" thickBot="1" x14ac:dyDescent="0.3">
      <c r="A2914" s="28">
        <v>1.0100426226539498</v>
      </c>
      <c r="B2914" s="27">
        <v>0</v>
      </c>
      <c r="C2914" s="27">
        <v>14.9</v>
      </c>
      <c r="E2914" s="18"/>
    </row>
    <row r="2915" spans="1:5" ht="16.5" thickTop="1" thickBot="1" x14ac:dyDescent="0.3">
      <c r="A2915" s="28">
        <v>11.85191068964024</v>
      </c>
      <c r="B2915" s="27">
        <v>0</v>
      </c>
      <c r="C2915" s="27">
        <v>14.9</v>
      </c>
      <c r="E2915" s="18"/>
    </row>
    <row r="2916" spans="1:5" ht="16.5" thickTop="1" thickBot="1" x14ac:dyDescent="0.3">
      <c r="A2916" s="28">
        <v>4.2166442717474935</v>
      </c>
      <c r="B2916" s="27">
        <v>0</v>
      </c>
      <c r="C2916" s="27">
        <v>14.9</v>
      </c>
      <c r="E2916" s="18"/>
    </row>
    <row r="2917" spans="1:5" ht="16.5" thickTop="1" thickBot="1" x14ac:dyDescent="0.3">
      <c r="A2917" s="28">
        <v>1.4964750645607396</v>
      </c>
      <c r="B2917" s="27">
        <v>0</v>
      </c>
      <c r="C2917" s="27">
        <v>14.9</v>
      </c>
      <c r="E2917" s="18"/>
    </row>
    <row r="2918" spans="1:5" ht="16.5" thickTop="1" thickBot="1" x14ac:dyDescent="0.3">
      <c r="A2918" s="28">
        <v>1.6513001128650919</v>
      </c>
      <c r="B2918" s="27">
        <v>0</v>
      </c>
      <c r="C2918" s="27">
        <v>14.9</v>
      </c>
      <c r="E2918" s="18"/>
    </row>
    <row r="2919" spans="1:5" ht="16.5" thickTop="1" thickBot="1" x14ac:dyDescent="0.3">
      <c r="A2919" s="28">
        <v>9.0114875278237605</v>
      </c>
      <c r="B2919" s="27">
        <v>0</v>
      </c>
      <c r="C2919" s="27">
        <v>14.9</v>
      </c>
      <c r="E2919" s="18"/>
    </row>
    <row r="2920" spans="1:5" ht="16.5" thickTop="1" thickBot="1" x14ac:dyDescent="0.3">
      <c r="A2920" s="28">
        <v>4.2654040778416098</v>
      </c>
      <c r="B2920" s="27">
        <v>0</v>
      </c>
      <c r="C2920" s="27">
        <v>14.9</v>
      </c>
      <c r="E2920" s="18"/>
    </row>
    <row r="2921" spans="1:5" ht="16.5" thickTop="1" thickBot="1" x14ac:dyDescent="0.3">
      <c r="A2921" s="28">
        <v>2.5966321406850472</v>
      </c>
      <c r="B2921" s="27">
        <v>0</v>
      </c>
      <c r="C2921" s="27">
        <v>14.9</v>
      </c>
      <c r="E2921" s="18"/>
    </row>
    <row r="2922" spans="1:5" ht="16.5" thickTop="1" thickBot="1" x14ac:dyDescent="0.3">
      <c r="A2922" s="28">
        <v>2.5719875069157245</v>
      </c>
      <c r="B2922" s="27">
        <v>0</v>
      </c>
      <c r="C2922" s="27">
        <v>14.9</v>
      </c>
      <c r="E2922" s="18"/>
    </row>
    <row r="2923" spans="1:5" ht="16.5" thickTop="1" thickBot="1" x14ac:dyDescent="0.3">
      <c r="A2923" s="28">
        <v>4.0218876333665996</v>
      </c>
      <c r="B2923" s="27">
        <v>0</v>
      </c>
      <c r="C2923" s="27">
        <v>14.9</v>
      </c>
      <c r="E2923" s="18"/>
    </row>
    <row r="2924" spans="1:5" ht="16.5" thickTop="1" thickBot="1" x14ac:dyDescent="0.3">
      <c r="A2924" s="28">
        <v>6.7804074960912235</v>
      </c>
      <c r="B2924" s="27">
        <v>0</v>
      </c>
      <c r="C2924" s="27">
        <v>14.9</v>
      </c>
      <c r="E2924" s="18"/>
    </row>
    <row r="2925" spans="1:5" ht="16.5" thickTop="1" thickBot="1" x14ac:dyDescent="0.3">
      <c r="A2925" s="28">
        <v>3.5213095789403761</v>
      </c>
      <c r="B2925" s="27">
        <v>0</v>
      </c>
      <c r="C2925" s="27">
        <v>14.9</v>
      </c>
      <c r="E2925" s="18"/>
    </row>
    <row r="2926" spans="1:5" ht="16.5" thickTop="1" thickBot="1" x14ac:dyDescent="0.3">
      <c r="A2926" s="28">
        <v>4.8801000423704322</v>
      </c>
      <c r="B2926" s="27">
        <v>0</v>
      </c>
      <c r="C2926" s="27">
        <v>14.9</v>
      </c>
      <c r="E2926" s="18"/>
    </row>
    <row r="2927" spans="1:5" ht="16.5" thickTop="1" thickBot="1" x14ac:dyDescent="0.3">
      <c r="A2927" s="28">
        <v>1.8172578860227855</v>
      </c>
      <c r="B2927" s="27">
        <v>0</v>
      </c>
      <c r="C2927" s="27">
        <v>10.8</v>
      </c>
      <c r="E2927" s="18"/>
    </row>
    <row r="2928" spans="1:5" ht="16.5" thickTop="1" thickBot="1" x14ac:dyDescent="0.3">
      <c r="A2928" s="28">
        <v>2.4823604850576237</v>
      </c>
      <c r="B2928" s="27">
        <v>0</v>
      </c>
      <c r="C2928" s="27">
        <v>10.8</v>
      </c>
      <c r="E2928" s="18"/>
    </row>
    <row r="2929" spans="1:5" ht="16.5" thickTop="1" thickBot="1" x14ac:dyDescent="0.3">
      <c r="A2929" s="28">
        <v>7.9662217793422627</v>
      </c>
      <c r="B2929" s="27">
        <v>0</v>
      </c>
      <c r="C2929" s="27">
        <v>10.8</v>
      </c>
      <c r="E2929" s="18"/>
    </row>
    <row r="2930" spans="1:5" ht="16.5" thickTop="1" thickBot="1" x14ac:dyDescent="0.3">
      <c r="A2930" s="28">
        <v>2.1596077797911297</v>
      </c>
      <c r="B2930" s="27">
        <v>0</v>
      </c>
      <c r="C2930" s="27">
        <v>10.8</v>
      </c>
      <c r="E2930" s="18"/>
    </row>
    <row r="2931" spans="1:5" ht="16.5" thickTop="1" thickBot="1" x14ac:dyDescent="0.3">
      <c r="A2931" s="28">
        <v>8.6249343168987913E-2</v>
      </c>
      <c r="B2931" s="27">
        <v>0</v>
      </c>
      <c r="C2931" s="27">
        <v>10.8</v>
      </c>
      <c r="E2931" s="18"/>
    </row>
    <row r="2932" spans="1:5" ht="16.5" thickTop="1" thickBot="1" x14ac:dyDescent="0.3">
      <c r="A2932" s="28">
        <v>6.5704058832537289</v>
      </c>
      <c r="B2932" s="27">
        <v>0</v>
      </c>
      <c r="C2932" s="27">
        <v>10.8</v>
      </c>
      <c r="E2932" s="18"/>
    </row>
    <row r="2933" spans="1:5" ht="16.5" thickTop="1" thickBot="1" x14ac:dyDescent="0.3">
      <c r="A2933" s="28">
        <v>4.6834124687347325</v>
      </c>
      <c r="B2933" s="27">
        <v>0</v>
      </c>
      <c r="C2933" s="27">
        <v>10.8</v>
      </c>
      <c r="E2933" s="18"/>
    </row>
    <row r="2934" spans="1:5" ht="16.5" thickTop="1" thickBot="1" x14ac:dyDescent="0.3">
      <c r="A2934" s="28">
        <v>5.0394431895079475</v>
      </c>
      <c r="B2934" s="27">
        <v>0</v>
      </c>
      <c r="C2934" s="27">
        <v>10.8</v>
      </c>
      <c r="E2934" s="18"/>
    </row>
    <row r="2935" spans="1:5" ht="16.5" thickTop="1" thickBot="1" x14ac:dyDescent="0.3">
      <c r="A2935" s="28">
        <v>9.9686616327905995</v>
      </c>
      <c r="B2935" s="27">
        <v>0</v>
      </c>
      <c r="C2935" s="27">
        <v>10.8</v>
      </c>
      <c r="E2935" s="18"/>
    </row>
    <row r="2936" spans="1:5" ht="16.5" thickTop="1" thickBot="1" x14ac:dyDescent="0.3">
      <c r="A2936" s="28">
        <v>5.1422076500625549</v>
      </c>
      <c r="B2936" s="27">
        <v>0</v>
      </c>
      <c r="C2936" s="27">
        <v>10.8</v>
      </c>
      <c r="E2936" s="18"/>
    </row>
    <row r="2937" spans="1:5" ht="16.5" thickTop="1" thickBot="1" x14ac:dyDescent="0.3">
      <c r="A2937" s="28">
        <v>4.8154449637099699</v>
      </c>
      <c r="B2937" s="27">
        <v>0</v>
      </c>
      <c r="C2937" s="27">
        <v>10.8</v>
      </c>
      <c r="E2937" s="18"/>
    </row>
    <row r="2938" spans="1:5" ht="16.5" thickTop="1" thickBot="1" x14ac:dyDescent="0.3">
      <c r="A2938" s="28">
        <v>1.8911485036676479</v>
      </c>
      <c r="B2938" s="27">
        <v>0</v>
      </c>
      <c r="C2938" s="27">
        <v>10.8</v>
      </c>
      <c r="E2938" s="18"/>
    </row>
    <row r="2939" spans="1:5" ht="16.5" thickTop="1" thickBot="1" x14ac:dyDescent="0.3">
      <c r="A2939" s="28">
        <v>0.66821540886417896</v>
      </c>
      <c r="B2939" s="27">
        <v>0</v>
      </c>
      <c r="C2939" s="27">
        <v>10.8</v>
      </c>
      <c r="E2939" s="18"/>
    </row>
    <row r="2940" spans="1:5" ht="16.5" thickTop="1" thickBot="1" x14ac:dyDescent="0.3">
      <c r="A2940" s="28">
        <v>5.5518737491681733</v>
      </c>
      <c r="B2940" s="27">
        <v>0</v>
      </c>
      <c r="C2940" s="27">
        <v>10.8</v>
      </c>
      <c r="E2940" s="18"/>
    </row>
    <row r="2941" spans="1:5" ht="16.5" thickTop="1" thickBot="1" x14ac:dyDescent="0.3">
      <c r="A2941" s="28">
        <v>8.9362210341103481</v>
      </c>
      <c r="B2941" s="27">
        <v>0</v>
      </c>
      <c r="C2941" s="27">
        <v>10.8</v>
      </c>
      <c r="E2941" s="18"/>
    </row>
    <row r="2942" spans="1:5" ht="16.5" thickTop="1" thickBot="1" x14ac:dyDescent="0.3">
      <c r="A2942" s="28">
        <v>1.2491513678701747</v>
      </c>
      <c r="B2942" s="27">
        <v>0</v>
      </c>
      <c r="C2942" s="27">
        <v>10.8</v>
      </c>
      <c r="E2942" s="18"/>
    </row>
    <row r="2943" spans="1:5" ht="16.5" thickTop="1" thickBot="1" x14ac:dyDescent="0.3">
      <c r="A2943" s="28">
        <v>11.348343048360706</v>
      </c>
      <c r="B2943" s="27">
        <v>0</v>
      </c>
      <c r="C2943" s="27">
        <v>7.1</v>
      </c>
      <c r="E2943" s="18"/>
    </row>
    <row r="2944" spans="1:5" ht="16.5" thickTop="1" thickBot="1" x14ac:dyDescent="0.3">
      <c r="A2944" s="28">
        <v>2.6761455527348925</v>
      </c>
      <c r="B2944" s="27">
        <v>0</v>
      </c>
      <c r="C2944" s="27">
        <v>7.1</v>
      </c>
      <c r="E2944" s="18"/>
    </row>
    <row r="2945" spans="1:5" ht="16.5" thickTop="1" thickBot="1" x14ac:dyDescent="0.3">
      <c r="A2945" s="28">
        <v>1.3288118043537507</v>
      </c>
      <c r="B2945" s="27">
        <v>0</v>
      </c>
      <c r="C2945" s="27">
        <v>7.1</v>
      </c>
      <c r="E2945" s="18"/>
    </row>
    <row r="2946" spans="1:5" ht="16.5" thickTop="1" thickBot="1" x14ac:dyDescent="0.3">
      <c r="A2946" s="28">
        <v>0.5073452961796201</v>
      </c>
      <c r="B2946" s="27">
        <v>0</v>
      </c>
      <c r="C2946" s="27">
        <v>7.1</v>
      </c>
      <c r="E2946" s="18"/>
    </row>
    <row r="2947" spans="1:5" ht="16.5" thickTop="1" thickBot="1" x14ac:dyDescent="0.3">
      <c r="A2947" s="28">
        <v>10.588426977292446</v>
      </c>
      <c r="B2947" s="27">
        <v>0</v>
      </c>
      <c r="C2947" s="27">
        <v>7.1</v>
      </c>
      <c r="E2947" s="18"/>
    </row>
    <row r="2948" spans="1:5" ht="16.5" thickTop="1" thickBot="1" x14ac:dyDescent="0.3">
      <c r="A2948" s="28">
        <v>4.940115577128946</v>
      </c>
      <c r="B2948" s="27">
        <v>0</v>
      </c>
      <c r="C2948" s="27">
        <v>7.1</v>
      </c>
      <c r="E2948" s="18"/>
    </row>
    <row r="2949" spans="1:5" ht="16.5" thickTop="1" thickBot="1" x14ac:dyDescent="0.3">
      <c r="A2949" s="28">
        <v>4.678407532559115</v>
      </c>
      <c r="B2949" s="27">
        <v>0</v>
      </c>
      <c r="C2949" s="27">
        <v>7.1</v>
      </c>
      <c r="E2949" s="18"/>
    </row>
    <row r="2950" spans="1:5" ht="16.5" thickTop="1" thickBot="1" x14ac:dyDescent="0.3">
      <c r="A2950" s="28">
        <v>4.6564900435157766</v>
      </c>
      <c r="B2950" s="27">
        <v>0</v>
      </c>
      <c r="C2950" s="27">
        <v>7.1</v>
      </c>
      <c r="E2950" s="18"/>
    </row>
    <row r="2951" spans="1:5" ht="16.5" thickTop="1" thickBot="1" x14ac:dyDescent="0.3">
      <c r="A2951" s="28">
        <v>8.1083847184460431</v>
      </c>
      <c r="B2951" s="27">
        <v>0</v>
      </c>
      <c r="C2951" s="27">
        <v>7.1</v>
      </c>
      <c r="E2951" s="18"/>
    </row>
    <row r="2952" spans="1:5" ht="16.5" thickTop="1" thickBot="1" x14ac:dyDescent="0.3">
      <c r="A2952" s="28">
        <v>3.2912118992281059</v>
      </c>
      <c r="B2952" s="27">
        <v>0</v>
      </c>
      <c r="C2952" s="27">
        <v>7.1</v>
      </c>
      <c r="E2952" s="18"/>
    </row>
    <row r="2953" spans="1:5" ht="16.5" thickTop="1" thickBot="1" x14ac:dyDescent="0.3">
      <c r="A2953" s="28">
        <v>7.571528677902343</v>
      </c>
      <c r="B2953" s="27">
        <v>0</v>
      </c>
      <c r="C2953" s="27">
        <v>7.1</v>
      </c>
      <c r="E2953" s="18"/>
    </row>
    <row r="2954" spans="1:5" ht="16.5" thickTop="1" thickBot="1" x14ac:dyDescent="0.3">
      <c r="A2954" s="28">
        <v>6.2586776579557037</v>
      </c>
      <c r="B2954" s="27">
        <v>0</v>
      </c>
      <c r="C2954" s="27">
        <v>7.1</v>
      </c>
      <c r="E2954" s="18"/>
    </row>
    <row r="2955" spans="1:5" ht="16.5" thickTop="1" thickBot="1" x14ac:dyDescent="0.3">
      <c r="A2955" s="28">
        <v>5.1899523398107483</v>
      </c>
      <c r="B2955" s="27">
        <v>0</v>
      </c>
      <c r="C2955" s="27">
        <v>7.1</v>
      </c>
      <c r="E2955" s="18"/>
    </row>
    <row r="2956" spans="1:5" ht="16.5" thickTop="1" thickBot="1" x14ac:dyDescent="0.3">
      <c r="A2956" s="28">
        <v>1.9261247166686584</v>
      </c>
      <c r="B2956" s="27">
        <v>0</v>
      </c>
      <c r="C2956" s="27">
        <v>7.1</v>
      </c>
      <c r="E2956" s="18"/>
    </row>
    <row r="2957" spans="1:5" ht="16.5" thickTop="1" thickBot="1" x14ac:dyDescent="0.3">
      <c r="A2957" s="28">
        <v>9.169715914571567</v>
      </c>
      <c r="B2957" s="27">
        <v>0</v>
      </c>
      <c r="C2957" s="27">
        <v>7.1</v>
      </c>
      <c r="E2957" s="18"/>
    </row>
    <row r="2958" spans="1:5" ht="16.5" thickTop="1" thickBot="1" x14ac:dyDescent="0.3">
      <c r="A2958" s="28">
        <v>4.0494718216000205</v>
      </c>
      <c r="B2958" s="27">
        <v>0</v>
      </c>
      <c r="C2958" s="27">
        <v>7.1</v>
      </c>
      <c r="E2958" s="18"/>
    </row>
    <row r="2959" spans="1:5" ht="16.5" thickTop="1" thickBot="1" x14ac:dyDescent="0.3">
      <c r="A2959" s="28">
        <v>0.72105385733207861</v>
      </c>
      <c r="B2959" s="27">
        <v>0</v>
      </c>
      <c r="C2959" s="27">
        <v>10.9</v>
      </c>
      <c r="E2959" s="18"/>
    </row>
    <row r="2960" spans="1:5" ht="16.5" thickTop="1" thickBot="1" x14ac:dyDescent="0.3">
      <c r="A2960" s="28">
        <v>1.1890808640412818</v>
      </c>
      <c r="B2960" s="27">
        <v>0</v>
      </c>
      <c r="C2960" s="27">
        <v>10.9</v>
      </c>
      <c r="E2960" s="18"/>
    </row>
    <row r="2961" spans="1:5" ht="16.5" thickTop="1" thickBot="1" x14ac:dyDescent="0.3">
      <c r="A2961" s="28">
        <v>8.7945948327219252</v>
      </c>
      <c r="B2961" s="27">
        <v>0</v>
      </c>
      <c r="C2961" s="27">
        <v>10.9</v>
      </c>
      <c r="E2961" s="18"/>
    </row>
    <row r="2962" spans="1:5" ht="16.5" thickTop="1" thickBot="1" x14ac:dyDescent="0.3">
      <c r="A2962" s="28">
        <v>5.8622377027819681</v>
      </c>
      <c r="B2962" s="27">
        <v>0</v>
      </c>
      <c r="C2962" s="27">
        <v>10.9</v>
      </c>
      <c r="E2962" s="18"/>
    </row>
    <row r="2963" spans="1:5" ht="16.5" thickTop="1" thickBot="1" x14ac:dyDescent="0.3">
      <c r="A2963" s="28">
        <v>7.237979519695557</v>
      </c>
      <c r="B2963" s="27">
        <v>0</v>
      </c>
      <c r="C2963" s="27">
        <v>10.9</v>
      </c>
      <c r="E2963" s="18"/>
    </row>
    <row r="2964" spans="1:5" ht="16.5" thickTop="1" thickBot="1" x14ac:dyDescent="0.3">
      <c r="A2964" s="28">
        <v>2.7157771410308462</v>
      </c>
      <c r="B2964" s="27">
        <v>0</v>
      </c>
      <c r="C2964" s="27">
        <v>10.9</v>
      </c>
      <c r="E2964" s="18"/>
    </row>
    <row r="2965" spans="1:5" ht="16.5" thickTop="1" thickBot="1" x14ac:dyDescent="0.3">
      <c r="A2965" s="28">
        <v>7.6352905626086187</v>
      </c>
      <c r="B2965" s="27">
        <v>0</v>
      </c>
      <c r="C2965" s="27">
        <v>10.9</v>
      </c>
      <c r="E2965" s="18"/>
    </row>
    <row r="2966" spans="1:5" ht="16.5" thickTop="1" thickBot="1" x14ac:dyDescent="0.3">
      <c r="A2966" s="28">
        <v>6.8428884296281662</v>
      </c>
      <c r="B2966" s="27">
        <v>0</v>
      </c>
      <c r="C2966" s="27">
        <v>10.9</v>
      </c>
      <c r="E2966" s="18"/>
    </row>
    <row r="2967" spans="1:5" ht="16.5" thickTop="1" thickBot="1" x14ac:dyDescent="0.3">
      <c r="A2967" s="28">
        <v>7.0507527751650994</v>
      </c>
      <c r="B2967" s="27">
        <v>0</v>
      </c>
      <c r="C2967" s="27">
        <v>10.9</v>
      </c>
      <c r="E2967" s="18"/>
    </row>
    <row r="2968" spans="1:5" ht="16.5" thickTop="1" thickBot="1" x14ac:dyDescent="0.3">
      <c r="A2968" s="28">
        <v>4.8882564958317509</v>
      </c>
      <c r="B2968" s="27">
        <v>0</v>
      </c>
      <c r="C2968" s="27">
        <v>10.9</v>
      </c>
      <c r="E2968" s="18"/>
    </row>
    <row r="2969" spans="1:5" ht="16.5" thickTop="1" thickBot="1" x14ac:dyDescent="0.3">
      <c r="A2969" s="28">
        <v>9.8386742691511824</v>
      </c>
      <c r="B2969" s="27">
        <v>0</v>
      </c>
      <c r="C2969" s="27">
        <v>10.9</v>
      </c>
      <c r="E2969" s="18"/>
    </row>
    <row r="2970" spans="1:5" ht="16.5" thickTop="1" thickBot="1" x14ac:dyDescent="0.3">
      <c r="A2970" s="28">
        <v>5.2352277669432663</v>
      </c>
      <c r="B2970" s="27">
        <v>0</v>
      </c>
      <c r="C2970" s="27">
        <v>10.9</v>
      </c>
      <c r="E2970" s="18"/>
    </row>
    <row r="2971" spans="1:5" ht="16.5" thickTop="1" thickBot="1" x14ac:dyDescent="0.3">
      <c r="A2971" s="28">
        <v>2.2124169078911233</v>
      </c>
      <c r="B2971" s="27">
        <v>0</v>
      </c>
      <c r="C2971" s="27">
        <v>10.9</v>
      </c>
      <c r="E2971" s="18"/>
    </row>
    <row r="2972" spans="1:5" ht="16.5" thickTop="1" thickBot="1" x14ac:dyDescent="0.3">
      <c r="A2972" s="28">
        <v>6.2489947101615009</v>
      </c>
      <c r="B2972" s="27">
        <v>0</v>
      </c>
      <c r="C2972" s="27">
        <v>10.9</v>
      </c>
      <c r="E2972" s="18"/>
    </row>
    <row r="2973" spans="1:5" ht="16.5" thickTop="1" thickBot="1" x14ac:dyDescent="0.3">
      <c r="A2973" s="28">
        <v>9.3543407351615571</v>
      </c>
      <c r="B2973" s="27">
        <v>0</v>
      </c>
      <c r="C2973" s="27">
        <v>10.9</v>
      </c>
      <c r="E2973" s="18"/>
    </row>
    <row r="2974" spans="1:5" ht="16.5" thickTop="1" thickBot="1" x14ac:dyDescent="0.3">
      <c r="A2974" s="28">
        <v>2.7617956129685211</v>
      </c>
      <c r="B2974" s="27">
        <v>0</v>
      </c>
      <c r="C2974" s="27">
        <v>10.9</v>
      </c>
      <c r="E2974" s="18"/>
    </row>
    <row r="2975" spans="1:5" ht="16.5" thickTop="1" thickBot="1" x14ac:dyDescent="0.3">
      <c r="A2975" s="28">
        <v>5.7364128188981578</v>
      </c>
      <c r="B2975" s="27">
        <v>0</v>
      </c>
      <c r="C2975" s="27">
        <v>10.9</v>
      </c>
      <c r="E2975" s="18"/>
    </row>
    <row r="2976" spans="1:5" ht="16.5" thickTop="1" thickBot="1" x14ac:dyDescent="0.3">
      <c r="A2976" s="28">
        <v>5.4258042846362766</v>
      </c>
      <c r="B2976" s="27">
        <v>0</v>
      </c>
      <c r="C2976" s="27">
        <v>15.9</v>
      </c>
      <c r="E2976" s="18"/>
    </row>
    <row r="2977" spans="1:5" ht="16.5" thickTop="1" thickBot="1" x14ac:dyDescent="0.3">
      <c r="A2977" s="28">
        <v>10.880278263784595</v>
      </c>
      <c r="B2977" s="27">
        <v>0</v>
      </c>
      <c r="C2977" s="27">
        <v>15.9</v>
      </c>
      <c r="E2977" s="18"/>
    </row>
    <row r="2978" spans="1:5" ht="16.5" thickTop="1" thickBot="1" x14ac:dyDescent="0.3">
      <c r="A2978" s="28">
        <v>2.4656434858516292</v>
      </c>
      <c r="B2978" s="27">
        <v>0</v>
      </c>
      <c r="C2978" s="27">
        <v>15.9</v>
      </c>
      <c r="E2978" s="18"/>
    </row>
    <row r="2979" spans="1:5" ht="16.5" thickTop="1" thickBot="1" x14ac:dyDescent="0.3">
      <c r="A2979" s="28">
        <v>2.3589308145001415</v>
      </c>
      <c r="B2979" s="27">
        <v>0</v>
      </c>
      <c r="C2979" s="27">
        <v>15.9</v>
      </c>
      <c r="E2979" s="18"/>
    </row>
    <row r="2980" spans="1:5" ht="16.5" thickTop="1" thickBot="1" x14ac:dyDescent="0.3">
      <c r="A2980" s="28">
        <v>2.5302799632057451</v>
      </c>
      <c r="B2980" s="27">
        <v>0</v>
      </c>
      <c r="C2980" s="27">
        <v>15.9</v>
      </c>
      <c r="E2980" s="18"/>
    </row>
    <row r="2981" spans="1:5" ht="16.5" thickTop="1" thickBot="1" x14ac:dyDescent="0.3">
      <c r="A2981" s="28">
        <v>11.572387717046173</v>
      </c>
      <c r="B2981" s="27">
        <v>0</v>
      </c>
      <c r="C2981" s="27">
        <v>15.9</v>
      </c>
      <c r="E2981" s="18"/>
    </row>
    <row r="2982" spans="1:5" ht="16.5" thickTop="1" thickBot="1" x14ac:dyDescent="0.3">
      <c r="A2982" s="28">
        <v>2.6860645289036218</v>
      </c>
      <c r="B2982" s="27">
        <v>0</v>
      </c>
      <c r="C2982" s="27">
        <v>15.9</v>
      </c>
      <c r="E2982" s="18"/>
    </row>
    <row r="2983" spans="1:5" ht="16.5" thickTop="1" thickBot="1" x14ac:dyDescent="0.3">
      <c r="A2983" s="28">
        <v>9.9381053308126646</v>
      </c>
      <c r="B2983" s="27">
        <v>0</v>
      </c>
      <c r="C2983" s="27">
        <v>15.9</v>
      </c>
      <c r="E2983" s="18"/>
    </row>
    <row r="2984" spans="1:5" ht="16.5" thickTop="1" thickBot="1" x14ac:dyDescent="0.3">
      <c r="A2984" s="28">
        <v>6.1353069799378366</v>
      </c>
      <c r="B2984" s="27">
        <v>0</v>
      </c>
      <c r="C2984" s="27">
        <v>15.9</v>
      </c>
      <c r="E2984" s="18"/>
    </row>
    <row r="2985" spans="1:5" ht="16.5" thickTop="1" thickBot="1" x14ac:dyDescent="0.3">
      <c r="A2985" s="28">
        <v>5.5301283377871533</v>
      </c>
      <c r="B2985" s="27">
        <v>0</v>
      </c>
      <c r="C2985" s="27">
        <v>15.9</v>
      </c>
      <c r="E2985" s="18"/>
    </row>
    <row r="2986" spans="1:5" ht="16.5" thickTop="1" thickBot="1" x14ac:dyDescent="0.3">
      <c r="A2986" s="28">
        <v>2.2218099933009605</v>
      </c>
      <c r="B2986" s="27">
        <v>0</v>
      </c>
      <c r="C2986" s="27">
        <v>15.9</v>
      </c>
      <c r="E2986" s="18"/>
    </row>
    <row r="2987" spans="1:5" ht="16.5" thickTop="1" thickBot="1" x14ac:dyDescent="0.3">
      <c r="A2987" s="28">
        <v>1.6888918022152728</v>
      </c>
      <c r="B2987" s="27">
        <v>0</v>
      </c>
      <c r="C2987" s="27">
        <v>15.9</v>
      </c>
      <c r="E2987" s="18"/>
    </row>
    <row r="2988" spans="1:5" ht="16.5" thickTop="1" thickBot="1" x14ac:dyDescent="0.3">
      <c r="A2988" s="28">
        <v>5.4848975972124476</v>
      </c>
      <c r="B2988" s="27">
        <v>0</v>
      </c>
      <c r="C2988" s="27">
        <v>15.9</v>
      </c>
      <c r="E2988" s="18"/>
    </row>
    <row r="2989" spans="1:5" ht="16.5" thickTop="1" thickBot="1" x14ac:dyDescent="0.3">
      <c r="A2989" s="28">
        <v>6.8288472627409114</v>
      </c>
      <c r="B2989" s="27">
        <v>0</v>
      </c>
      <c r="C2989" s="27">
        <v>15.9</v>
      </c>
      <c r="E2989" s="18"/>
    </row>
    <row r="2990" spans="1:5" ht="16.5" thickTop="1" thickBot="1" x14ac:dyDescent="0.3">
      <c r="A2990" s="28">
        <v>1.8701286890122557</v>
      </c>
      <c r="B2990" s="27">
        <v>0</v>
      </c>
      <c r="C2990" s="27">
        <v>15.9</v>
      </c>
      <c r="E2990" s="18"/>
    </row>
    <row r="2991" spans="1:5" ht="16.5" thickTop="1" thickBot="1" x14ac:dyDescent="0.3">
      <c r="A2991" s="28">
        <v>8.0079196414510641</v>
      </c>
      <c r="B2991" s="27">
        <v>0</v>
      </c>
      <c r="C2991" s="27">
        <v>15.9</v>
      </c>
      <c r="E2991" s="18"/>
    </row>
    <row r="2992" spans="1:5" ht="16.5" thickTop="1" thickBot="1" x14ac:dyDescent="0.3">
      <c r="A2992" s="28">
        <v>2.2354197632145958</v>
      </c>
      <c r="B2992" s="27">
        <v>0</v>
      </c>
      <c r="C2992" s="27">
        <v>10.7</v>
      </c>
      <c r="E2992" s="18"/>
    </row>
    <row r="2993" spans="1:5" ht="16.5" thickTop="1" thickBot="1" x14ac:dyDescent="0.3">
      <c r="A2993" s="28">
        <v>10.025863618458546</v>
      </c>
      <c r="B2993" s="27">
        <v>0</v>
      </c>
      <c r="C2993" s="27">
        <v>10.7</v>
      </c>
      <c r="E2993" s="18"/>
    </row>
    <row r="2994" spans="1:5" ht="16.5" thickTop="1" thickBot="1" x14ac:dyDescent="0.3">
      <c r="A2994" s="28">
        <v>2.0098603565241659</v>
      </c>
      <c r="B2994" s="27">
        <v>0</v>
      </c>
      <c r="C2994" s="27">
        <v>10.7</v>
      </c>
      <c r="E2994" s="18"/>
    </row>
    <row r="2995" spans="1:5" ht="16.5" thickTop="1" thickBot="1" x14ac:dyDescent="0.3">
      <c r="A2995" s="28">
        <v>5.0007499777924664</v>
      </c>
      <c r="B2995" s="27">
        <v>0</v>
      </c>
      <c r="C2995" s="27">
        <v>10.7</v>
      </c>
      <c r="E2995" s="18"/>
    </row>
    <row r="2996" spans="1:5" ht="16.5" thickTop="1" thickBot="1" x14ac:dyDescent="0.3">
      <c r="A2996" s="28">
        <v>0.96425074203644034</v>
      </c>
      <c r="B2996" s="27">
        <v>0</v>
      </c>
      <c r="C2996" s="27">
        <v>10.7</v>
      </c>
      <c r="E2996" s="18"/>
    </row>
    <row r="2997" spans="1:5" ht="16.5" thickTop="1" thickBot="1" x14ac:dyDescent="0.3">
      <c r="A2997" s="28">
        <v>1.4631778273702105</v>
      </c>
      <c r="B2997" s="27">
        <v>0</v>
      </c>
      <c r="C2997" s="27">
        <v>10.7</v>
      </c>
      <c r="E2997" s="18"/>
    </row>
    <row r="2998" spans="1:5" ht="16.5" thickTop="1" thickBot="1" x14ac:dyDescent="0.3">
      <c r="A2998" s="28">
        <v>1.4212743304946018</v>
      </c>
      <c r="B2998" s="27">
        <v>0</v>
      </c>
      <c r="C2998" s="27">
        <v>10.7</v>
      </c>
      <c r="E2998" s="18"/>
    </row>
    <row r="2999" spans="1:5" ht="16.5" thickTop="1" thickBot="1" x14ac:dyDescent="0.3">
      <c r="A2999" s="28">
        <v>0.22008893966365362</v>
      </c>
      <c r="B2999" s="27">
        <v>0</v>
      </c>
      <c r="C2999" s="27">
        <v>10.7</v>
      </c>
      <c r="E2999" s="18"/>
    </row>
    <row r="3000" spans="1:5" ht="16.5" thickTop="1" thickBot="1" x14ac:dyDescent="0.3">
      <c r="A3000" s="28">
        <v>6.9244431092624668</v>
      </c>
      <c r="B3000" s="27">
        <v>0</v>
      </c>
      <c r="C3000" s="27">
        <v>10.7</v>
      </c>
      <c r="E3000" s="18"/>
    </row>
    <row r="3001" spans="1:5" ht="16.5" thickTop="1" thickBot="1" x14ac:dyDescent="0.3">
      <c r="A3001" s="28">
        <v>1.8593427036384025</v>
      </c>
      <c r="B3001" s="27">
        <v>0</v>
      </c>
      <c r="C3001" s="27">
        <v>10.7</v>
      </c>
      <c r="E3001" s="18"/>
    </row>
    <row r="3002" spans="1:5" ht="16.5" thickTop="1" thickBot="1" x14ac:dyDescent="0.3">
      <c r="A3002" s="28">
        <v>0.57091163030372105</v>
      </c>
      <c r="B3002" s="27">
        <v>0</v>
      </c>
      <c r="C3002" s="27">
        <v>10.7</v>
      </c>
      <c r="E3002" s="18"/>
    </row>
    <row r="3003" spans="1:5" ht="16.5" thickTop="1" thickBot="1" x14ac:dyDescent="0.3">
      <c r="A3003" s="28">
        <v>7.5837910629544254</v>
      </c>
      <c r="B3003" s="27">
        <v>0</v>
      </c>
      <c r="C3003" s="27">
        <v>10.7</v>
      </c>
      <c r="E3003" s="18"/>
    </row>
    <row r="3004" spans="1:5" ht="16.5" thickTop="1" thickBot="1" x14ac:dyDescent="0.3">
      <c r="A3004" s="28">
        <v>6.6845790248939192</v>
      </c>
      <c r="B3004" s="27">
        <v>0</v>
      </c>
      <c r="C3004" s="27">
        <v>10.7</v>
      </c>
      <c r="E3004" s="18"/>
    </row>
    <row r="3005" spans="1:5" ht="16.5" thickTop="1" thickBot="1" x14ac:dyDescent="0.3">
      <c r="A3005" s="28">
        <v>4.9956196995678948</v>
      </c>
      <c r="B3005" s="27">
        <v>0</v>
      </c>
      <c r="C3005" s="27">
        <v>10.7</v>
      </c>
      <c r="E3005" s="18"/>
    </row>
    <row r="3006" spans="1:5" ht="16.5" thickTop="1" thickBot="1" x14ac:dyDescent="0.3">
      <c r="A3006" s="28">
        <v>1.767631229957304</v>
      </c>
      <c r="B3006" s="27">
        <v>0</v>
      </c>
      <c r="C3006" s="27">
        <v>10.7</v>
      </c>
      <c r="E3006" s="18"/>
    </row>
    <row r="3007" spans="1:5" ht="16.5" thickTop="1" thickBot="1" x14ac:dyDescent="0.3">
      <c r="A3007" s="28">
        <v>7.7341109608481693</v>
      </c>
      <c r="B3007" s="27">
        <v>0</v>
      </c>
      <c r="C3007" s="27">
        <v>10.7</v>
      </c>
      <c r="E3007" s="18"/>
    </row>
    <row r="3008" spans="1:5" ht="16.5" thickTop="1" thickBot="1" x14ac:dyDescent="0.3">
      <c r="A3008" s="28">
        <v>1.8530465658816255</v>
      </c>
      <c r="B3008" s="27">
        <v>0</v>
      </c>
      <c r="C3008" s="27">
        <v>10.7</v>
      </c>
      <c r="E3008" s="18"/>
    </row>
    <row r="3009" spans="1:5" ht="16.5" thickTop="1" thickBot="1" x14ac:dyDescent="0.3">
      <c r="A3009" s="28">
        <v>11.220330277409447</v>
      </c>
      <c r="B3009" s="27">
        <v>0</v>
      </c>
      <c r="C3009" s="27">
        <v>7.8</v>
      </c>
      <c r="E3009" s="18"/>
    </row>
    <row r="3010" spans="1:5" ht="16.5" thickTop="1" thickBot="1" x14ac:dyDescent="0.3">
      <c r="A3010" s="28">
        <v>2.1295204069948035</v>
      </c>
      <c r="B3010" s="27">
        <v>0</v>
      </c>
      <c r="C3010" s="27">
        <v>7.8</v>
      </c>
      <c r="E3010" s="18"/>
    </row>
    <row r="3011" spans="1:5" ht="16.5" thickTop="1" thickBot="1" x14ac:dyDescent="0.3">
      <c r="A3011" s="28">
        <v>1.0299357064191752</v>
      </c>
      <c r="B3011" s="27">
        <v>0</v>
      </c>
      <c r="C3011" s="27">
        <v>7.8</v>
      </c>
      <c r="E3011" s="18"/>
    </row>
    <row r="3012" spans="1:5" ht="16.5" thickTop="1" thickBot="1" x14ac:dyDescent="0.3">
      <c r="A3012" s="28">
        <v>0.35200888311050271</v>
      </c>
      <c r="B3012" s="27">
        <v>0</v>
      </c>
      <c r="C3012" s="27">
        <v>7.8</v>
      </c>
      <c r="E3012" s="18"/>
    </row>
    <row r="3013" spans="1:5" ht="16.5" thickTop="1" thickBot="1" x14ac:dyDescent="0.3">
      <c r="A3013" s="28">
        <v>10.941529780067977</v>
      </c>
      <c r="B3013" s="27">
        <v>0</v>
      </c>
      <c r="C3013" s="27">
        <v>7.8</v>
      </c>
      <c r="E3013" s="18"/>
    </row>
    <row r="3014" spans="1:5" ht="16.5" thickTop="1" thickBot="1" x14ac:dyDescent="0.3">
      <c r="A3014" s="28">
        <v>5.4163986624165981</v>
      </c>
      <c r="B3014" s="27">
        <v>0</v>
      </c>
      <c r="C3014" s="27">
        <v>7.8</v>
      </c>
      <c r="E3014" s="18"/>
    </row>
    <row r="3015" spans="1:5" ht="16.5" thickTop="1" thickBot="1" x14ac:dyDescent="0.3">
      <c r="A3015" s="28">
        <v>10.563263685368804</v>
      </c>
      <c r="B3015" s="27">
        <v>0</v>
      </c>
      <c r="C3015" s="27">
        <v>7.8</v>
      </c>
      <c r="E3015" s="18"/>
    </row>
    <row r="3016" spans="1:5" ht="16.5" thickTop="1" thickBot="1" x14ac:dyDescent="0.3">
      <c r="A3016" s="28">
        <v>1.3727450307478475</v>
      </c>
      <c r="B3016" s="27">
        <v>0</v>
      </c>
      <c r="C3016" s="27">
        <v>7.8</v>
      </c>
      <c r="E3016" s="18"/>
    </row>
    <row r="3017" spans="1:5" ht="16.5" thickTop="1" thickBot="1" x14ac:dyDescent="0.3">
      <c r="A3017" s="28">
        <v>4.4843363972492885</v>
      </c>
      <c r="B3017" s="27">
        <v>0</v>
      </c>
      <c r="C3017" s="27">
        <v>7.8</v>
      </c>
      <c r="E3017" s="18"/>
    </row>
    <row r="3018" spans="1:5" ht="16.5" thickTop="1" thickBot="1" x14ac:dyDescent="0.3">
      <c r="A3018" s="28">
        <v>1.4323535434052812</v>
      </c>
      <c r="B3018" s="27">
        <v>0</v>
      </c>
      <c r="C3018" s="27">
        <v>7.8</v>
      </c>
      <c r="E3018" s="18"/>
    </row>
    <row r="3019" spans="1:5" ht="16.5" thickTop="1" thickBot="1" x14ac:dyDescent="0.3">
      <c r="A3019" s="28">
        <v>9.2383614539377952</v>
      </c>
      <c r="B3019" s="27">
        <v>0</v>
      </c>
      <c r="C3019" s="27">
        <v>7.8</v>
      </c>
      <c r="E3019" s="18"/>
    </row>
    <row r="3020" spans="1:5" ht="16.5" thickTop="1" thickBot="1" x14ac:dyDescent="0.3">
      <c r="A3020" s="28">
        <v>3.1441481342496687</v>
      </c>
      <c r="B3020" s="27">
        <v>0</v>
      </c>
      <c r="C3020" s="27">
        <v>7.8</v>
      </c>
      <c r="E3020" s="18"/>
    </row>
    <row r="3021" spans="1:5" ht="16.5" thickTop="1" thickBot="1" x14ac:dyDescent="0.3">
      <c r="A3021" s="28">
        <v>1.634153296942773</v>
      </c>
      <c r="B3021" s="27">
        <v>0</v>
      </c>
      <c r="C3021" s="27">
        <v>7.8</v>
      </c>
      <c r="E3021" s="18"/>
    </row>
    <row r="3022" spans="1:5" ht="16.5" thickTop="1" thickBot="1" x14ac:dyDescent="0.3">
      <c r="A3022" s="28">
        <v>3.7990433610893199</v>
      </c>
      <c r="B3022" s="27">
        <v>0</v>
      </c>
      <c r="C3022" s="27">
        <v>7.8</v>
      </c>
      <c r="E3022" s="18"/>
    </row>
    <row r="3023" spans="1:5" ht="16.5" thickTop="1" thickBot="1" x14ac:dyDescent="0.3">
      <c r="A3023" s="28">
        <v>10.823709559589235</v>
      </c>
      <c r="B3023" s="27">
        <v>0</v>
      </c>
      <c r="C3023" s="27">
        <v>7.8</v>
      </c>
      <c r="E3023" s="18"/>
    </row>
    <row r="3024" spans="1:5" ht="16.5" thickTop="1" thickBot="1" x14ac:dyDescent="0.3">
      <c r="A3024" s="28">
        <v>4.0031069152013252</v>
      </c>
      <c r="B3024" s="27">
        <v>0</v>
      </c>
      <c r="C3024" s="27">
        <v>7.8</v>
      </c>
      <c r="E3024" s="18"/>
    </row>
    <row r="3025" spans="1:5" ht="16.5" thickTop="1" thickBot="1" x14ac:dyDescent="0.3">
      <c r="A3025" s="28">
        <v>10.52590698473681</v>
      </c>
      <c r="B3025" s="27">
        <v>0</v>
      </c>
      <c r="C3025" s="27">
        <v>13.5</v>
      </c>
      <c r="E3025" s="18"/>
    </row>
    <row r="3026" spans="1:5" ht="16.5" thickTop="1" thickBot="1" x14ac:dyDescent="0.3">
      <c r="A3026" s="28">
        <v>2.4105382139539318</v>
      </c>
      <c r="B3026" s="27">
        <v>0</v>
      </c>
      <c r="C3026" s="27">
        <v>13.5</v>
      </c>
      <c r="E3026" s="18"/>
    </row>
    <row r="3027" spans="1:5" ht="16.5" thickTop="1" thickBot="1" x14ac:dyDescent="0.3">
      <c r="A3027" s="28">
        <v>0.55552271652828189</v>
      </c>
      <c r="B3027" s="27">
        <v>0</v>
      </c>
      <c r="C3027" s="27">
        <v>13.5</v>
      </c>
      <c r="E3027" s="18"/>
    </row>
    <row r="3028" spans="1:5" ht="16.5" thickTop="1" thickBot="1" x14ac:dyDescent="0.3">
      <c r="A3028" s="28">
        <v>3.1389181286733749</v>
      </c>
      <c r="B3028" s="27">
        <v>0</v>
      </c>
      <c r="C3028" s="27">
        <v>13.5</v>
      </c>
      <c r="E3028" s="18"/>
    </row>
    <row r="3029" spans="1:5" ht="16.5" thickTop="1" thickBot="1" x14ac:dyDescent="0.3">
      <c r="A3029" s="28">
        <v>9.6835412402015759</v>
      </c>
      <c r="B3029" s="27">
        <v>0</v>
      </c>
      <c r="C3029" s="27">
        <v>13.5</v>
      </c>
      <c r="E3029" s="18"/>
    </row>
    <row r="3030" spans="1:5" ht="16.5" thickTop="1" thickBot="1" x14ac:dyDescent="0.3">
      <c r="A3030" s="28">
        <v>4.2866066847715301</v>
      </c>
      <c r="B3030" s="27">
        <v>0</v>
      </c>
      <c r="C3030" s="27">
        <v>13.5</v>
      </c>
      <c r="E3030" s="18"/>
    </row>
    <row r="3031" spans="1:5" ht="16.5" thickTop="1" thickBot="1" x14ac:dyDescent="0.3">
      <c r="A3031" s="28">
        <v>1.2413320379867141</v>
      </c>
      <c r="B3031" s="27">
        <v>0</v>
      </c>
      <c r="C3031" s="27">
        <v>13.5</v>
      </c>
      <c r="E3031" s="18"/>
    </row>
    <row r="3032" spans="1:5" ht="16.5" thickTop="1" thickBot="1" x14ac:dyDescent="0.3">
      <c r="A3032" s="28">
        <v>0.39937521052805647</v>
      </c>
      <c r="B3032" s="27">
        <v>0</v>
      </c>
      <c r="C3032" s="27">
        <v>13.5</v>
      </c>
      <c r="E3032" s="18"/>
    </row>
    <row r="3033" spans="1:5" ht="16.5" thickTop="1" thickBot="1" x14ac:dyDescent="0.3">
      <c r="A3033" s="28">
        <v>5.0802700549438349</v>
      </c>
      <c r="B3033" s="27">
        <v>0</v>
      </c>
      <c r="C3033" s="27">
        <v>13.5</v>
      </c>
      <c r="E3033" s="18"/>
    </row>
    <row r="3034" spans="1:5" ht="16.5" thickTop="1" thickBot="1" x14ac:dyDescent="0.3">
      <c r="A3034" s="28">
        <v>5.5712516326692691</v>
      </c>
      <c r="B3034" s="27">
        <v>0</v>
      </c>
      <c r="C3034" s="27">
        <v>13.5</v>
      </c>
      <c r="E3034" s="18"/>
    </row>
    <row r="3035" spans="1:5" ht="16.5" thickTop="1" thickBot="1" x14ac:dyDescent="0.3">
      <c r="A3035" s="28">
        <v>0.6968446397707404</v>
      </c>
      <c r="B3035" s="27">
        <v>0</v>
      </c>
      <c r="C3035" s="27">
        <v>13.5</v>
      </c>
      <c r="E3035" s="18"/>
    </row>
    <row r="3036" spans="1:5" ht="16.5" thickTop="1" thickBot="1" x14ac:dyDescent="0.3">
      <c r="A3036" s="28">
        <v>4.0364452611799688</v>
      </c>
      <c r="B3036" s="27">
        <v>0</v>
      </c>
      <c r="C3036" s="27">
        <v>13.5</v>
      </c>
      <c r="E3036" s="18"/>
    </row>
    <row r="3037" spans="1:5" ht="16.5" thickTop="1" thickBot="1" x14ac:dyDescent="0.3">
      <c r="A3037" s="28">
        <v>2.735894929221161</v>
      </c>
      <c r="B3037" s="27">
        <v>0</v>
      </c>
      <c r="C3037" s="27">
        <v>13.5</v>
      </c>
      <c r="E3037" s="18"/>
    </row>
    <row r="3038" spans="1:5" ht="16.5" thickTop="1" thickBot="1" x14ac:dyDescent="0.3">
      <c r="A3038" s="28">
        <v>1.3421239653297632</v>
      </c>
      <c r="B3038" s="27">
        <v>0</v>
      </c>
      <c r="C3038" s="27">
        <v>13.5</v>
      </c>
      <c r="E3038" s="18"/>
    </row>
    <row r="3039" spans="1:5" ht="16.5" thickTop="1" thickBot="1" x14ac:dyDescent="0.3">
      <c r="A3039" s="28">
        <v>6.7269181624233285</v>
      </c>
      <c r="B3039" s="27">
        <v>0</v>
      </c>
      <c r="C3039" s="27">
        <v>23</v>
      </c>
      <c r="E3039" s="18"/>
    </row>
    <row r="3040" spans="1:5" ht="16.5" thickTop="1" thickBot="1" x14ac:dyDescent="0.3">
      <c r="A3040" s="28">
        <v>5.8668510907391074</v>
      </c>
      <c r="B3040" s="27">
        <v>0</v>
      </c>
      <c r="C3040" s="27">
        <v>23</v>
      </c>
      <c r="E3040" s="18"/>
    </row>
    <row r="3041" spans="1:5" ht="16.5" thickTop="1" thickBot="1" x14ac:dyDescent="0.3">
      <c r="A3041" s="28">
        <v>2.5012096744323715</v>
      </c>
      <c r="B3041" s="27">
        <v>0</v>
      </c>
      <c r="C3041" s="27">
        <v>23</v>
      </c>
      <c r="E3041" s="18"/>
    </row>
    <row r="3042" spans="1:5" ht="16.5" thickTop="1" thickBot="1" x14ac:dyDescent="0.3">
      <c r="A3042" s="28">
        <v>4.2156793226335045</v>
      </c>
      <c r="B3042" s="27">
        <v>0</v>
      </c>
      <c r="C3042" s="27">
        <v>23</v>
      </c>
      <c r="E3042" s="18"/>
    </row>
    <row r="3043" spans="1:5" ht="16.5" thickTop="1" thickBot="1" x14ac:dyDescent="0.3">
      <c r="A3043" s="28">
        <v>6.9326223462466876</v>
      </c>
      <c r="B3043" s="27">
        <v>0</v>
      </c>
      <c r="C3043" s="27">
        <v>23</v>
      </c>
      <c r="E3043" s="18"/>
    </row>
    <row r="3044" spans="1:5" ht="16.5" thickTop="1" thickBot="1" x14ac:dyDescent="0.3">
      <c r="A3044" s="28">
        <v>3.3658091117944045E-3</v>
      </c>
      <c r="B3044" s="27">
        <v>0</v>
      </c>
      <c r="C3044" s="27">
        <v>23</v>
      </c>
      <c r="E3044" s="18"/>
    </row>
    <row r="3045" spans="1:5" ht="16.5" thickTop="1" thickBot="1" x14ac:dyDescent="0.3">
      <c r="A3045" s="28">
        <v>9.4539470478254941</v>
      </c>
      <c r="B3045" s="27">
        <v>0</v>
      </c>
      <c r="C3045" s="27">
        <v>23</v>
      </c>
      <c r="E3045" s="18"/>
    </row>
    <row r="3046" spans="1:5" ht="16.5" thickTop="1" thickBot="1" x14ac:dyDescent="0.3">
      <c r="A3046" s="28">
        <v>0.30099049359156116</v>
      </c>
      <c r="B3046" s="27">
        <v>0</v>
      </c>
      <c r="C3046" s="27">
        <v>23</v>
      </c>
      <c r="E3046" s="18"/>
    </row>
    <row r="3047" spans="1:5" ht="16.5" thickTop="1" thickBot="1" x14ac:dyDescent="0.3">
      <c r="A3047" s="28">
        <v>1.1949638150497202</v>
      </c>
      <c r="B3047" s="27">
        <v>0</v>
      </c>
      <c r="C3047" s="27">
        <v>23</v>
      </c>
      <c r="E3047" s="18"/>
    </row>
    <row r="3048" spans="1:5" ht="16.5" thickTop="1" thickBot="1" x14ac:dyDescent="0.3">
      <c r="A3048" s="28">
        <v>2.707618636737656</v>
      </c>
      <c r="B3048" s="27">
        <v>0</v>
      </c>
      <c r="C3048" s="27">
        <v>23</v>
      </c>
      <c r="E3048" s="18"/>
    </row>
    <row r="3049" spans="1:5" ht="16.5" thickTop="1" thickBot="1" x14ac:dyDescent="0.3">
      <c r="A3049" s="28">
        <v>7.4312556250433124</v>
      </c>
      <c r="B3049" s="27">
        <v>0</v>
      </c>
      <c r="C3049" s="27">
        <v>23</v>
      </c>
      <c r="E3049" s="18"/>
    </row>
    <row r="3050" spans="1:5" ht="16.5" thickTop="1" thickBot="1" x14ac:dyDescent="0.3">
      <c r="A3050" s="28">
        <v>4.4319214438334811</v>
      </c>
      <c r="B3050" s="27">
        <v>0</v>
      </c>
      <c r="C3050" s="27">
        <v>23</v>
      </c>
      <c r="E3050" s="18"/>
    </row>
    <row r="3051" spans="1:5" ht="16.5" thickTop="1" thickBot="1" x14ac:dyDescent="0.3">
      <c r="A3051" s="28">
        <v>5.0065503522469781</v>
      </c>
      <c r="B3051" s="27">
        <v>0</v>
      </c>
      <c r="C3051" s="27">
        <v>23</v>
      </c>
      <c r="E3051" s="18"/>
    </row>
    <row r="3052" spans="1:5" ht="16.5" thickTop="1" thickBot="1" x14ac:dyDescent="0.3">
      <c r="A3052" s="28">
        <v>4.5685475598557783</v>
      </c>
      <c r="B3052" s="27">
        <v>0</v>
      </c>
      <c r="C3052" s="27">
        <v>23</v>
      </c>
      <c r="E3052" s="18"/>
    </row>
    <row r="3053" spans="1:5" ht="16.5" thickTop="1" thickBot="1" x14ac:dyDescent="0.3">
      <c r="A3053" s="28">
        <v>2.5677641705606589</v>
      </c>
      <c r="B3053" s="27">
        <v>0</v>
      </c>
      <c r="C3053" s="27">
        <v>13.8</v>
      </c>
      <c r="E3053" s="18"/>
    </row>
    <row r="3054" spans="1:5" ht="16.5" thickTop="1" thickBot="1" x14ac:dyDescent="0.3">
      <c r="A3054" s="28">
        <v>4.6547342163346279</v>
      </c>
      <c r="B3054" s="27">
        <v>0</v>
      </c>
      <c r="C3054" s="27">
        <v>13.8</v>
      </c>
      <c r="E3054" s="18"/>
    </row>
    <row r="3055" spans="1:5" ht="16.5" thickTop="1" thickBot="1" x14ac:dyDescent="0.3">
      <c r="A3055" s="28">
        <v>4.5363608653317113</v>
      </c>
      <c r="B3055" s="27">
        <v>0</v>
      </c>
      <c r="C3055" s="27">
        <v>13.8</v>
      </c>
      <c r="E3055" s="18"/>
    </row>
    <row r="3056" spans="1:5" ht="16.5" thickTop="1" thickBot="1" x14ac:dyDescent="0.3">
      <c r="A3056" s="28">
        <v>1.2806161426421485</v>
      </c>
      <c r="B3056" s="27">
        <v>0</v>
      </c>
      <c r="C3056" s="27">
        <v>13.8</v>
      </c>
      <c r="E3056" s="18"/>
    </row>
    <row r="3057" spans="1:5" ht="16.5" thickTop="1" thickBot="1" x14ac:dyDescent="0.3">
      <c r="A3057" s="28">
        <v>8.893792664677683</v>
      </c>
      <c r="B3057" s="27">
        <v>0</v>
      </c>
      <c r="C3057" s="27">
        <v>13.8</v>
      </c>
      <c r="E3057" s="18"/>
    </row>
    <row r="3058" spans="1:5" ht="16.5" thickTop="1" thickBot="1" x14ac:dyDescent="0.3">
      <c r="A3058" s="28">
        <v>4.0701610276186084</v>
      </c>
      <c r="B3058" s="27">
        <v>0</v>
      </c>
      <c r="C3058" s="27">
        <v>13.8</v>
      </c>
      <c r="E3058" s="18"/>
    </row>
    <row r="3059" spans="1:5" ht="16.5" thickTop="1" thickBot="1" x14ac:dyDescent="0.3">
      <c r="A3059" s="28">
        <v>9.5426580942728858</v>
      </c>
      <c r="B3059" s="27">
        <v>0</v>
      </c>
      <c r="C3059" s="27">
        <v>13.8</v>
      </c>
      <c r="E3059" s="18"/>
    </row>
    <row r="3060" spans="1:5" ht="16.5" thickTop="1" thickBot="1" x14ac:dyDescent="0.3">
      <c r="A3060" s="28">
        <v>5.5391787465218201</v>
      </c>
      <c r="B3060" s="27">
        <v>0</v>
      </c>
      <c r="C3060" s="27">
        <v>13.8</v>
      </c>
      <c r="E3060" s="18"/>
    </row>
    <row r="3061" spans="1:5" ht="16.5" thickTop="1" thickBot="1" x14ac:dyDescent="0.3">
      <c r="A3061" s="28">
        <v>9.1588332340345815</v>
      </c>
      <c r="B3061" s="27">
        <v>0</v>
      </c>
      <c r="C3061" s="27">
        <v>13.8</v>
      </c>
      <c r="E3061" s="18"/>
    </row>
    <row r="3062" spans="1:5" ht="16.5" thickTop="1" thickBot="1" x14ac:dyDescent="0.3">
      <c r="A3062" s="28">
        <v>2.159163622159312</v>
      </c>
      <c r="B3062" s="27">
        <v>0</v>
      </c>
      <c r="C3062" s="27">
        <v>13.8</v>
      </c>
      <c r="E3062" s="18"/>
    </row>
    <row r="3063" spans="1:5" ht="16.5" thickTop="1" thickBot="1" x14ac:dyDescent="0.3">
      <c r="A3063" s="28">
        <v>4.6644108224066247</v>
      </c>
      <c r="B3063" s="27">
        <v>0</v>
      </c>
      <c r="C3063" s="27">
        <v>13.8</v>
      </c>
      <c r="E3063" s="18"/>
    </row>
    <row r="3064" spans="1:5" ht="16.5" thickTop="1" thickBot="1" x14ac:dyDescent="0.3">
      <c r="A3064" s="28">
        <v>1.5727535408714324</v>
      </c>
      <c r="B3064" s="27">
        <v>0</v>
      </c>
      <c r="C3064" s="27">
        <v>13.8</v>
      </c>
      <c r="E3064" s="18"/>
    </row>
    <row r="3065" spans="1:5" ht="16.5" thickTop="1" thickBot="1" x14ac:dyDescent="0.3">
      <c r="A3065" s="28">
        <v>10.060676337624482</v>
      </c>
      <c r="B3065" s="27">
        <v>0</v>
      </c>
      <c r="C3065" s="27">
        <v>13.8</v>
      </c>
      <c r="E3065" s="18"/>
    </row>
    <row r="3066" spans="1:5" ht="16.5" thickTop="1" thickBot="1" x14ac:dyDescent="0.3">
      <c r="A3066" s="28">
        <v>2.7787681975858347</v>
      </c>
      <c r="B3066" s="27">
        <v>0</v>
      </c>
      <c r="C3066" s="27">
        <v>13.8</v>
      </c>
      <c r="E3066" s="18"/>
    </row>
    <row r="3067" spans="1:5" ht="16.5" thickTop="1" thickBot="1" x14ac:dyDescent="0.3">
      <c r="A3067" s="28">
        <v>1.1862053951974514</v>
      </c>
      <c r="B3067" s="27">
        <v>0</v>
      </c>
      <c r="C3067" s="27">
        <v>13.8</v>
      </c>
      <c r="E3067" s="18"/>
    </row>
    <row r="3068" spans="1:5" ht="16.5" thickTop="1" thickBot="1" x14ac:dyDescent="0.3">
      <c r="A3068" s="28">
        <v>6.589095661725521</v>
      </c>
      <c r="B3068" s="27">
        <v>0</v>
      </c>
      <c r="C3068" s="27">
        <v>8.8000000000000007</v>
      </c>
      <c r="E3068" s="18"/>
    </row>
    <row r="3069" spans="1:5" ht="16.5" thickTop="1" thickBot="1" x14ac:dyDescent="0.3">
      <c r="A3069" s="28">
        <v>5.8076275109828597</v>
      </c>
      <c r="B3069" s="27">
        <v>0</v>
      </c>
      <c r="C3069" s="27">
        <v>8.8000000000000007</v>
      </c>
      <c r="E3069" s="18"/>
    </row>
    <row r="3070" spans="1:5" ht="16.5" thickTop="1" thickBot="1" x14ac:dyDescent="0.3">
      <c r="A3070" s="28">
        <v>0.26805584655437065</v>
      </c>
      <c r="B3070" s="27">
        <v>0</v>
      </c>
      <c r="C3070" s="27">
        <v>8.8000000000000007</v>
      </c>
      <c r="E3070" s="18"/>
    </row>
    <row r="3071" spans="1:5" ht="16.5" thickTop="1" thickBot="1" x14ac:dyDescent="0.3">
      <c r="A3071" s="28">
        <v>11.754717000406654</v>
      </c>
      <c r="B3071" s="27">
        <v>0</v>
      </c>
      <c r="C3071" s="27">
        <v>8.8000000000000007</v>
      </c>
      <c r="E3071" s="18"/>
    </row>
    <row r="3072" spans="1:5" ht="16.5" thickTop="1" thickBot="1" x14ac:dyDescent="0.3">
      <c r="A3072" s="28">
        <v>3.8787500323679689</v>
      </c>
      <c r="B3072" s="27">
        <v>0</v>
      </c>
      <c r="C3072" s="27">
        <v>8.8000000000000007</v>
      </c>
      <c r="E3072" s="18"/>
    </row>
    <row r="3073" spans="1:5" ht="16.5" thickTop="1" thickBot="1" x14ac:dyDescent="0.3">
      <c r="A3073" s="28">
        <v>8.4584854595417251</v>
      </c>
      <c r="B3073" s="27">
        <v>0</v>
      </c>
      <c r="C3073" s="27">
        <v>8.8000000000000007</v>
      </c>
      <c r="E3073" s="18"/>
    </row>
    <row r="3074" spans="1:5" ht="16.5" thickTop="1" thickBot="1" x14ac:dyDescent="0.3">
      <c r="A3074" s="28">
        <v>4.3864707660588964</v>
      </c>
      <c r="B3074" s="27">
        <v>0</v>
      </c>
      <c r="C3074" s="27">
        <v>8.8000000000000007</v>
      </c>
      <c r="E3074" s="18"/>
    </row>
    <row r="3075" spans="1:5" ht="16.5" thickTop="1" thickBot="1" x14ac:dyDescent="0.3">
      <c r="A3075" s="28">
        <v>6.9516066004725765</v>
      </c>
      <c r="B3075" s="27">
        <v>0</v>
      </c>
      <c r="C3075" s="27">
        <v>8.8000000000000007</v>
      </c>
      <c r="E3075" s="18"/>
    </row>
    <row r="3076" spans="1:5" ht="16.5" thickTop="1" thickBot="1" x14ac:dyDescent="0.3">
      <c r="A3076" s="28">
        <v>1.514577110668438</v>
      </c>
      <c r="B3076" s="27">
        <v>0</v>
      </c>
      <c r="C3076" s="27">
        <v>8.8000000000000007</v>
      </c>
      <c r="E3076" s="18"/>
    </row>
    <row r="3077" spans="1:5" ht="16.5" thickTop="1" thickBot="1" x14ac:dyDescent="0.3">
      <c r="A3077" s="28">
        <v>6.9433450869902034</v>
      </c>
      <c r="B3077" s="27">
        <v>0</v>
      </c>
      <c r="C3077" s="27">
        <v>8.8000000000000007</v>
      </c>
      <c r="E3077" s="18"/>
    </row>
    <row r="3078" spans="1:5" ht="16.5" thickTop="1" thickBot="1" x14ac:dyDescent="0.3">
      <c r="A3078" s="28">
        <v>6.300752123075819</v>
      </c>
      <c r="B3078" s="27">
        <v>0</v>
      </c>
      <c r="C3078" s="27">
        <v>8.8000000000000007</v>
      </c>
      <c r="E3078" s="18"/>
    </row>
    <row r="3079" spans="1:5" ht="16.5" thickTop="1" thickBot="1" x14ac:dyDescent="0.3">
      <c r="A3079" s="28">
        <v>9.7627187304000707</v>
      </c>
      <c r="B3079" s="27">
        <v>0</v>
      </c>
      <c r="C3079" s="27">
        <v>8.8000000000000007</v>
      </c>
      <c r="E3079" s="18"/>
    </row>
    <row r="3080" spans="1:5" ht="16.5" thickTop="1" thickBot="1" x14ac:dyDescent="0.3">
      <c r="A3080" s="28">
        <v>0.42831447974155923</v>
      </c>
      <c r="B3080" s="27">
        <v>0</v>
      </c>
      <c r="C3080" s="27">
        <v>8.8000000000000007</v>
      </c>
      <c r="E3080" s="18"/>
    </row>
    <row r="3081" spans="1:5" ht="16.5" thickTop="1" thickBot="1" x14ac:dyDescent="0.3">
      <c r="A3081" s="28">
        <v>4.5053341996945253</v>
      </c>
      <c r="B3081" s="27">
        <v>0</v>
      </c>
      <c r="C3081" s="27">
        <v>8.8000000000000007</v>
      </c>
      <c r="E3081" s="18"/>
    </row>
    <row r="3082" spans="1:5" ht="16.5" thickTop="1" thickBot="1" x14ac:dyDescent="0.3">
      <c r="A3082" s="28">
        <v>7.4771283328581073E-2</v>
      </c>
      <c r="B3082" s="27">
        <v>0</v>
      </c>
      <c r="C3082" s="27">
        <v>8.8000000000000007</v>
      </c>
      <c r="E3082" s="18"/>
    </row>
    <row r="3083" spans="1:5" ht="16.5" thickTop="1" thickBot="1" x14ac:dyDescent="0.3">
      <c r="A3083" s="28">
        <v>10.676723119016323</v>
      </c>
      <c r="B3083" s="27">
        <v>0</v>
      </c>
      <c r="C3083" s="27">
        <v>8.8000000000000007</v>
      </c>
      <c r="E3083" s="18"/>
    </row>
    <row r="3084" spans="1:5" ht="16.5" thickTop="1" thickBot="1" x14ac:dyDescent="0.3">
      <c r="A3084" s="28">
        <v>1.1155508555430087</v>
      </c>
      <c r="B3084" s="27">
        <v>0</v>
      </c>
      <c r="C3084" s="27">
        <v>16.100000000000001</v>
      </c>
      <c r="E3084" s="18"/>
    </row>
    <row r="3085" spans="1:5" ht="16.5" thickTop="1" thickBot="1" x14ac:dyDescent="0.3">
      <c r="A3085" s="28">
        <v>10.583866292637117</v>
      </c>
      <c r="B3085" s="27">
        <v>0</v>
      </c>
      <c r="C3085" s="27">
        <v>16.100000000000001</v>
      </c>
      <c r="E3085" s="18"/>
    </row>
    <row r="3086" spans="1:5" ht="16.5" thickTop="1" thickBot="1" x14ac:dyDescent="0.3">
      <c r="A3086" s="28">
        <v>4.9384101589381277</v>
      </c>
      <c r="B3086" s="27">
        <v>0</v>
      </c>
      <c r="C3086" s="27">
        <v>16.100000000000001</v>
      </c>
      <c r="E3086" s="18"/>
    </row>
    <row r="3087" spans="1:5" ht="16.5" thickTop="1" thickBot="1" x14ac:dyDescent="0.3">
      <c r="A3087" s="28">
        <v>1.2794555830482244</v>
      </c>
      <c r="B3087" s="27">
        <v>0</v>
      </c>
      <c r="C3087" s="27">
        <v>16.100000000000001</v>
      </c>
      <c r="E3087" s="18"/>
    </row>
    <row r="3088" spans="1:5" ht="16.5" thickTop="1" thickBot="1" x14ac:dyDescent="0.3">
      <c r="A3088" s="28">
        <v>2.5508786343933969</v>
      </c>
      <c r="B3088" s="27">
        <v>0</v>
      </c>
      <c r="C3088" s="27">
        <v>16.100000000000001</v>
      </c>
      <c r="E3088" s="18"/>
    </row>
    <row r="3089" spans="1:5" ht="16.5" thickTop="1" thickBot="1" x14ac:dyDescent="0.3">
      <c r="A3089" s="28">
        <v>6.7463540858536266</v>
      </c>
      <c r="B3089" s="27">
        <v>0</v>
      </c>
      <c r="C3089" s="27">
        <v>16.100000000000001</v>
      </c>
      <c r="E3089" s="18"/>
    </row>
    <row r="3090" spans="1:5" ht="16.5" thickTop="1" thickBot="1" x14ac:dyDescent="0.3">
      <c r="A3090" s="28">
        <v>4.9009468283839892</v>
      </c>
      <c r="B3090" s="27">
        <v>0</v>
      </c>
      <c r="C3090" s="27">
        <v>16.100000000000001</v>
      </c>
      <c r="E3090" s="18"/>
    </row>
    <row r="3091" spans="1:5" ht="16.5" thickTop="1" thickBot="1" x14ac:dyDescent="0.3">
      <c r="A3091" s="28">
        <v>1.5005199213362959</v>
      </c>
      <c r="B3091" s="27">
        <v>0</v>
      </c>
      <c r="C3091" s="27">
        <v>16.100000000000001</v>
      </c>
      <c r="E3091" s="18"/>
    </row>
    <row r="3092" spans="1:5" ht="16.5" thickTop="1" thickBot="1" x14ac:dyDescent="0.3">
      <c r="A3092" s="28">
        <v>1.7603775920713884</v>
      </c>
      <c r="B3092" s="27">
        <v>0</v>
      </c>
      <c r="C3092" s="27">
        <v>16.100000000000001</v>
      </c>
      <c r="E3092" s="18"/>
    </row>
    <row r="3093" spans="1:5" ht="16.5" thickTop="1" thickBot="1" x14ac:dyDescent="0.3">
      <c r="A3093" s="28">
        <v>6.1860896040616113</v>
      </c>
      <c r="B3093" s="27">
        <v>0</v>
      </c>
      <c r="C3093" s="27">
        <v>16.100000000000001</v>
      </c>
      <c r="E3093" s="18"/>
    </row>
    <row r="3094" spans="1:5" ht="16.5" thickTop="1" thickBot="1" x14ac:dyDescent="0.3">
      <c r="A3094" s="28">
        <v>1.9710999484996448</v>
      </c>
      <c r="B3094" s="27">
        <v>0</v>
      </c>
      <c r="C3094" s="27">
        <v>16.100000000000001</v>
      </c>
      <c r="E3094" s="18"/>
    </row>
    <row r="3095" spans="1:5" ht="16.5" thickTop="1" thickBot="1" x14ac:dyDescent="0.3">
      <c r="A3095" s="28">
        <v>8.2684665903683072</v>
      </c>
      <c r="B3095" s="27">
        <v>0</v>
      </c>
      <c r="C3095" s="27">
        <v>16.100000000000001</v>
      </c>
      <c r="E3095" s="18"/>
    </row>
    <row r="3096" spans="1:5" ht="16.5" thickTop="1" thickBot="1" x14ac:dyDescent="0.3">
      <c r="A3096" s="28">
        <v>6.3780985377147239</v>
      </c>
      <c r="B3096" s="27">
        <v>0</v>
      </c>
      <c r="C3096" s="27">
        <v>16.100000000000001</v>
      </c>
      <c r="E3096" s="18"/>
    </row>
    <row r="3097" spans="1:5" ht="16.5" thickTop="1" thickBot="1" x14ac:dyDescent="0.3">
      <c r="A3097" s="28">
        <v>2.4255991528471728</v>
      </c>
      <c r="B3097" s="27">
        <v>0</v>
      </c>
      <c r="C3097" s="27">
        <v>16.100000000000001</v>
      </c>
      <c r="E3097" s="18"/>
    </row>
    <row r="3098" spans="1:5" ht="16.5" thickTop="1" thickBot="1" x14ac:dyDescent="0.3">
      <c r="A3098" s="28">
        <v>2.6999517100183383</v>
      </c>
      <c r="B3098" s="27">
        <v>0</v>
      </c>
      <c r="C3098" s="27">
        <v>16.100000000000001</v>
      </c>
      <c r="E3098" s="18"/>
    </row>
    <row r="3099" spans="1:5" ht="16.5" thickTop="1" thickBot="1" x14ac:dyDescent="0.3">
      <c r="A3099" s="28">
        <v>4.8439893522673678</v>
      </c>
      <c r="B3099" s="27">
        <v>0</v>
      </c>
      <c r="C3099" s="27">
        <v>16.100000000000001</v>
      </c>
      <c r="E3099" s="18"/>
    </row>
    <row r="3100" spans="1:5" ht="16.5" thickTop="1" thickBot="1" x14ac:dyDescent="0.3">
      <c r="A3100" s="28">
        <v>6.5191598805116175</v>
      </c>
      <c r="B3100" s="27">
        <v>0</v>
      </c>
      <c r="C3100" s="27">
        <v>8.3000000000000007</v>
      </c>
      <c r="E3100" s="18"/>
    </row>
    <row r="3101" spans="1:5" ht="16.5" thickTop="1" thickBot="1" x14ac:dyDescent="0.3">
      <c r="A3101" s="28">
        <v>3.1137596324060386</v>
      </c>
      <c r="B3101" s="27">
        <v>0</v>
      </c>
      <c r="C3101" s="27">
        <v>8.3000000000000007</v>
      </c>
      <c r="E3101" s="18"/>
    </row>
    <row r="3102" spans="1:5" ht="16.5" thickTop="1" thickBot="1" x14ac:dyDescent="0.3">
      <c r="A3102" s="28">
        <v>3.5657886891311259</v>
      </c>
      <c r="B3102" s="27">
        <v>0</v>
      </c>
      <c r="C3102" s="27">
        <v>8.3000000000000007</v>
      </c>
      <c r="E3102" s="18"/>
    </row>
    <row r="3103" spans="1:5" ht="16.5" thickTop="1" thickBot="1" x14ac:dyDescent="0.3">
      <c r="A3103" s="28">
        <v>6.1648617559725123</v>
      </c>
      <c r="B3103" s="27">
        <v>0</v>
      </c>
      <c r="C3103" s="27">
        <v>8.3000000000000007</v>
      </c>
      <c r="E3103" s="18"/>
    </row>
    <row r="3104" spans="1:5" ht="16.5" thickTop="1" thickBot="1" x14ac:dyDescent="0.3">
      <c r="A3104" s="28">
        <v>5.1860622562221428</v>
      </c>
      <c r="B3104" s="27">
        <v>0</v>
      </c>
      <c r="C3104" s="27">
        <v>8.3000000000000007</v>
      </c>
      <c r="E3104" s="18"/>
    </row>
    <row r="3105" spans="1:5" ht="16.5" thickTop="1" thickBot="1" x14ac:dyDescent="0.3">
      <c r="A3105" s="28">
        <v>8.3033622836205971</v>
      </c>
      <c r="B3105" s="27">
        <v>0</v>
      </c>
      <c r="C3105" s="27">
        <v>8.3000000000000007</v>
      </c>
      <c r="E3105" s="18"/>
    </row>
    <row r="3106" spans="1:5" ht="16.5" thickTop="1" thickBot="1" x14ac:dyDescent="0.3">
      <c r="A3106" s="28">
        <v>1.4834999881915778</v>
      </c>
      <c r="B3106" s="27">
        <v>0</v>
      </c>
      <c r="C3106" s="27">
        <v>8.3000000000000007</v>
      </c>
      <c r="E3106" s="18"/>
    </row>
    <row r="3107" spans="1:5" ht="16.5" thickTop="1" thickBot="1" x14ac:dyDescent="0.3">
      <c r="A3107" s="28">
        <v>5.1085885305575722</v>
      </c>
      <c r="B3107" s="27">
        <v>0</v>
      </c>
      <c r="C3107" s="27">
        <v>8.3000000000000007</v>
      </c>
      <c r="E3107" s="18"/>
    </row>
    <row r="3108" spans="1:5" ht="16.5" thickTop="1" thickBot="1" x14ac:dyDescent="0.3">
      <c r="A3108" s="28">
        <v>3.0686296285189893</v>
      </c>
      <c r="B3108" s="27">
        <v>0</v>
      </c>
      <c r="C3108" s="27">
        <v>8.3000000000000007</v>
      </c>
      <c r="E3108" s="18"/>
    </row>
    <row r="3109" spans="1:5" ht="16.5" thickTop="1" thickBot="1" x14ac:dyDescent="0.3">
      <c r="A3109" s="28">
        <v>10.181582195982548</v>
      </c>
      <c r="B3109" s="27">
        <v>0</v>
      </c>
      <c r="C3109" s="27">
        <v>8.3000000000000007</v>
      </c>
      <c r="E3109" s="18"/>
    </row>
    <row r="3110" spans="1:5" ht="16.5" thickTop="1" thickBot="1" x14ac:dyDescent="0.3">
      <c r="A3110" s="28">
        <v>2.5482750215595056</v>
      </c>
      <c r="B3110" s="27">
        <v>0</v>
      </c>
      <c r="C3110" s="27">
        <v>8.3000000000000007</v>
      </c>
      <c r="E3110" s="18"/>
    </row>
    <row r="3111" spans="1:5" ht="16.5" thickTop="1" thickBot="1" x14ac:dyDescent="0.3">
      <c r="A3111" s="28">
        <v>8.2658493562043365</v>
      </c>
      <c r="B3111" s="27">
        <v>0</v>
      </c>
      <c r="C3111" s="27">
        <v>8.3000000000000007</v>
      </c>
      <c r="E3111" s="18"/>
    </row>
    <row r="3112" spans="1:5" ht="16.5" thickTop="1" thickBot="1" x14ac:dyDescent="0.3">
      <c r="A3112" s="28">
        <v>5.3196289366145679</v>
      </c>
      <c r="B3112" s="27">
        <v>0</v>
      </c>
      <c r="C3112" s="27">
        <v>8.3000000000000007</v>
      </c>
      <c r="E3112" s="18"/>
    </row>
    <row r="3113" spans="1:5" ht="16.5" thickTop="1" thickBot="1" x14ac:dyDescent="0.3">
      <c r="A3113" s="28">
        <v>2.1874206270943155</v>
      </c>
      <c r="B3113" s="27">
        <v>0</v>
      </c>
      <c r="C3113" s="27">
        <v>8.3000000000000007</v>
      </c>
      <c r="E3113" s="18"/>
    </row>
    <row r="3114" spans="1:5" ht="16.5" thickTop="1" thickBot="1" x14ac:dyDescent="0.3">
      <c r="A3114" s="28">
        <v>6.9878869441019926</v>
      </c>
      <c r="B3114" s="27">
        <v>0</v>
      </c>
      <c r="C3114" s="27">
        <v>8.3000000000000007</v>
      </c>
      <c r="E3114" s="18"/>
    </row>
    <row r="3115" spans="1:5" ht="16.5" thickTop="1" thickBot="1" x14ac:dyDescent="0.3">
      <c r="A3115" s="28">
        <v>4.9648260619536178</v>
      </c>
      <c r="B3115" s="27">
        <v>0</v>
      </c>
      <c r="C3115" s="27">
        <v>8.3000000000000007</v>
      </c>
      <c r="E3115" s="18"/>
    </row>
    <row r="3116" spans="1:5" ht="16.5" thickTop="1" thickBot="1" x14ac:dyDescent="0.3">
      <c r="A3116" s="28">
        <v>1.5039404858015586</v>
      </c>
      <c r="B3116" s="27">
        <v>0</v>
      </c>
      <c r="C3116" s="27">
        <v>8.3000000000000007</v>
      </c>
      <c r="E3116" s="18"/>
    </row>
    <row r="3117" spans="1:5" ht="16.5" thickTop="1" thickBot="1" x14ac:dyDescent="0.3">
      <c r="A3117" s="28">
        <v>5.7432075742809658</v>
      </c>
      <c r="B3117" s="27">
        <v>0</v>
      </c>
      <c r="C3117" s="27">
        <v>16.100000000000001</v>
      </c>
      <c r="E3117" s="18"/>
    </row>
    <row r="3118" spans="1:5" ht="16.5" thickTop="1" thickBot="1" x14ac:dyDescent="0.3">
      <c r="A3118" s="28">
        <v>1.7266156073757828</v>
      </c>
      <c r="B3118" s="27">
        <v>0</v>
      </c>
      <c r="C3118" s="27">
        <v>16.100000000000001</v>
      </c>
      <c r="E3118" s="18"/>
    </row>
    <row r="3119" spans="1:5" ht="16.5" thickTop="1" thickBot="1" x14ac:dyDescent="0.3">
      <c r="A3119" s="28">
        <v>3.2880519673357989</v>
      </c>
      <c r="B3119" s="27">
        <v>0</v>
      </c>
      <c r="C3119" s="27">
        <v>16.100000000000001</v>
      </c>
      <c r="E3119" s="18"/>
    </row>
    <row r="3120" spans="1:5" ht="16.5" thickTop="1" thickBot="1" x14ac:dyDescent="0.3">
      <c r="A3120" s="28">
        <v>2.060028360878043</v>
      </c>
      <c r="B3120" s="27">
        <v>0</v>
      </c>
      <c r="C3120" s="27">
        <v>16.100000000000001</v>
      </c>
      <c r="E3120" s="18"/>
    </row>
    <row r="3121" spans="1:5" ht="16.5" thickTop="1" thickBot="1" x14ac:dyDescent="0.3">
      <c r="A3121" s="28">
        <v>1.3216459619088465</v>
      </c>
      <c r="B3121" s="27">
        <v>0</v>
      </c>
      <c r="C3121" s="27">
        <v>16.100000000000001</v>
      </c>
      <c r="E3121" s="18"/>
    </row>
    <row r="3122" spans="1:5" ht="16.5" thickTop="1" thickBot="1" x14ac:dyDescent="0.3">
      <c r="A3122" s="28">
        <v>4.8194391937434151</v>
      </c>
      <c r="B3122" s="27">
        <v>0</v>
      </c>
      <c r="C3122" s="27">
        <v>16.100000000000001</v>
      </c>
      <c r="E3122" s="18"/>
    </row>
    <row r="3123" spans="1:5" ht="16.5" thickTop="1" thickBot="1" x14ac:dyDescent="0.3">
      <c r="A3123" s="28">
        <v>8.0827026553137795</v>
      </c>
      <c r="B3123" s="27">
        <v>0</v>
      </c>
      <c r="C3123" s="27">
        <v>16.100000000000001</v>
      </c>
      <c r="E3123" s="18"/>
    </row>
    <row r="3124" spans="1:5" ht="16.5" thickTop="1" thickBot="1" x14ac:dyDescent="0.3">
      <c r="A3124" s="28">
        <v>2.9076960475009699</v>
      </c>
      <c r="B3124" s="27">
        <v>0</v>
      </c>
      <c r="C3124" s="27">
        <v>16.100000000000001</v>
      </c>
      <c r="E3124" s="18"/>
    </row>
    <row r="3125" spans="1:5" ht="16.5" thickTop="1" thickBot="1" x14ac:dyDescent="0.3">
      <c r="A3125" s="28">
        <v>6.4629672403260976</v>
      </c>
      <c r="B3125" s="27">
        <v>0</v>
      </c>
      <c r="C3125" s="27">
        <v>16.100000000000001</v>
      </c>
      <c r="E3125" s="18"/>
    </row>
    <row r="3126" spans="1:5" ht="16.5" thickTop="1" thickBot="1" x14ac:dyDescent="0.3">
      <c r="A3126" s="28">
        <v>5.8207804440531019</v>
      </c>
      <c r="B3126" s="27">
        <v>0</v>
      </c>
      <c r="C3126" s="27">
        <v>16.100000000000001</v>
      </c>
      <c r="E3126" s="18"/>
    </row>
    <row r="3127" spans="1:5" ht="16.5" thickTop="1" thickBot="1" x14ac:dyDescent="0.3">
      <c r="A3127" s="28">
        <v>2.7229058436873439</v>
      </c>
      <c r="B3127" s="27">
        <v>0</v>
      </c>
      <c r="C3127" s="27">
        <v>16.100000000000001</v>
      </c>
      <c r="E3127" s="18"/>
    </row>
    <row r="3128" spans="1:5" ht="16.5" thickTop="1" thickBot="1" x14ac:dyDescent="0.3">
      <c r="A3128" s="28">
        <v>6.2186835649307826</v>
      </c>
      <c r="B3128" s="27">
        <v>0</v>
      </c>
      <c r="C3128" s="27">
        <v>16.100000000000001</v>
      </c>
      <c r="E3128" s="18"/>
    </row>
    <row r="3129" spans="1:5" ht="16.5" thickTop="1" thickBot="1" x14ac:dyDescent="0.3">
      <c r="A3129" s="28">
        <v>8.0223929936856351</v>
      </c>
      <c r="B3129" s="27">
        <v>0</v>
      </c>
      <c r="C3129" s="27">
        <v>16.100000000000001</v>
      </c>
      <c r="E3129" s="18"/>
    </row>
    <row r="3130" spans="1:5" ht="16.5" thickTop="1" thickBot="1" x14ac:dyDescent="0.3">
      <c r="A3130" s="28">
        <v>4.1834495061495929</v>
      </c>
      <c r="B3130" s="27">
        <v>0</v>
      </c>
      <c r="C3130" s="27">
        <v>16.100000000000001</v>
      </c>
      <c r="E3130" s="18"/>
    </row>
    <row r="3131" spans="1:5" ht="16.5" thickTop="1" thickBot="1" x14ac:dyDescent="0.3">
      <c r="A3131" s="28">
        <v>2.9741409142064077</v>
      </c>
      <c r="B3131" s="27">
        <v>0</v>
      </c>
      <c r="C3131" s="27">
        <v>16.100000000000001</v>
      </c>
      <c r="E3131" s="18"/>
    </row>
    <row r="3132" spans="1:5" ht="16.5" thickTop="1" thickBot="1" x14ac:dyDescent="0.3">
      <c r="A3132" s="28">
        <v>6.8709120469413811</v>
      </c>
      <c r="B3132" s="27">
        <v>0</v>
      </c>
      <c r="C3132" s="27">
        <v>16.100000000000001</v>
      </c>
      <c r="E3132" s="18"/>
    </row>
    <row r="3133" spans="1:5" ht="16.5" thickTop="1" thickBot="1" x14ac:dyDescent="0.3">
      <c r="A3133" s="28">
        <v>5.268907175160404</v>
      </c>
      <c r="B3133" s="27">
        <v>0</v>
      </c>
      <c r="C3133" s="27">
        <v>16.100000000000001</v>
      </c>
      <c r="E3133" s="18"/>
    </row>
    <row r="3134" spans="1:5" ht="16.5" thickTop="1" thickBot="1" x14ac:dyDescent="0.3">
      <c r="A3134" s="28">
        <v>2.1931111433969575</v>
      </c>
      <c r="B3134" s="27">
        <v>0</v>
      </c>
      <c r="C3134" s="27">
        <v>16.5</v>
      </c>
      <c r="E3134" s="18"/>
    </row>
    <row r="3135" spans="1:5" ht="16.5" thickTop="1" thickBot="1" x14ac:dyDescent="0.3">
      <c r="A3135" s="28">
        <v>1.6823032222162784</v>
      </c>
      <c r="B3135" s="27">
        <v>0</v>
      </c>
      <c r="C3135" s="27">
        <v>16.5</v>
      </c>
      <c r="E3135" s="18"/>
    </row>
    <row r="3136" spans="1:5" ht="16.5" thickTop="1" thickBot="1" x14ac:dyDescent="0.3">
      <c r="A3136" s="28">
        <v>5.4940926237127314</v>
      </c>
      <c r="B3136" s="27">
        <v>0</v>
      </c>
      <c r="C3136" s="27">
        <v>16.5</v>
      </c>
      <c r="E3136" s="18"/>
    </row>
    <row r="3137" spans="1:5" ht="16.5" thickTop="1" thickBot="1" x14ac:dyDescent="0.3">
      <c r="A3137" s="28">
        <v>4.225692109120315</v>
      </c>
      <c r="B3137" s="27">
        <v>0</v>
      </c>
      <c r="C3137" s="27">
        <v>16.5</v>
      </c>
      <c r="E3137" s="18"/>
    </row>
    <row r="3138" spans="1:5" ht="16.5" thickTop="1" thickBot="1" x14ac:dyDescent="0.3">
      <c r="A3138" s="28">
        <v>3.5725866230751993</v>
      </c>
      <c r="B3138" s="27">
        <v>0</v>
      </c>
      <c r="C3138" s="27">
        <v>16.5</v>
      </c>
      <c r="E3138" s="18"/>
    </row>
    <row r="3139" spans="1:5" ht="16.5" thickTop="1" thickBot="1" x14ac:dyDescent="0.3">
      <c r="A3139" s="28">
        <v>8.1306535359578405</v>
      </c>
      <c r="B3139" s="27">
        <v>0</v>
      </c>
      <c r="C3139" s="27">
        <v>16.5</v>
      </c>
      <c r="E3139" s="18"/>
    </row>
    <row r="3140" spans="1:5" ht="16.5" thickTop="1" thickBot="1" x14ac:dyDescent="0.3">
      <c r="A3140" s="28">
        <v>1.5513334800024914</v>
      </c>
      <c r="B3140" s="27">
        <v>0</v>
      </c>
      <c r="C3140" s="27">
        <v>16.5</v>
      </c>
      <c r="E3140" s="18"/>
    </row>
    <row r="3141" spans="1:5" ht="16.5" thickTop="1" thickBot="1" x14ac:dyDescent="0.3">
      <c r="A3141" s="28">
        <v>5.877088596463679</v>
      </c>
      <c r="B3141" s="27">
        <v>0</v>
      </c>
      <c r="C3141" s="27">
        <v>16.5</v>
      </c>
      <c r="E3141" s="18"/>
    </row>
    <row r="3142" spans="1:5" ht="16.5" thickTop="1" thickBot="1" x14ac:dyDescent="0.3">
      <c r="A3142" s="28">
        <v>6.5605375919700402</v>
      </c>
      <c r="B3142" s="27">
        <v>0</v>
      </c>
      <c r="C3142" s="27">
        <v>16.5</v>
      </c>
      <c r="E3142" s="18"/>
    </row>
    <row r="3143" spans="1:5" ht="16.5" thickTop="1" thickBot="1" x14ac:dyDescent="0.3">
      <c r="A3143" s="28">
        <v>2.0832665812049291</v>
      </c>
      <c r="B3143" s="27">
        <v>0</v>
      </c>
      <c r="C3143" s="27">
        <v>16.5</v>
      </c>
      <c r="E3143" s="18"/>
    </row>
    <row r="3144" spans="1:5" ht="16.5" thickTop="1" thickBot="1" x14ac:dyDescent="0.3">
      <c r="A3144" s="28">
        <v>9.1800275912567675E-2</v>
      </c>
      <c r="B3144" s="27">
        <v>0</v>
      </c>
      <c r="C3144" s="27">
        <v>16.5</v>
      </c>
      <c r="E3144" s="18"/>
    </row>
    <row r="3145" spans="1:5" ht="16.5" thickTop="1" thickBot="1" x14ac:dyDescent="0.3">
      <c r="A3145" s="28">
        <v>0.96419253011350836</v>
      </c>
      <c r="B3145" s="27">
        <v>0</v>
      </c>
      <c r="C3145" s="27">
        <v>16.5</v>
      </c>
      <c r="E3145" s="18"/>
    </row>
    <row r="3146" spans="1:5" ht="16.5" thickTop="1" thickBot="1" x14ac:dyDescent="0.3">
      <c r="A3146" s="28">
        <v>1.2209825072628142</v>
      </c>
      <c r="B3146" s="27">
        <v>0</v>
      </c>
      <c r="C3146" s="27">
        <v>16.5</v>
      </c>
      <c r="E3146" s="18"/>
    </row>
    <row r="3147" spans="1:5" ht="16.5" thickTop="1" thickBot="1" x14ac:dyDescent="0.3">
      <c r="A3147" s="28">
        <v>2.6516426480367805</v>
      </c>
      <c r="B3147" s="27">
        <v>0</v>
      </c>
      <c r="C3147" s="27">
        <v>16.5</v>
      </c>
      <c r="E3147" s="18"/>
    </row>
    <row r="3148" spans="1:5" ht="16.5" thickTop="1" thickBot="1" x14ac:dyDescent="0.3">
      <c r="A3148" s="28">
        <v>2.611178791905898</v>
      </c>
      <c r="B3148" s="27">
        <v>0</v>
      </c>
      <c r="C3148" s="27">
        <v>16.5</v>
      </c>
      <c r="E3148" s="18"/>
    </row>
    <row r="3149" spans="1:5" ht="16.5" thickTop="1" thickBot="1" x14ac:dyDescent="0.3">
      <c r="A3149" s="28">
        <v>6.4898190327832674</v>
      </c>
      <c r="B3149" s="27">
        <v>0</v>
      </c>
      <c r="C3149" s="27">
        <v>16.5</v>
      </c>
      <c r="E3149" s="18"/>
    </row>
    <row r="3150" spans="1:5" ht="16.5" thickTop="1" thickBot="1" x14ac:dyDescent="0.3">
      <c r="A3150" s="28">
        <v>2.8866563377862269</v>
      </c>
      <c r="B3150" s="27">
        <v>0</v>
      </c>
      <c r="C3150" s="27">
        <v>10.199999999999999</v>
      </c>
      <c r="E3150" s="18"/>
    </row>
    <row r="3151" spans="1:5" ht="16.5" thickTop="1" thickBot="1" x14ac:dyDescent="0.3">
      <c r="A3151" s="28">
        <v>11.890399779198962</v>
      </c>
      <c r="B3151" s="27">
        <v>0</v>
      </c>
      <c r="C3151" s="27">
        <v>10.199999999999999</v>
      </c>
      <c r="E3151" s="18"/>
    </row>
    <row r="3152" spans="1:5" ht="16.5" thickTop="1" thickBot="1" x14ac:dyDescent="0.3">
      <c r="A3152" s="28">
        <v>6.7422718330717624</v>
      </c>
      <c r="B3152" s="27">
        <v>0</v>
      </c>
      <c r="C3152" s="27">
        <v>10.199999999999999</v>
      </c>
      <c r="E3152" s="18"/>
    </row>
    <row r="3153" spans="1:5" ht="16.5" thickTop="1" thickBot="1" x14ac:dyDescent="0.3">
      <c r="A3153" s="28">
        <v>8.8930105223456977</v>
      </c>
      <c r="B3153" s="27">
        <v>0</v>
      </c>
      <c r="C3153" s="27">
        <v>10.199999999999999</v>
      </c>
      <c r="E3153" s="18"/>
    </row>
    <row r="3154" spans="1:5" ht="16.5" thickTop="1" thickBot="1" x14ac:dyDescent="0.3">
      <c r="A3154" s="28">
        <v>1.7594350015773501</v>
      </c>
      <c r="B3154" s="27">
        <v>0</v>
      </c>
      <c r="C3154" s="27">
        <v>10.199999999999999</v>
      </c>
      <c r="E3154" s="18"/>
    </row>
    <row r="3155" spans="1:5" ht="16.5" thickTop="1" thickBot="1" x14ac:dyDescent="0.3">
      <c r="A3155" s="28">
        <v>2.2562309517053714</v>
      </c>
      <c r="B3155" s="27">
        <v>0</v>
      </c>
      <c r="C3155" s="27">
        <v>10.199999999999999</v>
      </c>
      <c r="E3155" s="18"/>
    </row>
    <row r="3156" spans="1:5" ht="16.5" thickTop="1" thickBot="1" x14ac:dyDescent="0.3">
      <c r="A3156" s="28">
        <v>3.7403143545266291</v>
      </c>
      <c r="B3156" s="27">
        <v>0</v>
      </c>
      <c r="C3156" s="27">
        <v>10.199999999999999</v>
      </c>
      <c r="E3156" s="18"/>
    </row>
    <row r="3157" spans="1:5" ht="16.5" thickTop="1" thickBot="1" x14ac:dyDescent="0.3">
      <c r="A3157" s="28">
        <v>4.2210102656127999</v>
      </c>
      <c r="B3157" s="27">
        <v>0</v>
      </c>
      <c r="C3157" s="27">
        <v>10.199999999999999</v>
      </c>
      <c r="E3157" s="18"/>
    </row>
    <row r="3158" spans="1:5" ht="16.5" thickTop="1" thickBot="1" x14ac:dyDescent="0.3">
      <c r="A3158" s="28">
        <v>5.7007843187904115</v>
      </c>
      <c r="B3158" s="27">
        <v>0</v>
      </c>
      <c r="C3158" s="27">
        <v>10.199999999999999</v>
      </c>
      <c r="E3158" s="18"/>
    </row>
    <row r="3159" spans="1:5" ht="16.5" thickTop="1" thickBot="1" x14ac:dyDescent="0.3">
      <c r="A3159" s="28">
        <v>8.2717084519433826</v>
      </c>
      <c r="B3159" s="27">
        <v>0</v>
      </c>
      <c r="C3159" s="27">
        <v>10.199999999999999</v>
      </c>
      <c r="E3159" s="18"/>
    </row>
    <row r="3160" spans="1:5" ht="16.5" thickTop="1" thickBot="1" x14ac:dyDescent="0.3">
      <c r="A3160" s="28">
        <v>0.43252183636339248</v>
      </c>
      <c r="B3160" s="27">
        <v>0</v>
      </c>
      <c r="C3160" s="27">
        <v>10.199999999999999</v>
      </c>
      <c r="E3160" s="18"/>
    </row>
    <row r="3161" spans="1:5" ht="16.5" thickTop="1" thickBot="1" x14ac:dyDescent="0.3">
      <c r="A3161" s="28">
        <v>0.11901745945116504</v>
      </c>
      <c r="B3161" s="27">
        <v>0</v>
      </c>
      <c r="C3161" s="27">
        <v>10.199999999999999</v>
      </c>
      <c r="E3161" s="18"/>
    </row>
    <row r="3162" spans="1:5" ht="16.5" thickTop="1" thickBot="1" x14ac:dyDescent="0.3">
      <c r="A3162" s="28">
        <v>9.4417312761751027E-2</v>
      </c>
      <c r="B3162" s="27">
        <v>0</v>
      </c>
      <c r="C3162" s="27">
        <v>10.199999999999999</v>
      </c>
      <c r="E3162" s="18"/>
    </row>
    <row r="3163" spans="1:5" ht="16.5" thickTop="1" thickBot="1" x14ac:dyDescent="0.3">
      <c r="A3163" s="28">
        <v>6.9763305358344709</v>
      </c>
      <c r="B3163" s="27">
        <v>0</v>
      </c>
      <c r="C3163" s="27">
        <v>10.199999999999999</v>
      </c>
      <c r="E3163" s="18"/>
    </row>
    <row r="3164" spans="1:5" ht="16.5" thickTop="1" thickBot="1" x14ac:dyDescent="0.3">
      <c r="A3164" s="28">
        <v>2.8584962988992277</v>
      </c>
      <c r="B3164" s="27">
        <v>0</v>
      </c>
      <c r="C3164" s="27">
        <v>10.199999999999999</v>
      </c>
      <c r="E3164" s="18"/>
    </row>
    <row r="3165" spans="1:5" ht="16.5" thickTop="1" thickBot="1" x14ac:dyDescent="0.3">
      <c r="A3165" s="28">
        <v>0.13620614724149815</v>
      </c>
      <c r="B3165" s="27">
        <v>0</v>
      </c>
      <c r="C3165" s="27">
        <v>7.7</v>
      </c>
      <c r="E3165" s="18"/>
    </row>
    <row r="3166" spans="1:5" ht="16.5" thickTop="1" thickBot="1" x14ac:dyDescent="0.3">
      <c r="A3166" s="28">
        <v>4.3093061724952513</v>
      </c>
      <c r="B3166" s="27">
        <v>0</v>
      </c>
      <c r="C3166" s="27">
        <v>7.7</v>
      </c>
      <c r="E3166" s="18"/>
    </row>
    <row r="3167" spans="1:5" ht="16.5" thickTop="1" thickBot="1" x14ac:dyDescent="0.3">
      <c r="A3167" s="28">
        <v>1.3236000352353847</v>
      </c>
      <c r="B3167" s="27">
        <v>0</v>
      </c>
      <c r="C3167" s="27">
        <v>7.7</v>
      </c>
      <c r="E3167" s="18"/>
    </row>
    <row r="3168" spans="1:5" ht="16.5" thickTop="1" thickBot="1" x14ac:dyDescent="0.3">
      <c r="A3168" s="28">
        <v>3.0029577382019061</v>
      </c>
      <c r="B3168" s="27">
        <v>0</v>
      </c>
      <c r="C3168" s="27">
        <v>7.7</v>
      </c>
      <c r="E3168" s="18"/>
    </row>
    <row r="3169" spans="1:5" ht="16.5" thickTop="1" thickBot="1" x14ac:dyDescent="0.3">
      <c r="A3169" s="28">
        <v>11.550252542743838</v>
      </c>
      <c r="B3169" s="27">
        <v>0</v>
      </c>
      <c r="C3169" s="27">
        <v>7.7</v>
      </c>
      <c r="E3169" s="18"/>
    </row>
    <row r="3170" spans="1:5" ht="16.5" thickTop="1" thickBot="1" x14ac:dyDescent="0.3">
      <c r="A3170" s="28">
        <v>2.1120141435362019</v>
      </c>
      <c r="B3170" s="27">
        <v>0</v>
      </c>
      <c r="C3170" s="27">
        <v>7.7</v>
      </c>
      <c r="E3170" s="18"/>
    </row>
    <row r="3171" spans="1:5" ht="16.5" thickTop="1" thickBot="1" x14ac:dyDescent="0.3">
      <c r="A3171" s="28">
        <v>2.8258954533696263</v>
      </c>
      <c r="B3171" s="27">
        <v>0</v>
      </c>
      <c r="C3171" s="27">
        <v>7.7</v>
      </c>
      <c r="E3171" s="18"/>
    </row>
    <row r="3172" spans="1:5" ht="16.5" thickTop="1" thickBot="1" x14ac:dyDescent="0.3">
      <c r="A3172" s="28">
        <v>6.3245177964245682</v>
      </c>
      <c r="B3172" s="27">
        <v>0</v>
      </c>
      <c r="C3172" s="27">
        <v>7.7</v>
      </c>
      <c r="E3172" s="18"/>
    </row>
    <row r="3173" spans="1:5" ht="16.5" thickTop="1" thickBot="1" x14ac:dyDescent="0.3">
      <c r="A3173" s="28">
        <v>7.439384024158505</v>
      </c>
      <c r="B3173" s="27">
        <v>0</v>
      </c>
      <c r="C3173" s="27">
        <v>7.7</v>
      </c>
      <c r="E3173" s="18"/>
    </row>
    <row r="3174" spans="1:5" ht="16.5" thickTop="1" thickBot="1" x14ac:dyDescent="0.3">
      <c r="A3174" s="28">
        <v>6.2160656461130657</v>
      </c>
      <c r="B3174" s="27">
        <v>0</v>
      </c>
      <c r="C3174" s="27">
        <v>7.7</v>
      </c>
      <c r="E3174" s="18"/>
    </row>
    <row r="3175" spans="1:5" ht="16.5" thickTop="1" thickBot="1" x14ac:dyDescent="0.3">
      <c r="A3175" s="28">
        <v>3.60217760702167</v>
      </c>
      <c r="B3175" s="27">
        <v>0</v>
      </c>
      <c r="C3175" s="27">
        <v>7.7</v>
      </c>
      <c r="E3175" s="18"/>
    </row>
    <row r="3176" spans="1:5" ht="16.5" thickTop="1" thickBot="1" x14ac:dyDescent="0.3">
      <c r="A3176" s="28">
        <v>1.5116148970830414</v>
      </c>
      <c r="B3176" s="27">
        <v>0</v>
      </c>
      <c r="C3176" s="27">
        <v>7.7</v>
      </c>
      <c r="E3176" s="18"/>
    </row>
    <row r="3177" spans="1:5" ht="16.5" thickTop="1" thickBot="1" x14ac:dyDescent="0.3">
      <c r="A3177" s="28">
        <v>2.9139343643474751</v>
      </c>
      <c r="B3177" s="27">
        <v>0</v>
      </c>
      <c r="C3177" s="27">
        <v>7.7</v>
      </c>
      <c r="E3177" s="18"/>
    </row>
    <row r="3178" spans="1:5" ht="16.5" thickTop="1" thickBot="1" x14ac:dyDescent="0.3">
      <c r="A3178" s="28">
        <v>4.2262678290454057</v>
      </c>
      <c r="B3178" s="27">
        <v>0</v>
      </c>
      <c r="C3178" s="27">
        <v>7.7</v>
      </c>
      <c r="E3178" s="18"/>
    </row>
    <row r="3179" spans="1:5" ht="16.5" thickTop="1" thickBot="1" x14ac:dyDescent="0.3">
      <c r="A3179" s="28">
        <v>6.7661501773493082</v>
      </c>
      <c r="B3179" s="27">
        <v>0</v>
      </c>
      <c r="C3179" s="27">
        <v>7.7</v>
      </c>
      <c r="E3179" s="18"/>
    </row>
    <row r="3180" spans="1:5" ht="16.5" thickTop="1" thickBot="1" x14ac:dyDescent="0.3">
      <c r="A3180" s="28">
        <v>4.4692246404140512</v>
      </c>
      <c r="B3180" s="27">
        <v>0</v>
      </c>
      <c r="C3180" s="27">
        <v>7.7</v>
      </c>
      <c r="E3180" s="18"/>
    </row>
    <row r="3181" spans="1:5" ht="16.5" thickTop="1" thickBot="1" x14ac:dyDescent="0.3">
      <c r="A3181" s="28">
        <v>9.2088060743185824</v>
      </c>
      <c r="B3181" s="27">
        <v>0</v>
      </c>
      <c r="C3181" s="27">
        <v>10.4</v>
      </c>
      <c r="E3181" s="18"/>
    </row>
    <row r="3182" spans="1:5" ht="16.5" thickTop="1" thickBot="1" x14ac:dyDescent="0.3">
      <c r="A3182" s="28">
        <v>7.2808387783190542E-2</v>
      </c>
      <c r="B3182" s="27">
        <v>0</v>
      </c>
      <c r="C3182" s="27">
        <v>10.4</v>
      </c>
      <c r="E3182" s="18"/>
    </row>
    <row r="3183" spans="1:5" ht="16.5" thickTop="1" thickBot="1" x14ac:dyDescent="0.3">
      <c r="A3183" s="28">
        <v>4.3441821653019446</v>
      </c>
      <c r="B3183" s="27">
        <v>0</v>
      </c>
      <c r="C3183" s="27">
        <v>10.4</v>
      </c>
      <c r="E3183" s="18"/>
    </row>
    <row r="3184" spans="1:5" ht="16.5" thickTop="1" thickBot="1" x14ac:dyDescent="0.3">
      <c r="A3184" s="28">
        <v>3.4375565876836842</v>
      </c>
      <c r="B3184" s="27">
        <v>0</v>
      </c>
      <c r="C3184" s="27">
        <v>10.4</v>
      </c>
      <c r="E3184" s="18"/>
    </row>
    <row r="3185" spans="1:5" ht="16.5" thickTop="1" thickBot="1" x14ac:dyDescent="0.3">
      <c r="A3185" s="28">
        <v>3.3586877156183972</v>
      </c>
      <c r="B3185" s="27">
        <v>0</v>
      </c>
      <c r="C3185" s="27">
        <v>10.4</v>
      </c>
      <c r="E3185" s="18"/>
    </row>
    <row r="3186" spans="1:5" ht="16.5" thickTop="1" thickBot="1" x14ac:dyDescent="0.3">
      <c r="A3186" s="28">
        <v>2.1840927978366573</v>
      </c>
      <c r="B3186" s="27">
        <v>0</v>
      </c>
      <c r="C3186" s="27">
        <v>10.4</v>
      </c>
      <c r="E3186" s="18"/>
    </row>
    <row r="3187" spans="1:5" ht="16.5" thickTop="1" thickBot="1" x14ac:dyDescent="0.3">
      <c r="A3187" s="28">
        <v>8.309840222571264</v>
      </c>
      <c r="B3187" s="27">
        <v>0</v>
      </c>
      <c r="C3187" s="27">
        <v>10.4</v>
      </c>
      <c r="E3187" s="18"/>
    </row>
    <row r="3188" spans="1:5" ht="16.5" thickTop="1" thickBot="1" x14ac:dyDescent="0.3">
      <c r="A3188" s="28">
        <v>5.2098382273493415</v>
      </c>
      <c r="B3188" s="27">
        <v>0</v>
      </c>
      <c r="C3188" s="27">
        <v>10.4</v>
      </c>
      <c r="E3188" s="18"/>
    </row>
    <row r="3189" spans="1:5" ht="16.5" thickTop="1" thickBot="1" x14ac:dyDescent="0.3">
      <c r="A3189" s="28">
        <v>0.42351278203342968</v>
      </c>
      <c r="B3189" s="27">
        <v>0</v>
      </c>
      <c r="C3189" s="27">
        <v>10.4</v>
      </c>
      <c r="E3189" s="18"/>
    </row>
    <row r="3190" spans="1:5" ht="16.5" thickTop="1" thickBot="1" x14ac:dyDescent="0.3">
      <c r="A3190" s="28">
        <v>0.3708982814887003</v>
      </c>
      <c r="B3190" s="27">
        <v>0</v>
      </c>
      <c r="C3190" s="27">
        <v>10.4</v>
      </c>
      <c r="E3190" s="18"/>
    </row>
    <row r="3191" spans="1:5" ht="16.5" thickTop="1" thickBot="1" x14ac:dyDescent="0.3">
      <c r="A3191" s="28">
        <v>1.0156911792121872</v>
      </c>
      <c r="B3191" s="27">
        <v>0</v>
      </c>
      <c r="C3191" s="27">
        <v>10.4</v>
      </c>
      <c r="E3191" s="18"/>
    </row>
    <row r="3192" spans="1:5" ht="16.5" thickTop="1" thickBot="1" x14ac:dyDescent="0.3">
      <c r="A3192" s="28">
        <v>5.9275330279862919</v>
      </c>
      <c r="B3192" s="27">
        <v>0</v>
      </c>
      <c r="C3192" s="27">
        <v>10.4</v>
      </c>
      <c r="E3192" s="18"/>
    </row>
    <row r="3193" spans="1:5" ht="16.5" thickTop="1" thickBot="1" x14ac:dyDescent="0.3">
      <c r="A3193" s="28">
        <v>9.4552226955379624</v>
      </c>
      <c r="B3193" s="27">
        <v>0</v>
      </c>
      <c r="C3193" s="27">
        <v>10.4</v>
      </c>
      <c r="E3193" s="18"/>
    </row>
    <row r="3194" spans="1:5" ht="16.5" thickTop="1" thickBot="1" x14ac:dyDescent="0.3">
      <c r="A3194" s="28">
        <v>3.4965977020053693</v>
      </c>
      <c r="B3194" s="27">
        <v>0</v>
      </c>
      <c r="C3194" s="27">
        <v>10.4</v>
      </c>
      <c r="E3194" s="18"/>
    </row>
    <row r="3195" spans="1:5" ht="16.5" thickTop="1" thickBot="1" x14ac:dyDescent="0.3">
      <c r="A3195" s="28">
        <v>6.1737208882137296E-2</v>
      </c>
      <c r="B3195" s="27">
        <v>0</v>
      </c>
      <c r="C3195" s="27">
        <v>10.4</v>
      </c>
      <c r="E3195" s="18"/>
    </row>
    <row r="3196" spans="1:5" ht="16.5" thickTop="1" thickBot="1" x14ac:dyDescent="0.3">
      <c r="A3196" s="28">
        <v>3.0096021832001814</v>
      </c>
      <c r="B3196" s="27">
        <v>0</v>
      </c>
      <c r="C3196" s="27">
        <v>10.4</v>
      </c>
      <c r="E3196" s="18"/>
    </row>
    <row r="3197" spans="1:5" ht="16.5" thickTop="1" thickBot="1" x14ac:dyDescent="0.3">
      <c r="A3197" s="28">
        <v>1.4793336073937935</v>
      </c>
      <c r="B3197" s="27">
        <v>0</v>
      </c>
      <c r="C3197" s="27">
        <v>18.8</v>
      </c>
      <c r="E3197" s="18"/>
    </row>
    <row r="3198" spans="1:5" ht="16.5" thickTop="1" thickBot="1" x14ac:dyDescent="0.3">
      <c r="A3198" s="28">
        <v>3.1851038034044881</v>
      </c>
      <c r="B3198" s="27">
        <v>0</v>
      </c>
      <c r="C3198" s="27">
        <v>18.8</v>
      </c>
      <c r="E3198" s="18"/>
    </row>
    <row r="3199" spans="1:5" ht="16.5" thickTop="1" thickBot="1" x14ac:dyDescent="0.3">
      <c r="A3199" s="28">
        <v>11.323283891097759</v>
      </c>
      <c r="B3199" s="27">
        <v>0</v>
      </c>
      <c r="C3199" s="27">
        <v>18.8</v>
      </c>
      <c r="E3199" s="18"/>
    </row>
    <row r="3200" spans="1:5" ht="16.5" thickTop="1" thickBot="1" x14ac:dyDescent="0.3">
      <c r="A3200" s="28">
        <v>1.1639837900679462E-2</v>
      </c>
      <c r="B3200" s="27">
        <v>0</v>
      </c>
      <c r="C3200" s="27">
        <v>18.8</v>
      </c>
      <c r="E3200" s="18"/>
    </row>
    <row r="3201" spans="1:5" ht="16.5" thickTop="1" thickBot="1" x14ac:dyDescent="0.3">
      <c r="A3201" s="28">
        <v>0.11037165177250374</v>
      </c>
      <c r="B3201" s="27">
        <v>0</v>
      </c>
      <c r="C3201" s="27">
        <v>18.8</v>
      </c>
      <c r="E3201" s="18"/>
    </row>
    <row r="3202" spans="1:5" ht="16.5" thickTop="1" thickBot="1" x14ac:dyDescent="0.3">
      <c r="A3202" s="28">
        <v>0.44582946250978417</v>
      </c>
      <c r="B3202" s="27">
        <v>0</v>
      </c>
      <c r="C3202" s="27">
        <v>18.8</v>
      </c>
      <c r="E3202" s="18"/>
    </row>
    <row r="3203" spans="1:5" ht="16.5" thickTop="1" thickBot="1" x14ac:dyDescent="0.3">
      <c r="A3203" s="28">
        <v>7.0456772669685872</v>
      </c>
      <c r="B3203" s="27">
        <v>0</v>
      </c>
      <c r="C3203" s="27">
        <v>18.8</v>
      </c>
      <c r="E3203" s="18"/>
    </row>
    <row r="3204" spans="1:5" ht="16.5" thickTop="1" thickBot="1" x14ac:dyDescent="0.3">
      <c r="A3204" s="28">
        <v>2.4561064981095382</v>
      </c>
      <c r="B3204" s="27">
        <v>0</v>
      </c>
      <c r="C3204" s="27">
        <v>18.8</v>
      </c>
      <c r="E3204" s="18"/>
    </row>
    <row r="3205" spans="1:5" ht="16.5" thickTop="1" thickBot="1" x14ac:dyDescent="0.3">
      <c r="A3205" s="28">
        <v>9.1590594599500612</v>
      </c>
      <c r="B3205" s="27">
        <v>0</v>
      </c>
      <c r="C3205" s="27">
        <v>18.8</v>
      </c>
      <c r="E3205" s="18"/>
    </row>
    <row r="3206" spans="1:5" ht="16.5" thickTop="1" thickBot="1" x14ac:dyDescent="0.3">
      <c r="A3206" s="28">
        <v>3.8679916048303609</v>
      </c>
      <c r="B3206" s="27">
        <v>0</v>
      </c>
      <c r="C3206" s="27">
        <v>18.8</v>
      </c>
      <c r="E3206" s="18"/>
    </row>
    <row r="3207" spans="1:5" ht="16.5" thickTop="1" thickBot="1" x14ac:dyDescent="0.3">
      <c r="A3207" s="28">
        <v>0.66251806218393483</v>
      </c>
      <c r="B3207" s="27">
        <v>0</v>
      </c>
      <c r="C3207" s="27">
        <v>18.8</v>
      </c>
      <c r="E3207" s="18"/>
    </row>
    <row r="3208" spans="1:5" ht="16.5" thickTop="1" thickBot="1" x14ac:dyDescent="0.3">
      <c r="A3208" s="28">
        <v>2.6983217659415826</v>
      </c>
      <c r="B3208" s="27">
        <v>0</v>
      </c>
      <c r="C3208" s="27">
        <v>18.8</v>
      </c>
      <c r="E3208" s="18"/>
    </row>
    <row r="3209" spans="1:5" ht="16.5" thickTop="1" thickBot="1" x14ac:dyDescent="0.3">
      <c r="A3209" s="28">
        <v>11.176040037920476</v>
      </c>
      <c r="B3209" s="27">
        <v>0</v>
      </c>
      <c r="C3209" s="27">
        <v>18.8</v>
      </c>
      <c r="E3209" s="18"/>
    </row>
    <row r="3210" spans="1:5" ht="16.5" thickTop="1" thickBot="1" x14ac:dyDescent="0.3">
      <c r="A3210" s="28">
        <v>5.9298038572928293</v>
      </c>
      <c r="B3210" s="27">
        <v>0</v>
      </c>
      <c r="C3210" s="27">
        <v>18.8</v>
      </c>
      <c r="E3210" s="18"/>
    </row>
    <row r="3211" spans="1:5" ht="16.5" thickTop="1" thickBot="1" x14ac:dyDescent="0.3">
      <c r="A3211" s="28">
        <v>4.6928017451970616</v>
      </c>
      <c r="B3211" s="27">
        <v>0</v>
      </c>
      <c r="C3211" s="27">
        <v>18.8</v>
      </c>
      <c r="E3211" s="18"/>
    </row>
    <row r="3212" spans="1:5" ht="16.5" thickTop="1" thickBot="1" x14ac:dyDescent="0.3">
      <c r="A3212" s="28">
        <v>4.7345359031611958</v>
      </c>
      <c r="B3212" s="27">
        <v>0</v>
      </c>
      <c r="C3212" s="27">
        <v>18.8</v>
      </c>
      <c r="E3212" s="18"/>
    </row>
    <row r="3213" spans="1:5" ht="16.5" thickTop="1" thickBot="1" x14ac:dyDescent="0.3">
      <c r="A3213" s="28">
        <v>9.0556518567090247</v>
      </c>
      <c r="B3213" s="27">
        <v>0</v>
      </c>
      <c r="C3213" s="27">
        <v>8.6</v>
      </c>
      <c r="E3213" s="18"/>
    </row>
    <row r="3214" spans="1:5" ht="16.5" thickTop="1" thickBot="1" x14ac:dyDescent="0.3">
      <c r="A3214" s="28">
        <v>5.4903994501396713</v>
      </c>
      <c r="B3214" s="27">
        <v>0</v>
      </c>
      <c r="C3214" s="27">
        <v>8.6</v>
      </c>
      <c r="E3214" s="18"/>
    </row>
    <row r="3215" spans="1:5" ht="16.5" thickTop="1" thickBot="1" x14ac:dyDescent="0.3">
      <c r="A3215" s="28">
        <v>3.7239249486004797</v>
      </c>
      <c r="B3215" s="27">
        <v>0</v>
      </c>
      <c r="C3215" s="27">
        <v>8.6</v>
      </c>
      <c r="E3215" s="18"/>
    </row>
    <row r="3216" spans="1:5" ht="16.5" thickTop="1" thickBot="1" x14ac:dyDescent="0.3">
      <c r="A3216" s="28">
        <v>3.4326890106674948</v>
      </c>
      <c r="B3216" s="27">
        <v>0</v>
      </c>
      <c r="C3216" s="27">
        <v>8.6</v>
      </c>
      <c r="E3216" s="18"/>
    </row>
    <row r="3217" spans="1:5" ht="16.5" thickTop="1" thickBot="1" x14ac:dyDescent="0.3">
      <c r="A3217" s="28">
        <v>0.73611007869373513</v>
      </c>
      <c r="B3217" s="27">
        <v>0</v>
      </c>
      <c r="C3217" s="27">
        <v>8.6</v>
      </c>
      <c r="E3217" s="18"/>
    </row>
    <row r="3218" spans="1:5" ht="16.5" thickTop="1" thickBot="1" x14ac:dyDescent="0.3">
      <c r="A3218" s="28">
        <v>3.3514048780296815</v>
      </c>
      <c r="B3218" s="27">
        <v>0</v>
      </c>
      <c r="C3218" s="27">
        <v>8.6</v>
      </c>
      <c r="E3218" s="18"/>
    </row>
    <row r="3219" spans="1:5" ht="16.5" thickTop="1" thickBot="1" x14ac:dyDescent="0.3">
      <c r="A3219" s="28">
        <v>9.9130582685824091</v>
      </c>
      <c r="B3219" s="27">
        <v>0</v>
      </c>
      <c r="C3219" s="27">
        <v>8.6</v>
      </c>
      <c r="E3219" s="18"/>
    </row>
    <row r="3220" spans="1:5" ht="16.5" thickTop="1" thickBot="1" x14ac:dyDescent="0.3">
      <c r="A3220" s="28">
        <v>2.8737053479288566</v>
      </c>
      <c r="B3220" s="27">
        <v>0</v>
      </c>
      <c r="C3220" s="27">
        <v>8.6</v>
      </c>
      <c r="E3220" s="18"/>
    </row>
    <row r="3221" spans="1:5" ht="16.5" thickTop="1" thickBot="1" x14ac:dyDescent="0.3">
      <c r="A3221" s="28">
        <v>6.8037907877577481</v>
      </c>
      <c r="B3221" s="27">
        <v>0</v>
      </c>
      <c r="C3221" s="27">
        <v>8.6</v>
      </c>
      <c r="E3221" s="18"/>
    </row>
    <row r="3222" spans="1:5" ht="16.5" thickTop="1" thickBot="1" x14ac:dyDescent="0.3">
      <c r="A3222" s="28">
        <v>0.55104869062380668</v>
      </c>
      <c r="B3222" s="27">
        <v>0</v>
      </c>
      <c r="C3222" s="27">
        <v>8.6</v>
      </c>
      <c r="E3222" s="18"/>
    </row>
    <row r="3223" spans="1:5" ht="16.5" thickTop="1" thickBot="1" x14ac:dyDescent="0.3">
      <c r="A3223" s="28">
        <v>4.4063501568026862</v>
      </c>
      <c r="B3223" s="27">
        <v>0</v>
      </c>
      <c r="C3223" s="27">
        <v>8.6</v>
      </c>
      <c r="E3223" s="18"/>
    </row>
    <row r="3224" spans="1:5" ht="16.5" thickTop="1" thickBot="1" x14ac:dyDescent="0.3">
      <c r="A3224" s="28">
        <v>2.2179252946260832</v>
      </c>
      <c r="B3224" s="27">
        <v>0</v>
      </c>
      <c r="C3224" s="27">
        <v>8.6</v>
      </c>
      <c r="E3224" s="18"/>
    </row>
    <row r="3225" spans="1:5" ht="16.5" thickTop="1" thickBot="1" x14ac:dyDescent="0.3">
      <c r="A3225" s="28">
        <v>4.2062147636601832</v>
      </c>
      <c r="B3225" s="27">
        <v>0</v>
      </c>
      <c r="C3225" s="27">
        <v>8.6</v>
      </c>
      <c r="E3225" s="18"/>
    </row>
    <row r="3226" spans="1:5" ht="16.5" thickTop="1" thickBot="1" x14ac:dyDescent="0.3">
      <c r="A3226" s="28">
        <v>3.1961149722938629</v>
      </c>
      <c r="B3226" s="27">
        <v>0</v>
      </c>
      <c r="C3226" s="27">
        <v>8.6</v>
      </c>
      <c r="E3226" s="18"/>
    </row>
    <row r="3227" spans="1:5" ht="16.5" thickTop="1" thickBot="1" x14ac:dyDescent="0.3">
      <c r="A3227" s="28">
        <v>8.9000653900470859</v>
      </c>
      <c r="B3227" s="27">
        <v>0</v>
      </c>
      <c r="C3227" s="27">
        <v>8.6</v>
      </c>
      <c r="E3227" s="18"/>
    </row>
    <row r="3228" spans="1:5" ht="16.5" thickTop="1" thickBot="1" x14ac:dyDescent="0.3">
      <c r="A3228" s="28">
        <v>1.3678861099156034</v>
      </c>
      <c r="B3228" s="27">
        <v>0</v>
      </c>
      <c r="C3228" s="27">
        <v>8.6</v>
      </c>
      <c r="E3228" s="18"/>
    </row>
    <row r="3229" spans="1:5" ht="16.5" thickTop="1" thickBot="1" x14ac:dyDescent="0.3">
      <c r="A3229" s="28">
        <v>4.5216398796575445</v>
      </c>
      <c r="B3229" s="27">
        <v>0</v>
      </c>
      <c r="C3229" s="27">
        <v>17.399999999999999</v>
      </c>
      <c r="E3229" s="18"/>
    </row>
    <row r="3230" spans="1:5" ht="16.5" thickTop="1" thickBot="1" x14ac:dyDescent="0.3">
      <c r="A3230" s="28">
        <v>3.4585235236521159</v>
      </c>
      <c r="B3230" s="27">
        <v>0</v>
      </c>
      <c r="C3230" s="27">
        <v>17.399999999999999</v>
      </c>
      <c r="E3230" s="18"/>
    </row>
    <row r="3231" spans="1:5" ht="16.5" thickTop="1" thickBot="1" x14ac:dyDescent="0.3">
      <c r="A3231" s="28">
        <v>3.3471753267150532</v>
      </c>
      <c r="B3231" s="27">
        <v>0</v>
      </c>
      <c r="C3231" s="27">
        <v>17.399999999999999</v>
      </c>
      <c r="E3231" s="18"/>
    </row>
    <row r="3232" spans="1:5" ht="16.5" thickTop="1" thickBot="1" x14ac:dyDescent="0.3">
      <c r="A3232" s="28">
        <v>4.6909361865321921</v>
      </c>
      <c r="B3232" s="27">
        <v>0</v>
      </c>
      <c r="C3232" s="27">
        <v>17.399999999999999</v>
      </c>
      <c r="E3232" s="18"/>
    </row>
    <row r="3233" spans="1:5" ht="16.5" thickTop="1" thickBot="1" x14ac:dyDescent="0.3">
      <c r="A3233" s="28">
        <v>10.570975739774925</v>
      </c>
      <c r="B3233" s="27">
        <v>0</v>
      </c>
      <c r="C3233" s="27">
        <v>17.399999999999999</v>
      </c>
      <c r="E3233" s="18"/>
    </row>
    <row r="3234" spans="1:5" ht="16.5" thickTop="1" thickBot="1" x14ac:dyDescent="0.3">
      <c r="A3234" s="28">
        <v>2.2042247324098003</v>
      </c>
      <c r="B3234" s="27">
        <v>0</v>
      </c>
      <c r="C3234" s="27">
        <v>17.399999999999999</v>
      </c>
      <c r="E3234" s="18"/>
    </row>
    <row r="3235" spans="1:5" ht="16.5" thickTop="1" thickBot="1" x14ac:dyDescent="0.3">
      <c r="A3235" s="28">
        <v>11.724944745507552</v>
      </c>
      <c r="B3235" s="27">
        <v>0</v>
      </c>
      <c r="C3235" s="27">
        <v>17.399999999999999</v>
      </c>
      <c r="E3235" s="18"/>
    </row>
    <row r="3236" spans="1:5" ht="16.5" thickTop="1" thickBot="1" x14ac:dyDescent="0.3">
      <c r="A3236" s="28">
        <v>6.121143096026632</v>
      </c>
      <c r="B3236" s="27">
        <v>0</v>
      </c>
      <c r="C3236" s="27">
        <v>17.399999999999999</v>
      </c>
      <c r="E3236" s="18"/>
    </row>
    <row r="3237" spans="1:5" ht="16.5" thickTop="1" thickBot="1" x14ac:dyDescent="0.3">
      <c r="A3237" s="28">
        <v>8.7718826520265161</v>
      </c>
      <c r="B3237" s="27">
        <v>0</v>
      </c>
      <c r="C3237" s="27">
        <v>17.399999999999999</v>
      </c>
      <c r="E3237" s="18"/>
    </row>
    <row r="3238" spans="1:5" ht="16.5" thickTop="1" thickBot="1" x14ac:dyDescent="0.3">
      <c r="A3238" s="28">
        <v>5.3906244897403672</v>
      </c>
      <c r="B3238" s="27">
        <v>0</v>
      </c>
      <c r="C3238" s="27">
        <v>17.399999999999999</v>
      </c>
      <c r="E3238" s="18"/>
    </row>
    <row r="3239" spans="1:5" ht="16.5" thickTop="1" thickBot="1" x14ac:dyDescent="0.3">
      <c r="A3239" s="28">
        <v>4.2291675396997475</v>
      </c>
      <c r="B3239" s="27">
        <v>0</v>
      </c>
      <c r="C3239" s="27">
        <v>17.399999999999999</v>
      </c>
      <c r="E3239" s="18"/>
    </row>
    <row r="3240" spans="1:5" ht="16.5" thickTop="1" thickBot="1" x14ac:dyDescent="0.3">
      <c r="A3240" s="28">
        <v>4.0235920411915957</v>
      </c>
      <c r="B3240" s="27">
        <v>0</v>
      </c>
      <c r="C3240" s="27">
        <v>17.399999999999999</v>
      </c>
      <c r="E3240" s="18"/>
    </row>
    <row r="3241" spans="1:5" ht="16.5" thickTop="1" thickBot="1" x14ac:dyDescent="0.3">
      <c r="A3241" s="28">
        <v>11.152033907269317</v>
      </c>
      <c r="B3241" s="27">
        <v>0</v>
      </c>
      <c r="C3241" s="27">
        <v>17.399999999999999</v>
      </c>
      <c r="E3241" s="18"/>
    </row>
    <row r="3242" spans="1:5" ht="16.5" thickTop="1" thickBot="1" x14ac:dyDescent="0.3">
      <c r="A3242" s="28">
        <v>5.7910782323902863</v>
      </c>
      <c r="B3242" s="27">
        <v>0</v>
      </c>
      <c r="C3242" s="27">
        <v>17.399999999999999</v>
      </c>
      <c r="E3242" s="18"/>
    </row>
    <row r="3243" spans="1:5" ht="16.5" thickTop="1" thickBot="1" x14ac:dyDescent="0.3">
      <c r="A3243" s="28">
        <v>0.62512110669058041</v>
      </c>
      <c r="B3243" s="27">
        <v>0</v>
      </c>
      <c r="C3243" s="27">
        <v>17.399999999999999</v>
      </c>
      <c r="E3243" s="18"/>
    </row>
    <row r="3244" spans="1:5" ht="16.5" thickTop="1" thickBot="1" x14ac:dyDescent="0.3">
      <c r="A3244" s="28">
        <v>6.0463278060749923</v>
      </c>
      <c r="B3244" s="27">
        <v>0</v>
      </c>
      <c r="C3244" s="27">
        <v>17.3</v>
      </c>
      <c r="E3244" s="18"/>
    </row>
    <row r="3245" spans="1:5" ht="16.5" thickTop="1" thickBot="1" x14ac:dyDescent="0.3">
      <c r="A3245" s="28">
        <v>3.0788969502455483</v>
      </c>
      <c r="B3245" s="27">
        <v>0</v>
      </c>
      <c r="C3245" s="27">
        <v>17.3</v>
      </c>
      <c r="E3245" s="18"/>
    </row>
    <row r="3246" spans="1:5" ht="16.5" thickTop="1" thickBot="1" x14ac:dyDescent="0.3">
      <c r="A3246" s="28">
        <v>5.6333528067892606</v>
      </c>
      <c r="B3246" s="27">
        <v>0</v>
      </c>
      <c r="C3246" s="27">
        <v>17.3</v>
      </c>
      <c r="E3246" s="18"/>
    </row>
    <row r="3247" spans="1:5" ht="16.5" thickTop="1" thickBot="1" x14ac:dyDescent="0.3">
      <c r="A3247" s="28">
        <v>10.19048972276782</v>
      </c>
      <c r="B3247" s="27">
        <v>0</v>
      </c>
      <c r="C3247" s="27">
        <v>17.3</v>
      </c>
      <c r="E3247" s="18"/>
    </row>
    <row r="3248" spans="1:5" ht="16.5" thickTop="1" thickBot="1" x14ac:dyDescent="0.3">
      <c r="A3248" s="28">
        <v>2.1632129360086054</v>
      </c>
      <c r="B3248" s="27">
        <v>0</v>
      </c>
      <c r="C3248" s="27">
        <v>17.3</v>
      </c>
      <c r="E3248" s="18"/>
    </row>
    <row r="3249" spans="1:5" ht="16.5" thickTop="1" thickBot="1" x14ac:dyDescent="0.3">
      <c r="A3249" s="28">
        <v>5.8054386924031665</v>
      </c>
      <c r="B3249" s="27">
        <v>0</v>
      </c>
      <c r="C3249" s="27">
        <v>17.3</v>
      </c>
      <c r="E3249" s="18"/>
    </row>
    <row r="3250" spans="1:5" ht="16.5" thickTop="1" thickBot="1" x14ac:dyDescent="0.3">
      <c r="A3250" s="28">
        <v>3.5400323826439579</v>
      </c>
      <c r="B3250" s="27">
        <v>0</v>
      </c>
      <c r="C3250" s="27">
        <v>17.3</v>
      </c>
      <c r="E3250" s="18"/>
    </row>
    <row r="3251" spans="1:5" ht="16.5" thickTop="1" thickBot="1" x14ac:dyDescent="0.3">
      <c r="A3251" s="28">
        <v>4.4033962164308615</v>
      </c>
      <c r="B3251" s="27">
        <v>0</v>
      </c>
      <c r="C3251" s="27">
        <v>17.3</v>
      </c>
      <c r="E3251" s="18"/>
    </row>
    <row r="3252" spans="1:5" ht="16.5" thickTop="1" thickBot="1" x14ac:dyDescent="0.3">
      <c r="A3252" s="28">
        <v>1.2865992191729529</v>
      </c>
      <c r="B3252" s="27">
        <v>0</v>
      </c>
      <c r="C3252" s="27">
        <v>17.3</v>
      </c>
      <c r="E3252" s="18"/>
    </row>
    <row r="3253" spans="1:5" ht="16.5" thickTop="1" thickBot="1" x14ac:dyDescent="0.3">
      <c r="A3253" s="28">
        <v>9.0130996750513024</v>
      </c>
      <c r="B3253" s="27">
        <v>0</v>
      </c>
      <c r="C3253" s="27">
        <v>17.3</v>
      </c>
      <c r="E3253" s="18"/>
    </row>
    <row r="3254" spans="1:5" ht="16.5" thickTop="1" thickBot="1" x14ac:dyDescent="0.3">
      <c r="A3254" s="28">
        <v>2.5619558465151808</v>
      </c>
      <c r="B3254" s="27">
        <v>0</v>
      </c>
      <c r="C3254" s="27">
        <v>17.3</v>
      </c>
      <c r="E3254" s="18"/>
    </row>
    <row r="3255" spans="1:5" ht="16.5" thickTop="1" thickBot="1" x14ac:dyDescent="0.3">
      <c r="A3255" s="28">
        <v>7.8502768037162749</v>
      </c>
      <c r="B3255" s="27">
        <v>0</v>
      </c>
      <c r="C3255" s="27">
        <v>17.3</v>
      </c>
      <c r="E3255" s="18"/>
    </row>
    <row r="3256" spans="1:5" ht="16.5" thickTop="1" thickBot="1" x14ac:dyDescent="0.3">
      <c r="A3256" s="28">
        <v>1.9907434919007923</v>
      </c>
      <c r="B3256" s="27">
        <v>0</v>
      </c>
      <c r="C3256" s="27">
        <v>13.6</v>
      </c>
      <c r="E3256" s="18"/>
    </row>
    <row r="3257" spans="1:5" ht="16.5" thickTop="1" thickBot="1" x14ac:dyDescent="0.3">
      <c r="A3257" s="28">
        <v>10.131244260434976</v>
      </c>
      <c r="B3257" s="27">
        <v>0</v>
      </c>
      <c r="C3257" s="27">
        <v>13.6</v>
      </c>
      <c r="E3257" s="18"/>
    </row>
    <row r="3258" spans="1:5" ht="16.5" thickTop="1" thickBot="1" x14ac:dyDescent="0.3">
      <c r="A3258" s="28">
        <v>3.8012505360236415</v>
      </c>
      <c r="B3258" s="27">
        <v>0</v>
      </c>
      <c r="C3258" s="27">
        <v>13.6</v>
      </c>
      <c r="E3258" s="18"/>
    </row>
    <row r="3259" spans="1:5" ht="16.5" thickTop="1" thickBot="1" x14ac:dyDescent="0.3">
      <c r="A3259" s="28">
        <v>3.2224640598709819</v>
      </c>
      <c r="B3259" s="27">
        <v>0</v>
      </c>
      <c r="C3259" s="27">
        <v>13.6</v>
      </c>
      <c r="E3259" s="18"/>
    </row>
    <row r="3260" spans="1:5" ht="16.5" thickTop="1" thickBot="1" x14ac:dyDescent="0.3">
      <c r="A3260" s="28">
        <v>0.52208905112027726</v>
      </c>
      <c r="B3260" s="27">
        <v>0</v>
      </c>
      <c r="C3260" s="27">
        <v>13.6</v>
      </c>
      <c r="E3260" s="18"/>
    </row>
    <row r="3261" spans="1:5" ht="16.5" thickTop="1" thickBot="1" x14ac:dyDescent="0.3">
      <c r="A3261" s="28">
        <v>8.6990107967842007</v>
      </c>
      <c r="B3261" s="27">
        <v>0</v>
      </c>
      <c r="C3261" s="27">
        <v>13.6</v>
      </c>
      <c r="E3261" s="18"/>
    </row>
    <row r="3262" spans="1:5" ht="16.5" thickTop="1" thickBot="1" x14ac:dyDescent="0.3">
      <c r="A3262" s="28">
        <v>0.92108099422280487</v>
      </c>
      <c r="B3262" s="27">
        <v>0</v>
      </c>
      <c r="C3262" s="27">
        <v>13.6</v>
      </c>
      <c r="E3262" s="18"/>
    </row>
    <row r="3263" spans="1:5" ht="16.5" thickTop="1" thickBot="1" x14ac:dyDescent="0.3">
      <c r="A3263" s="28">
        <v>5.837442914151044</v>
      </c>
      <c r="B3263" s="27">
        <v>0</v>
      </c>
      <c r="C3263" s="27">
        <v>13.6</v>
      </c>
      <c r="E3263" s="18"/>
    </row>
    <row r="3264" spans="1:5" ht="16.5" thickTop="1" thickBot="1" x14ac:dyDescent="0.3">
      <c r="A3264" s="28">
        <v>2.9542844461988178</v>
      </c>
      <c r="B3264" s="27">
        <v>0</v>
      </c>
      <c r="C3264" s="27">
        <v>13.6</v>
      </c>
      <c r="E3264" s="18"/>
    </row>
    <row r="3265" spans="1:5" ht="16.5" thickTop="1" thickBot="1" x14ac:dyDescent="0.3">
      <c r="A3265" s="28">
        <v>3.2072058997194888</v>
      </c>
      <c r="B3265" s="27">
        <v>0</v>
      </c>
      <c r="C3265" s="27">
        <v>13.6</v>
      </c>
      <c r="E3265" s="18"/>
    </row>
    <row r="3266" spans="1:5" ht="16.5" thickTop="1" thickBot="1" x14ac:dyDescent="0.3">
      <c r="A3266" s="28">
        <v>4.7916626208652451</v>
      </c>
      <c r="B3266" s="27">
        <v>0</v>
      </c>
      <c r="C3266" s="27">
        <v>13.6</v>
      </c>
      <c r="E3266" s="18"/>
    </row>
    <row r="3267" spans="1:5" ht="16.5" thickTop="1" thickBot="1" x14ac:dyDescent="0.3">
      <c r="A3267" s="28">
        <v>0.87643948428373131</v>
      </c>
      <c r="B3267" s="27">
        <v>0</v>
      </c>
      <c r="C3267" s="27">
        <v>13.6</v>
      </c>
      <c r="E3267" s="18"/>
    </row>
    <row r="3268" spans="1:5" ht="16.5" thickTop="1" thickBot="1" x14ac:dyDescent="0.3">
      <c r="A3268" s="28">
        <v>0.93723799977711253</v>
      </c>
      <c r="B3268" s="27">
        <v>0</v>
      </c>
      <c r="C3268" s="27">
        <v>7</v>
      </c>
      <c r="E3268" s="18"/>
    </row>
    <row r="3269" spans="1:5" ht="16.5" thickTop="1" thickBot="1" x14ac:dyDescent="0.3">
      <c r="A3269" s="28">
        <v>11.913982425991305</v>
      </c>
      <c r="B3269" s="27">
        <v>0</v>
      </c>
      <c r="C3269" s="27">
        <v>7</v>
      </c>
      <c r="E3269" s="18"/>
    </row>
    <row r="3270" spans="1:5" ht="16.5" thickTop="1" thickBot="1" x14ac:dyDescent="0.3">
      <c r="A3270" s="28">
        <v>1.8094697241771218</v>
      </c>
      <c r="B3270" s="27">
        <v>0</v>
      </c>
      <c r="C3270" s="27">
        <v>7</v>
      </c>
      <c r="E3270" s="18"/>
    </row>
    <row r="3271" spans="1:5" ht="16.5" thickTop="1" thickBot="1" x14ac:dyDescent="0.3">
      <c r="A3271" s="28">
        <v>3.7759189524342065</v>
      </c>
      <c r="B3271" s="27">
        <v>0</v>
      </c>
      <c r="C3271" s="27">
        <v>7</v>
      </c>
      <c r="E3271" s="18"/>
    </row>
    <row r="3272" spans="1:5" ht="16.5" thickTop="1" thickBot="1" x14ac:dyDescent="0.3">
      <c r="A3272" s="28">
        <v>5.1873383628538399</v>
      </c>
      <c r="B3272" s="27">
        <v>0</v>
      </c>
      <c r="C3272" s="27">
        <v>7</v>
      </c>
      <c r="E3272" s="18"/>
    </row>
    <row r="3273" spans="1:5" ht="16.5" thickTop="1" thickBot="1" x14ac:dyDescent="0.3">
      <c r="A3273" s="28">
        <v>4.8715034194509901</v>
      </c>
      <c r="B3273" s="27">
        <v>0</v>
      </c>
      <c r="C3273" s="27">
        <v>7</v>
      </c>
      <c r="E3273" s="18"/>
    </row>
    <row r="3274" spans="1:5" ht="16.5" thickTop="1" thickBot="1" x14ac:dyDescent="0.3">
      <c r="A3274" s="28">
        <v>3.5119574548390657</v>
      </c>
      <c r="B3274" s="27">
        <v>0</v>
      </c>
      <c r="C3274" s="27">
        <v>7</v>
      </c>
      <c r="E3274" s="18"/>
    </row>
    <row r="3275" spans="1:5" ht="16.5" thickTop="1" thickBot="1" x14ac:dyDescent="0.3">
      <c r="A3275" s="28">
        <v>1.6582793907681501</v>
      </c>
      <c r="B3275" s="27">
        <v>0</v>
      </c>
      <c r="C3275" s="27">
        <v>7</v>
      </c>
      <c r="E3275" s="18"/>
    </row>
    <row r="3276" spans="1:5" ht="16.5" thickTop="1" thickBot="1" x14ac:dyDescent="0.3">
      <c r="A3276" s="28">
        <v>2.8162955382029207</v>
      </c>
      <c r="B3276" s="27">
        <v>0</v>
      </c>
      <c r="C3276" s="27">
        <v>7</v>
      </c>
      <c r="E3276" s="18"/>
    </row>
    <row r="3277" spans="1:5" ht="16.5" thickTop="1" thickBot="1" x14ac:dyDescent="0.3">
      <c r="A3277" s="28">
        <v>6.6690363483140862</v>
      </c>
      <c r="B3277" s="27">
        <v>0</v>
      </c>
      <c r="C3277" s="27">
        <v>7</v>
      </c>
      <c r="E3277" s="18"/>
    </row>
    <row r="3278" spans="1:5" ht="16.5" thickTop="1" thickBot="1" x14ac:dyDescent="0.3">
      <c r="A3278" s="28">
        <v>1.7638375552064203</v>
      </c>
      <c r="B3278" s="27">
        <v>0</v>
      </c>
      <c r="C3278" s="27">
        <v>7</v>
      </c>
      <c r="E3278" s="18"/>
    </row>
    <row r="3279" spans="1:5" ht="16.5" thickTop="1" thickBot="1" x14ac:dyDescent="0.3">
      <c r="A3279" s="28">
        <v>7.4521785813248798</v>
      </c>
      <c r="B3279" s="27">
        <v>0</v>
      </c>
      <c r="C3279" s="27">
        <v>7</v>
      </c>
      <c r="E3279" s="18"/>
    </row>
    <row r="3280" spans="1:5" ht="16.5" thickTop="1" thickBot="1" x14ac:dyDescent="0.3">
      <c r="A3280" s="28">
        <v>4.2040206282788377</v>
      </c>
      <c r="B3280" s="27">
        <v>0</v>
      </c>
      <c r="C3280" s="27">
        <v>7</v>
      </c>
      <c r="E3280" s="18"/>
    </row>
    <row r="3281" spans="1:5" ht="16.5" thickTop="1" thickBot="1" x14ac:dyDescent="0.3">
      <c r="A3281" s="28">
        <v>3.7353140131571769</v>
      </c>
      <c r="B3281" s="27">
        <v>0</v>
      </c>
      <c r="C3281" s="27">
        <v>7</v>
      </c>
      <c r="E3281" s="18"/>
    </row>
    <row r="3282" spans="1:5" ht="16.5" thickTop="1" thickBot="1" x14ac:dyDescent="0.3">
      <c r="A3282" s="28">
        <v>0.43808313234056073</v>
      </c>
      <c r="B3282" s="27">
        <v>0</v>
      </c>
      <c r="C3282" s="27">
        <v>7</v>
      </c>
      <c r="E3282" s="18"/>
    </row>
    <row r="3283" spans="1:5" ht="16.5" thickTop="1" thickBot="1" x14ac:dyDescent="0.3">
      <c r="A3283" s="28">
        <v>6.8327004898767614</v>
      </c>
      <c r="B3283" s="27">
        <v>0</v>
      </c>
      <c r="C3283" s="27">
        <v>7</v>
      </c>
      <c r="E3283" s="18"/>
    </row>
    <row r="3284" spans="1:5" ht="16.5" thickTop="1" thickBot="1" x14ac:dyDescent="0.3">
      <c r="A3284" s="28">
        <v>3.1196489208079488</v>
      </c>
      <c r="B3284" s="27">
        <v>0</v>
      </c>
      <c r="C3284" s="27">
        <v>3.1</v>
      </c>
      <c r="E3284" s="18"/>
    </row>
    <row r="3285" spans="1:5" ht="16.5" thickTop="1" thickBot="1" x14ac:dyDescent="0.3">
      <c r="A3285" s="28">
        <v>0.72827094191700326</v>
      </c>
      <c r="B3285" s="27">
        <v>0</v>
      </c>
      <c r="C3285" s="27">
        <v>3.1</v>
      </c>
      <c r="E3285" s="18"/>
    </row>
    <row r="3286" spans="1:5" ht="16.5" thickTop="1" thickBot="1" x14ac:dyDescent="0.3">
      <c r="A3286" s="28">
        <v>1.2394828399595013</v>
      </c>
      <c r="B3286" s="27">
        <v>0</v>
      </c>
      <c r="C3286" s="27">
        <v>3.1</v>
      </c>
      <c r="E3286" s="18"/>
    </row>
    <row r="3287" spans="1:5" ht="16.5" thickTop="1" thickBot="1" x14ac:dyDescent="0.3">
      <c r="A3287" s="28">
        <v>9.2046078797144588</v>
      </c>
      <c r="B3287" s="27">
        <v>0</v>
      </c>
      <c r="C3287" s="27">
        <v>3.1</v>
      </c>
      <c r="E3287" s="18"/>
    </row>
    <row r="3288" spans="1:5" ht="16.5" thickTop="1" thickBot="1" x14ac:dyDescent="0.3">
      <c r="A3288" s="28">
        <v>4.2498843429790423</v>
      </c>
      <c r="B3288" s="27">
        <v>0</v>
      </c>
      <c r="C3288" s="27">
        <v>3.1</v>
      </c>
      <c r="E3288" s="18"/>
    </row>
    <row r="3289" spans="1:5" ht="16.5" thickTop="1" thickBot="1" x14ac:dyDescent="0.3">
      <c r="A3289" s="28">
        <v>0.57331623257270081</v>
      </c>
      <c r="B3289" s="27">
        <v>0</v>
      </c>
      <c r="C3289" s="27">
        <v>3.1</v>
      </c>
      <c r="E3289" s="18"/>
    </row>
    <row r="3290" spans="1:5" ht="16.5" thickTop="1" thickBot="1" x14ac:dyDescent="0.3">
      <c r="A3290" s="28">
        <v>0.37620065285816617</v>
      </c>
      <c r="B3290" s="27">
        <v>0</v>
      </c>
      <c r="C3290" s="27">
        <v>3.1</v>
      </c>
      <c r="E3290" s="18"/>
    </row>
    <row r="3291" spans="1:5" ht="16.5" thickTop="1" thickBot="1" x14ac:dyDescent="0.3">
      <c r="A3291" s="28">
        <v>3.9508299679717926</v>
      </c>
      <c r="B3291" s="27">
        <v>0</v>
      </c>
      <c r="C3291" s="27">
        <v>3.1</v>
      </c>
      <c r="E3291" s="18"/>
    </row>
    <row r="3292" spans="1:5" ht="16.5" thickTop="1" thickBot="1" x14ac:dyDescent="0.3">
      <c r="A3292" s="28">
        <v>6.8254825933015359</v>
      </c>
      <c r="B3292" s="27">
        <v>0</v>
      </c>
      <c r="C3292" s="27">
        <v>3.1</v>
      </c>
      <c r="E3292" s="18"/>
    </row>
    <row r="3293" spans="1:5" ht="16.5" thickTop="1" thickBot="1" x14ac:dyDescent="0.3">
      <c r="A3293" s="28">
        <v>6.1716885902513878</v>
      </c>
      <c r="B3293" s="27">
        <v>0</v>
      </c>
      <c r="C3293" s="27">
        <v>3.1</v>
      </c>
      <c r="E3293" s="18"/>
    </row>
    <row r="3294" spans="1:5" ht="16.5" thickTop="1" thickBot="1" x14ac:dyDescent="0.3">
      <c r="A3294" s="28">
        <v>0.51659931328852893</v>
      </c>
      <c r="B3294" s="27">
        <v>0</v>
      </c>
      <c r="C3294" s="27">
        <v>3.1</v>
      </c>
      <c r="E3294" s="18"/>
    </row>
    <row r="3295" spans="1:5" ht="16.5" thickTop="1" thickBot="1" x14ac:dyDescent="0.3">
      <c r="A3295" s="28">
        <v>7.257557459006966</v>
      </c>
      <c r="B3295" s="27">
        <v>0</v>
      </c>
      <c r="C3295" s="27">
        <v>3.1</v>
      </c>
      <c r="E3295" s="18"/>
    </row>
    <row r="3296" spans="1:5" ht="16.5" thickTop="1" thickBot="1" x14ac:dyDescent="0.3">
      <c r="A3296" s="28">
        <v>1.8181295511812916</v>
      </c>
      <c r="B3296" s="27">
        <v>0</v>
      </c>
      <c r="C3296" s="27">
        <v>3.1</v>
      </c>
      <c r="E3296" s="18"/>
    </row>
    <row r="3297" spans="1:5" ht="16.5" thickTop="1" thickBot="1" x14ac:dyDescent="0.3">
      <c r="A3297" s="28">
        <v>0.46272415784765197</v>
      </c>
      <c r="B3297" s="27">
        <v>0</v>
      </c>
      <c r="C3297" s="27">
        <v>3.1</v>
      </c>
      <c r="E3297" s="18"/>
    </row>
    <row r="3298" spans="1:5" ht="16.5" thickTop="1" thickBot="1" x14ac:dyDescent="0.3">
      <c r="A3298" s="28">
        <v>3.6341490289860254</v>
      </c>
      <c r="B3298" s="27">
        <v>0</v>
      </c>
      <c r="C3298" s="27">
        <v>3.1</v>
      </c>
      <c r="E3298" s="18"/>
    </row>
    <row r="3299" spans="1:5" ht="16.5" thickTop="1" thickBot="1" x14ac:dyDescent="0.3">
      <c r="A3299" s="28">
        <v>7.8144357916209604</v>
      </c>
      <c r="B3299" s="27">
        <v>0</v>
      </c>
      <c r="C3299" s="27">
        <v>3.1</v>
      </c>
      <c r="E3299" s="18"/>
    </row>
    <row r="3300" spans="1:5" ht="16.5" thickTop="1" thickBot="1" x14ac:dyDescent="0.3">
      <c r="A3300" s="28">
        <v>6.9573016223501849</v>
      </c>
      <c r="B3300" s="27">
        <v>0</v>
      </c>
      <c r="C3300" s="27">
        <v>3.1</v>
      </c>
      <c r="E3300" s="18"/>
    </row>
    <row r="3301" spans="1:5" ht="16.5" thickTop="1" thickBot="1" x14ac:dyDescent="0.3">
      <c r="A3301" s="28">
        <v>10.80353579370496</v>
      </c>
      <c r="B3301" s="27">
        <v>0</v>
      </c>
      <c r="C3301" s="27">
        <v>16.2</v>
      </c>
      <c r="E3301" s="18"/>
    </row>
    <row r="3302" spans="1:5" ht="16.5" thickTop="1" thickBot="1" x14ac:dyDescent="0.3">
      <c r="A3302" s="28">
        <v>4.0529494559161918</v>
      </c>
      <c r="B3302" s="27">
        <v>0</v>
      </c>
      <c r="C3302" s="27">
        <v>16.2</v>
      </c>
      <c r="E3302" s="18"/>
    </row>
    <row r="3303" spans="1:5" ht="16.5" thickTop="1" thickBot="1" x14ac:dyDescent="0.3">
      <c r="A3303" s="28">
        <v>4.7494210425134575</v>
      </c>
      <c r="B3303" s="27">
        <v>0</v>
      </c>
      <c r="C3303" s="27">
        <v>16.2</v>
      </c>
      <c r="E3303" s="18"/>
    </row>
    <row r="3304" spans="1:5" ht="16.5" thickTop="1" thickBot="1" x14ac:dyDescent="0.3">
      <c r="A3304" s="28">
        <v>1.3369354726324212</v>
      </c>
      <c r="B3304" s="27">
        <v>0</v>
      </c>
      <c r="C3304" s="27">
        <v>16.2</v>
      </c>
      <c r="E3304" s="18"/>
    </row>
    <row r="3305" spans="1:5" ht="16.5" thickTop="1" thickBot="1" x14ac:dyDescent="0.3">
      <c r="A3305" s="28">
        <v>9.2546778252971258</v>
      </c>
      <c r="B3305" s="27">
        <v>0</v>
      </c>
      <c r="C3305" s="27">
        <v>16.2</v>
      </c>
      <c r="E3305" s="18"/>
    </row>
    <row r="3306" spans="1:5" ht="16.5" thickTop="1" thickBot="1" x14ac:dyDescent="0.3">
      <c r="A3306" s="28">
        <v>2.9013555846130368</v>
      </c>
      <c r="B3306" s="27">
        <v>0</v>
      </c>
      <c r="C3306" s="27">
        <v>16.2</v>
      </c>
      <c r="E3306" s="18"/>
    </row>
    <row r="3307" spans="1:5" ht="16.5" thickTop="1" thickBot="1" x14ac:dyDescent="0.3">
      <c r="A3307" s="28">
        <v>10.526008664821912</v>
      </c>
      <c r="B3307" s="27">
        <v>0</v>
      </c>
      <c r="C3307" s="27">
        <v>16.2</v>
      </c>
      <c r="E3307" s="18"/>
    </row>
    <row r="3308" spans="1:5" ht="16.5" thickTop="1" thickBot="1" x14ac:dyDescent="0.3">
      <c r="A3308" s="28">
        <v>1.3369475538393973</v>
      </c>
      <c r="B3308" s="27">
        <v>0</v>
      </c>
      <c r="C3308" s="27">
        <v>16.2</v>
      </c>
      <c r="E3308" s="18"/>
    </row>
    <row r="3309" spans="1:5" ht="16.5" thickTop="1" thickBot="1" x14ac:dyDescent="0.3">
      <c r="A3309" s="28">
        <v>0.19910368101923748</v>
      </c>
      <c r="B3309" s="27">
        <v>0</v>
      </c>
      <c r="C3309" s="27">
        <v>16.2</v>
      </c>
      <c r="E3309" s="18"/>
    </row>
    <row r="3310" spans="1:5" ht="16.5" thickTop="1" thickBot="1" x14ac:dyDescent="0.3">
      <c r="A3310" s="28">
        <v>6.9773516086053649</v>
      </c>
      <c r="B3310" s="27">
        <v>0</v>
      </c>
      <c r="C3310" s="27">
        <v>16.2</v>
      </c>
      <c r="E3310" s="18"/>
    </row>
    <row r="3311" spans="1:5" ht="16.5" thickTop="1" thickBot="1" x14ac:dyDescent="0.3">
      <c r="A3311" s="28">
        <v>1.0061071835338815</v>
      </c>
      <c r="B3311" s="27">
        <v>0</v>
      </c>
      <c r="C3311" s="27">
        <v>16.2</v>
      </c>
      <c r="E3311" s="18"/>
    </row>
    <row r="3312" spans="1:5" ht="16.5" thickTop="1" thickBot="1" x14ac:dyDescent="0.3">
      <c r="A3312" s="28">
        <v>5.3801327326422985</v>
      </c>
      <c r="B3312" s="27">
        <v>0</v>
      </c>
      <c r="C3312" s="27">
        <v>16.2</v>
      </c>
      <c r="E3312" s="18"/>
    </row>
    <row r="3313" spans="1:5" ht="16.5" thickTop="1" thickBot="1" x14ac:dyDescent="0.3">
      <c r="A3313" s="28">
        <v>9.2437344625803188</v>
      </c>
      <c r="B3313" s="27">
        <v>0</v>
      </c>
      <c r="C3313" s="27">
        <v>16.2</v>
      </c>
      <c r="E3313" s="18"/>
    </row>
    <row r="3314" spans="1:5" ht="16.5" thickTop="1" thickBot="1" x14ac:dyDescent="0.3">
      <c r="A3314" s="28">
        <v>5.448248113477872</v>
      </c>
      <c r="B3314" s="27">
        <v>0</v>
      </c>
      <c r="C3314" s="27">
        <v>16.2</v>
      </c>
      <c r="E3314" s="18"/>
    </row>
    <row r="3315" spans="1:5" ht="16.5" thickTop="1" thickBot="1" x14ac:dyDescent="0.3">
      <c r="A3315" s="28">
        <v>8.0517740323870264</v>
      </c>
      <c r="B3315" s="27">
        <v>0</v>
      </c>
      <c r="C3315" s="27">
        <v>16.2</v>
      </c>
      <c r="E3315" s="18"/>
    </row>
    <row r="3316" spans="1:5" ht="16.5" thickTop="1" thickBot="1" x14ac:dyDescent="0.3">
      <c r="A3316" s="28">
        <v>0.33102025528246892</v>
      </c>
      <c r="B3316" s="27">
        <v>0</v>
      </c>
      <c r="C3316" s="27">
        <v>16.2</v>
      </c>
      <c r="E3316" s="18"/>
    </row>
    <row r="3317" spans="1:5" ht="16.5" thickTop="1" thickBot="1" x14ac:dyDescent="0.3">
      <c r="A3317" s="28">
        <v>11.962928162331764</v>
      </c>
      <c r="B3317" s="27">
        <v>0</v>
      </c>
      <c r="C3317" s="27">
        <v>6.8</v>
      </c>
      <c r="E3317" s="18"/>
    </row>
    <row r="3318" spans="1:5" ht="16.5" thickTop="1" thickBot="1" x14ac:dyDescent="0.3">
      <c r="A3318" s="28">
        <v>5.0036089274828219</v>
      </c>
      <c r="B3318" s="27">
        <v>0</v>
      </c>
      <c r="C3318" s="27">
        <v>6.8</v>
      </c>
      <c r="E3318" s="18"/>
    </row>
    <row r="3319" spans="1:5" ht="16.5" thickTop="1" thickBot="1" x14ac:dyDescent="0.3">
      <c r="A3319" s="28">
        <v>5.1337005985118429</v>
      </c>
      <c r="B3319" s="27">
        <v>0</v>
      </c>
      <c r="C3319" s="27">
        <v>6.8</v>
      </c>
      <c r="E3319" s="18"/>
    </row>
    <row r="3320" spans="1:5" ht="16.5" thickTop="1" thickBot="1" x14ac:dyDescent="0.3">
      <c r="A3320" s="28">
        <v>0.75251023440537468</v>
      </c>
      <c r="B3320" s="27">
        <v>0</v>
      </c>
      <c r="C3320" s="27">
        <v>6.8</v>
      </c>
      <c r="E3320" s="18"/>
    </row>
    <row r="3321" spans="1:5" ht="16.5" thickTop="1" thickBot="1" x14ac:dyDescent="0.3">
      <c r="A3321" s="28">
        <v>1.1923848843209695</v>
      </c>
      <c r="B3321" s="27">
        <v>0</v>
      </c>
      <c r="C3321" s="27">
        <v>6.8</v>
      </c>
      <c r="E3321" s="18"/>
    </row>
    <row r="3322" spans="1:5" ht="16.5" thickTop="1" thickBot="1" x14ac:dyDescent="0.3">
      <c r="A3322" s="28">
        <v>2.4744562659658591</v>
      </c>
      <c r="B3322" s="27">
        <v>0</v>
      </c>
      <c r="C3322" s="27">
        <v>6.8</v>
      </c>
      <c r="E3322" s="18"/>
    </row>
    <row r="3323" spans="1:5" ht="16.5" thickTop="1" thickBot="1" x14ac:dyDescent="0.3">
      <c r="A3323" s="28">
        <v>11.034207182417381</v>
      </c>
      <c r="B3323" s="27">
        <v>0</v>
      </c>
      <c r="C3323" s="27">
        <v>6.8</v>
      </c>
      <c r="E3323" s="18"/>
    </row>
    <row r="3324" spans="1:5" ht="16.5" thickTop="1" thickBot="1" x14ac:dyDescent="0.3">
      <c r="A3324" s="28">
        <v>6.0423055172754498</v>
      </c>
      <c r="B3324" s="27">
        <v>0</v>
      </c>
      <c r="C3324" s="27">
        <v>6.8</v>
      </c>
      <c r="E3324" s="18"/>
    </row>
    <row r="3325" spans="1:5" ht="16.5" thickTop="1" thickBot="1" x14ac:dyDescent="0.3">
      <c r="A3325" s="28">
        <v>10.449401218246567</v>
      </c>
      <c r="B3325" s="27">
        <v>0</v>
      </c>
      <c r="C3325" s="27">
        <v>6.8</v>
      </c>
      <c r="E3325" s="18"/>
    </row>
    <row r="3326" spans="1:5" ht="16.5" thickTop="1" thickBot="1" x14ac:dyDescent="0.3">
      <c r="A3326" s="28">
        <v>0.44932585892409693</v>
      </c>
      <c r="B3326" s="27">
        <v>0</v>
      </c>
      <c r="C3326" s="27">
        <v>6.8</v>
      </c>
      <c r="E3326" s="18"/>
    </row>
    <row r="3327" spans="1:5" ht="16.5" thickTop="1" thickBot="1" x14ac:dyDescent="0.3">
      <c r="A3327" s="28">
        <v>4.7377201365755699</v>
      </c>
      <c r="B3327" s="27">
        <v>0</v>
      </c>
      <c r="C3327" s="27">
        <v>6.8</v>
      </c>
      <c r="E3327" s="18"/>
    </row>
    <row r="3328" spans="1:5" ht="16.5" thickTop="1" thickBot="1" x14ac:dyDescent="0.3">
      <c r="A3328" s="28">
        <v>1.0930406121182843</v>
      </c>
      <c r="B3328" s="27">
        <v>0</v>
      </c>
      <c r="C3328" s="27">
        <v>6.8</v>
      </c>
      <c r="E3328" s="18"/>
    </row>
    <row r="3329" spans="1:5" ht="16.5" thickTop="1" thickBot="1" x14ac:dyDescent="0.3">
      <c r="A3329" s="28">
        <v>0.57866948255339512</v>
      </c>
      <c r="B3329" s="27">
        <v>0</v>
      </c>
      <c r="C3329" s="27">
        <v>6.8</v>
      </c>
      <c r="E3329" s="18"/>
    </row>
    <row r="3330" spans="1:5" ht="16.5" thickTop="1" thickBot="1" x14ac:dyDescent="0.3">
      <c r="A3330" s="28">
        <v>5.1483802063985049</v>
      </c>
      <c r="B3330" s="27">
        <v>0</v>
      </c>
      <c r="C3330" s="27">
        <v>6.8</v>
      </c>
      <c r="E3330" s="18"/>
    </row>
    <row r="3331" spans="1:5" ht="16.5" thickTop="1" thickBot="1" x14ac:dyDescent="0.3">
      <c r="A3331" s="28">
        <v>8.0852285587244417</v>
      </c>
      <c r="B3331" s="27">
        <v>0</v>
      </c>
      <c r="C3331" s="27">
        <v>6.8</v>
      </c>
      <c r="E3331" s="18"/>
    </row>
    <row r="3332" spans="1:5" ht="16.5" thickTop="1" thickBot="1" x14ac:dyDescent="0.3">
      <c r="A3332" s="28">
        <v>3.9934968672414897</v>
      </c>
      <c r="B3332" s="27">
        <v>0</v>
      </c>
      <c r="C3332" s="27">
        <v>6.8</v>
      </c>
      <c r="E3332" s="18"/>
    </row>
    <row r="3333" spans="1:5" ht="16.5" thickTop="1" thickBot="1" x14ac:dyDescent="0.3">
      <c r="A3333" s="28">
        <v>1.5418772522489386</v>
      </c>
      <c r="B3333" s="27">
        <v>0</v>
      </c>
      <c r="C3333" s="27">
        <v>9.6999999999999993</v>
      </c>
      <c r="E3333" s="18"/>
    </row>
    <row r="3334" spans="1:5" ht="16.5" thickTop="1" thickBot="1" x14ac:dyDescent="0.3">
      <c r="A3334" s="28">
        <v>2.3508666103573752</v>
      </c>
      <c r="B3334" s="27">
        <v>0</v>
      </c>
      <c r="C3334" s="27">
        <v>9.6999999999999993</v>
      </c>
      <c r="E3334" s="18"/>
    </row>
    <row r="3335" spans="1:5" ht="16.5" thickTop="1" thickBot="1" x14ac:dyDescent="0.3">
      <c r="A3335" s="28">
        <v>3.0982733403142575</v>
      </c>
      <c r="B3335" s="27">
        <v>0</v>
      </c>
      <c r="C3335" s="27">
        <v>9.6999999999999993</v>
      </c>
      <c r="E3335" s="18"/>
    </row>
    <row r="3336" spans="1:5" ht="16.5" thickTop="1" thickBot="1" x14ac:dyDescent="0.3">
      <c r="A3336" s="28">
        <v>6.6794143835831106</v>
      </c>
      <c r="B3336" s="27">
        <v>0</v>
      </c>
      <c r="C3336" s="27">
        <v>9.6999999999999993</v>
      </c>
      <c r="E3336" s="18"/>
    </row>
    <row r="3337" spans="1:5" ht="16.5" thickTop="1" thickBot="1" x14ac:dyDescent="0.3">
      <c r="A3337" s="28">
        <v>0.94193082245399262</v>
      </c>
      <c r="B3337" s="27">
        <v>0</v>
      </c>
      <c r="C3337" s="27">
        <v>9.6999999999999993</v>
      </c>
      <c r="E3337" s="18"/>
    </row>
    <row r="3338" spans="1:5" ht="16.5" thickTop="1" thickBot="1" x14ac:dyDescent="0.3">
      <c r="A3338" s="28">
        <v>6.3732373561637621</v>
      </c>
      <c r="B3338" s="27">
        <v>0</v>
      </c>
      <c r="C3338" s="27">
        <v>9.6999999999999993</v>
      </c>
      <c r="E3338" s="18"/>
    </row>
    <row r="3339" spans="1:5" ht="16.5" thickTop="1" thickBot="1" x14ac:dyDescent="0.3">
      <c r="A3339" s="28">
        <v>5.7734948426403543</v>
      </c>
      <c r="B3339" s="27">
        <v>0</v>
      </c>
      <c r="C3339" s="27">
        <v>9.6999999999999993</v>
      </c>
      <c r="E3339" s="18"/>
    </row>
    <row r="3340" spans="1:5" ht="16.5" thickTop="1" thickBot="1" x14ac:dyDescent="0.3">
      <c r="A3340" s="28">
        <v>1.1729240866435771</v>
      </c>
      <c r="B3340" s="27">
        <v>0</v>
      </c>
      <c r="C3340" s="27">
        <v>9.6999999999999993</v>
      </c>
      <c r="E3340" s="18"/>
    </row>
    <row r="3341" spans="1:5" ht="16.5" thickTop="1" thickBot="1" x14ac:dyDescent="0.3">
      <c r="A3341" s="28">
        <v>8.1728232439884057</v>
      </c>
      <c r="B3341" s="27">
        <v>0</v>
      </c>
      <c r="C3341" s="27">
        <v>9.6999999999999993</v>
      </c>
      <c r="E3341" s="18"/>
    </row>
    <row r="3342" spans="1:5" ht="16.5" thickTop="1" thickBot="1" x14ac:dyDescent="0.3">
      <c r="A3342" s="28">
        <v>6.8395530797990798</v>
      </c>
      <c r="B3342" s="27">
        <v>0</v>
      </c>
      <c r="C3342" s="27">
        <v>9.6999999999999993</v>
      </c>
      <c r="E3342" s="18"/>
    </row>
    <row r="3343" spans="1:5" ht="16.5" thickTop="1" thickBot="1" x14ac:dyDescent="0.3">
      <c r="A3343" s="28">
        <v>8.7561042237199214</v>
      </c>
      <c r="B3343" s="27">
        <v>0</v>
      </c>
      <c r="C3343" s="27">
        <v>9.6999999999999993</v>
      </c>
      <c r="E3343" s="18"/>
    </row>
    <row r="3344" spans="1:5" ht="16.5" thickTop="1" thickBot="1" x14ac:dyDescent="0.3">
      <c r="A3344" s="28">
        <v>5.5151978956229994</v>
      </c>
      <c r="B3344" s="27">
        <v>0</v>
      </c>
      <c r="C3344" s="27">
        <v>9.6999999999999993</v>
      </c>
      <c r="E3344" s="18"/>
    </row>
    <row r="3345" spans="1:5" ht="16.5" thickTop="1" thickBot="1" x14ac:dyDescent="0.3">
      <c r="A3345" s="28">
        <v>1.9586036075444833</v>
      </c>
      <c r="B3345" s="27">
        <v>0</v>
      </c>
      <c r="C3345" s="27">
        <v>9.6999999999999993</v>
      </c>
      <c r="E3345" s="18"/>
    </row>
    <row r="3346" spans="1:5" ht="16.5" thickTop="1" thickBot="1" x14ac:dyDescent="0.3">
      <c r="A3346" s="28">
        <v>4.461632428756471</v>
      </c>
      <c r="B3346" s="27">
        <v>0</v>
      </c>
      <c r="C3346" s="27">
        <v>9.6999999999999993</v>
      </c>
      <c r="E3346" s="18"/>
    </row>
    <row r="3347" spans="1:5" ht="16.5" thickTop="1" thickBot="1" x14ac:dyDescent="0.3">
      <c r="A3347" s="28">
        <v>4.0140526419441898</v>
      </c>
      <c r="B3347" s="27">
        <v>0</v>
      </c>
      <c r="C3347" s="27">
        <v>9.6999999999999993</v>
      </c>
      <c r="E3347" s="18"/>
    </row>
    <row r="3348" spans="1:5" ht="16.5" thickTop="1" thickBot="1" x14ac:dyDescent="0.3">
      <c r="A3348" s="28">
        <v>2.6669546062823501</v>
      </c>
      <c r="B3348" s="27">
        <v>0</v>
      </c>
      <c r="C3348" s="27">
        <v>9.6999999999999993</v>
      </c>
      <c r="E3348" s="18"/>
    </row>
    <row r="3349" spans="1:5" ht="16.5" thickTop="1" thickBot="1" x14ac:dyDescent="0.3">
      <c r="A3349" s="28">
        <v>5.4339133797720969</v>
      </c>
      <c r="B3349" s="27">
        <v>0</v>
      </c>
      <c r="C3349" s="27">
        <v>13.8</v>
      </c>
      <c r="E3349" s="18"/>
    </row>
    <row r="3350" spans="1:5" ht="16.5" thickTop="1" thickBot="1" x14ac:dyDescent="0.3">
      <c r="A3350" s="28">
        <v>6.5591756584390524</v>
      </c>
      <c r="B3350" s="27">
        <v>0</v>
      </c>
      <c r="C3350" s="27">
        <v>13.8</v>
      </c>
      <c r="E3350" s="18"/>
    </row>
    <row r="3351" spans="1:5" ht="16.5" thickTop="1" thickBot="1" x14ac:dyDescent="0.3">
      <c r="A3351" s="28">
        <v>9.2001209806601949</v>
      </c>
      <c r="B3351" s="27">
        <v>0</v>
      </c>
      <c r="C3351" s="27">
        <v>13.8</v>
      </c>
      <c r="E3351" s="18"/>
    </row>
    <row r="3352" spans="1:5" ht="16.5" thickTop="1" thickBot="1" x14ac:dyDescent="0.3">
      <c r="A3352" s="28">
        <v>1.1568852793246611</v>
      </c>
      <c r="B3352" s="27">
        <v>0</v>
      </c>
      <c r="C3352" s="27">
        <v>13.8</v>
      </c>
      <c r="E3352" s="18"/>
    </row>
    <row r="3353" spans="1:5" ht="16.5" thickTop="1" thickBot="1" x14ac:dyDescent="0.3">
      <c r="A3353" s="28">
        <v>0.14438603806743666</v>
      </c>
      <c r="B3353" s="27">
        <v>0</v>
      </c>
      <c r="C3353" s="27">
        <v>13.8</v>
      </c>
      <c r="E3353" s="18"/>
    </row>
    <row r="3354" spans="1:5" ht="16.5" thickTop="1" thickBot="1" x14ac:dyDescent="0.3">
      <c r="A3354" s="28">
        <v>0.11493079601825629</v>
      </c>
      <c r="B3354" s="27">
        <v>0</v>
      </c>
      <c r="C3354" s="27">
        <v>13.8</v>
      </c>
      <c r="E3354" s="18"/>
    </row>
    <row r="3355" spans="1:5" ht="16.5" thickTop="1" thickBot="1" x14ac:dyDescent="0.3">
      <c r="A3355" s="28">
        <v>11.850416156952903</v>
      </c>
      <c r="B3355" s="27">
        <v>0</v>
      </c>
      <c r="C3355" s="27">
        <v>13.8</v>
      </c>
      <c r="E3355" s="18"/>
    </row>
    <row r="3356" spans="1:5" ht="16.5" thickTop="1" thickBot="1" x14ac:dyDescent="0.3">
      <c r="A3356" s="28">
        <v>3.8875649891858917</v>
      </c>
      <c r="B3356" s="27">
        <v>0</v>
      </c>
      <c r="C3356" s="27">
        <v>13.8</v>
      </c>
      <c r="E3356" s="18"/>
    </row>
    <row r="3357" spans="1:5" ht="16.5" thickTop="1" thickBot="1" x14ac:dyDescent="0.3">
      <c r="A3357" s="28">
        <v>5.090769902526457</v>
      </c>
      <c r="B3357" s="27">
        <v>0</v>
      </c>
      <c r="C3357" s="27">
        <v>13.8</v>
      </c>
      <c r="E3357" s="18"/>
    </row>
    <row r="3358" spans="1:5" ht="16.5" thickTop="1" thickBot="1" x14ac:dyDescent="0.3">
      <c r="A3358" s="28">
        <v>6.4947819430690998</v>
      </c>
      <c r="B3358" s="27">
        <v>0</v>
      </c>
      <c r="C3358" s="27">
        <v>13.8</v>
      </c>
      <c r="E3358" s="18"/>
    </row>
    <row r="3359" spans="1:5" ht="16.5" thickTop="1" thickBot="1" x14ac:dyDescent="0.3">
      <c r="A3359" s="28">
        <v>6.6718112829540672</v>
      </c>
      <c r="B3359" s="27">
        <v>0</v>
      </c>
      <c r="C3359" s="27">
        <v>13.8</v>
      </c>
      <c r="E3359" s="18"/>
    </row>
    <row r="3360" spans="1:5" ht="16.5" thickTop="1" thickBot="1" x14ac:dyDescent="0.3">
      <c r="A3360" s="28">
        <v>1.9917499428878449</v>
      </c>
      <c r="B3360" s="27">
        <v>0</v>
      </c>
      <c r="C3360" s="27">
        <v>13.8</v>
      </c>
      <c r="E3360" s="18"/>
    </row>
    <row r="3361" spans="1:5" ht="16.5" thickTop="1" thickBot="1" x14ac:dyDescent="0.3">
      <c r="A3361" s="28">
        <v>2.495446013112729</v>
      </c>
      <c r="B3361" s="27">
        <v>0</v>
      </c>
      <c r="C3361" s="27">
        <v>13.8</v>
      </c>
      <c r="E3361" s="18"/>
    </row>
    <row r="3362" spans="1:5" ht="16.5" thickTop="1" thickBot="1" x14ac:dyDescent="0.3">
      <c r="A3362" s="28">
        <v>1.5977073666824666</v>
      </c>
      <c r="B3362" s="27">
        <v>0</v>
      </c>
      <c r="C3362" s="27">
        <v>13.8</v>
      </c>
      <c r="E3362" s="18"/>
    </row>
    <row r="3363" spans="1:5" ht="16.5" thickTop="1" thickBot="1" x14ac:dyDescent="0.3">
      <c r="A3363" s="28">
        <v>8.4672150794550092</v>
      </c>
      <c r="B3363" s="27">
        <v>0</v>
      </c>
      <c r="C3363" s="27">
        <v>13.8</v>
      </c>
      <c r="E3363" s="18"/>
    </row>
    <row r="3364" spans="1:5" ht="16.5" thickTop="1" thickBot="1" x14ac:dyDescent="0.3">
      <c r="A3364" s="28">
        <v>3.4999432859903008</v>
      </c>
      <c r="B3364" s="27">
        <v>0</v>
      </c>
      <c r="C3364" s="27">
        <v>13.8</v>
      </c>
      <c r="E3364" s="18"/>
    </row>
    <row r="3365" spans="1:5" ht="16.5" thickTop="1" thickBot="1" x14ac:dyDescent="0.3">
      <c r="A3365" s="28">
        <v>3.7243232108605038</v>
      </c>
      <c r="B3365" s="27">
        <v>0</v>
      </c>
      <c r="C3365" s="27">
        <v>15.5</v>
      </c>
      <c r="E3365" s="18"/>
    </row>
    <row r="3366" spans="1:5" ht="16.5" thickTop="1" thickBot="1" x14ac:dyDescent="0.3">
      <c r="A3366" s="28">
        <v>3.7198372106998066</v>
      </c>
      <c r="B3366" s="27">
        <v>0</v>
      </c>
      <c r="C3366" s="27">
        <v>15.5</v>
      </c>
      <c r="E3366" s="18"/>
    </row>
    <row r="3367" spans="1:5" ht="16.5" thickTop="1" thickBot="1" x14ac:dyDescent="0.3">
      <c r="A3367" s="28">
        <v>4.1629243890846759</v>
      </c>
      <c r="B3367" s="27">
        <v>0</v>
      </c>
      <c r="C3367" s="27">
        <v>15.5</v>
      </c>
      <c r="E3367" s="18"/>
    </row>
    <row r="3368" spans="1:5" ht="16.5" thickTop="1" thickBot="1" x14ac:dyDescent="0.3">
      <c r="A3368" s="28">
        <v>3.1596501529686774</v>
      </c>
      <c r="B3368" s="27">
        <v>0</v>
      </c>
      <c r="C3368" s="27">
        <v>15.5</v>
      </c>
      <c r="E3368" s="18"/>
    </row>
    <row r="3369" spans="1:5" ht="16.5" thickTop="1" thickBot="1" x14ac:dyDescent="0.3">
      <c r="A3369" s="28">
        <v>8.0455394788817625</v>
      </c>
      <c r="B3369" s="27">
        <v>0</v>
      </c>
      <c r="C3369" s="27">
        <v>15.5</v>
      </c>
      <c r="E3369" s="18"/>
    </row>
    <row r="3370" spans="1:5" ht="16.5" thickTop="1" thickBot="1" x14ac:dyDescent="0.3">
      <c r="A3370" s="28">
        <v>1.6566694089555121</v>
      </c>
      <c r="B3370" s="27">
        <v>0</v>
      </c>
      <c r="C3370" s="27">
        <v>15.5</v>
      </c>
      <c r="E3370" s="18"/>
    </row>
    <row r="3371" spans="1:5" ht="16.5" thickTop="1" thickBot="1" x14ac:dyDescent="0.3">
      <c r="A3371" s="28">
        <v>10.664577279631875</v>
      </c>
      <c r="B3371" s="27">
        <v>0</v>
      </c>
      <c r="C3371" s="27">
        <v>15.5</v>
      </c>
      <c r="E3371" s="18"/>
    </row>
    <row r="3372" spans="1:5" ht="16.5" thickTop="1" thickBot="1" x14ac:dyDescent="0.3">
      <c r="A3372" s="28">
        <v>2.8143125144652616</v>
      </c>
      <c r="B3372" s="27">
        <v>0</v>
      </c>
      <c r="C3372" s="27">
        <v>15.5</v>
      </c>
      <c r="E3372" s="18"/>
    </row>
    <row r="3373" spans="1:5" ht="16.5" thickTop="1" thickBot="1" x14ac:dyDescent="0.3">
      <c r="A3373" s="28">
        <v>3.8484378848105552</v>
      </c>
      <c r="B3373" s="27">
        <v>0</v>
      </c>
      <c r="C3373" s="27">
        <v>15.5</v>
      </c>
      <c r="E3373" s="18"/>
    </row>
    <row r="3374" spans="1:5" ht="16.5" thickTop="1" thickBot="1" x14ac:dyDescent="0.3">
      <c r="A3374" s="28">
        <v>6.7679002121976133</v>
      </c>
      <c r="B3374" s="27">
        <v>0</v>
      </c>
      <c r="C3374" s="27">
        <v>15.5</v>
      </c>
      <c r="E3374" s="18"/>
    </row>
    <row r="3375" spans="1:5" ht="16.5" thickTop="1" thickBot="1" x14ac:dyDescent="0.3">
      <c r="A3375" s="28">
        <v>4.1815904391939753</v>
      </c>
      <c r="B3375" s="27">
        <v>0</v>
      </c>
      <c r="C3375" s="27">
        <v>15.5</v>
      </c>
      <c r="E3375" s="18"/>
    </row>
    <row r="3376" spans="1:5" ht="16.5" thickTop="1" thickBot="1" x14ac:dyDescent="0.3">
      <c r="A3376" s="28">
        <v>1.5251634431387933</v>
      </c>
      <c r="B3376" s="27">
        <v>0</v>
      </c>
      <c r="C3376" s="27">
        <v>15.5</v>
      </c>
      <c r="E3376" s="18"/>
    </row>
    <row r="3377" spans="1:5" ht="16.5" thickTop="1" thickBot="1" x14ac:dyDescent="0.3">
      <c r="A3377" s="28">
        <v>10.353042292538179</v>
      </c>
      <c r="B3377" s="27">
        <v>0</v>
      </c>
      <c r="C3377" s="27">
        <v>15.5</v>
      </c>
      <c r="E3377" s="18"/>
    </row>
    <row r="3378" spans="1:5" ht="16.5" thickTop="1" thickBot="1" x14ac:dyDescent="0.3">
      <c r="A3378" s="28">
        <v>0.77160102128757091</v>
      </c>
      <c r="B3378" s="27">
        <v>0</v>
      </c>
      <c r="C3378" s="27">
        <v>15.5</v>
      </c>
      <c r="E3378" s="18"/>
    </row>
    <row r="3379" spans="1:5" ht="16.5" thickTop="1" thickBot="1" x14ac:dyDescent="0.3">
      <c r="A3379" s="28">
        <v>8.230834908013243</v>
      </c>
      <c r="B3379" s="27">
        <v>0</v>
      </c>
      <c r="C3379" s="27">
        <v>15.5</v>
      </c>
      <c r="E3379" s="18"/>
    </row>
    <row r="3380" spans="1:5" ht="16.5" thickTop="1" thickBot="1" x14ac:dyDescent="0.3">
      <c r="A3380" s="28">
        <v>1.7349042227453515</v>
      </c>
      <c r="B3380" s="27">
        <v>0</v>
      </c>
      <c r="C3380" s="27">
        <v>6.8</v>
      </c>
      <c r="E3380" s="18"/>
    </row>
    <row r="3381" spans="1:5" ht="16.5" thickTop="1" thickBot="1" x14ac:dyDescent="0.3">
      <c r="A3381" s="28">
        <v>3.9489959942347133</v>
      </c>
      <c r="B3381" s="27">
        <v>0</v>
      </c>
      <c r="C3381" s="27">
        <v>6.8</v>
      </c>
      <c r="E3381" s="18"/>
    </row>
    <row r="3382" spans="1:5" ht="16.5" thickTop="1" thickBot="1" x14ac:dyDescent="0.3">
      <c r="A3382" s="28">
        <v>4.5024114628053749</v>
      </c>
      <c r="B3382" s="27">
        <v>0</v>
      </c>
      <c r="C3382" s="27">
        <v>6.8</v>
      </c>
      <c r="E3382" s="18"/>
    </row>
    <row r="3383" spans="1:5" ht="16.5" thickTop="1" thickBot="1" x14ac:dyDescent="0.3">
      <c r="A3383" s="28">
        <v>9.7273682087211952</v>
      </c>
      <c r="B3383" s="27">
        <v>0</v>
      </c>
      <c r="C3383" s="27">
        <v>6.8</v>
      </c>
      <c r="E3383" s="18"/>
    </row>
    <row r="3384" spans="1:5" ht="16.5" thickTop="1" thickBot="1" x14ac:dyDescent="0.3">
      <c r="A3384" s="28">
        <v>3.5459238323347759</v>
      </c>
      <c r="B3384" s="27">
        <v>0</v>
      </c>
      <c r="C3384" s="27">
        <v>6.8</v>
      </c>
      <c r="E3384" s="18"/>
    </row>
    <row r="3385" spans="1:5" ht="16.5" thickTop="1" thickBot="1" x14ac:dyDescent="0.3">
      <c r="A3385" s="28">
        <v>3.9044095438959259</v>
      </c>
      <c r="B3385" s="27">
        <v>0</v>
      </c>
      <c r="C3385" s="27">
        <v>6.8</v>
      </c>
      <c r="E3385" s="18"/>
    </row>
    <row r="3386" spans="1:5" ht="16.5" thickTop="1" thickBot="1" x14ac:dyDescent="0.3">
      <c r="A3386" s="28">
        <v>3.8203936169639241</v>
      </c>
      <c r="B3386" s="27">
        <v>0</v>
      </c>
      <c r="C3386" s="27">
        <v>6.8</v>
      </c>
      <c r="E3386" s="18"/>
    </row>
    <row r="3387" spans="1:5" ht="16.5" thickTop="1" thickBot="1" x14ac:dyDescent="0.3">
      <c r="A3387" s="28">
        <v>8.6984963057886979</v>
      </c>
      <c r="B3387" s="27">
        <v>0</v>
      </c>
      <c r="C3387" s="27">
        <v>6.8</v>
      </c>
      <c r="E3387" s="18"/>
    </row>
    <row r="3388" spans="1:5" ht="16.5" thickTop="1" thickBot="1" x14ac:dyDescent="0.3">
      <c r="A3388" s="28">
        <v>8.9423958932871028E-2</v>
      </c>
      <c r="B3388" s="27">
        <v>0</v>
      </c>
      <c r="C3388" s="27">
        <v>6.8</v>
      </c>
      <c r="E3388" s="18"/>
    </row>
    <row r="3389" spans="1:5" ht="16.5" thickTop="1" thickBot="1" x14ac:dyDescent="0.3">
      <c r="A3389" s="28">
        <v>4.0726492838544859</v>
      </c>
      <c r="B3389" s="27">
        <v>0</v>
      </c>
      <c r="C3389" s="27">
        <v>6.8</v>
      </c>
      <c r="E3389" s="18"/>
    </row>
    <row r="3390" spans="1:5" ht="16.5" thickTop="1" thickBot="1" x14ac:dyDescent="0.3">
      <c r="A3390" s="28">
        <v>5.046021750693142</v>
      </c>
      <c r="B3390" s="27">
        <v>0</v>
      </c>
      <c r="C3390" s="27">
        <v>6.8</v>
      </c>
      <c r="E3390" s="18"/>
    </row>
    <row r="3391" spans="1:5" ht="16.5" thickTop="1" thickBot="1" x14ac:dyDescent="0.3">
      <c r="A3391" s="28">
        <v>3.2718464213665528</v>
      </c>
      <c r="B3391" s="27">
        <v>0</v>
      </c>
      <c r="C3391" s="27">
        <v>6.8</v>
      </c>
      <c r="E3391" s="18"/>
    </row>
    <row r="3392" spans="1:5" ht="16.5" thickTop="1" thickBot="1" x14ac:dyDescent="0.3">
      <c r="A3392" s="28">
        <v>3.0640936297208929</v>
      </c>
      <c r="B3392" s="27">
        <v>0</v>
      </c>
      <c r="C3392" s="27">
        <v>6.8</v>
      </c>
      <c r="E3392" s="18"/>
    </row>
    <row r="3393" spans="1:5" ht="16.5" thickTop="1" thickBot="1" x14ac:dyDescent="0.3">
      <c r="A3393" s="28">
        <v>1.5012504591866915</v>
      </c>
      <c r="B3393" s="27">
        <v>0</v>
      </c>
      <c r="C3393" s="27">
        <v>6.8</v>
      </c>
      <c r="E3393" s="18"/>
    </row>
    <row r="3394" spans="1:5" ht="16.5" thickTop="1" thickBot="1" x14ac:dyDescent="0.3">
      <c r="A3394" s="28">
        <v>2.1852743884061256</v>
      </c>
      <c r="B3394" s="27">
        <v>0</v>
      </c>
      <c r="C3394" s="27">
        <v>6.8</v>
      </c>
      <c r="E3394" s="18"/>
    </row>
    <row r="3395" spans="1:5" ht="16.5" thickTop="1" thickBot="1" x14ac:dyDescent="0.3">
      <c r="A3395" s="28">
        <v>7.4423632283327699</v>
      </c>
      <c r="B3395" s="27">
        <v>0</v>
      </c>
      <c r="C3395" s="27">
        <v>6.8</v>
      </c>
      <c r="E3395" s="18"/>
    </row>
    <row r="3396" spans="1:5" ht="16.5" thickTop="1" thickBot="1" x14ac:dyDescent="0.3">
      <c r="A3396" s="28">
        <v>1.039269512075303</v>
      </c>
      <c r="B3396" s="27">
        <v>0</v>
      </c>
      <c r="C3396" s="27">
        <v>13.8</v>
      </c>
      <c r="E3396" s="18"/>
    </row>
    <row r="3397" spans="1:5" ht="16.5" thickTop="1" thickBot="1" x14ac:dyDescent="0.3">
      <c r="A3397" s="28">
        <v>6.0970234311518876</v>
      </c>
      <c r="B3397" s="27">
        <v>0</v>
      </c>
      <c r="C3397" s="27">
        <v>13.8</v>
      </c>
      <c r="E3397" s="18"/>
    </row>
    <row r="3398" spans="1:5" ht="16.5" thickTop="1" thickBot="1" x14ac:dyDescent="0.3">
      <c r="A3398" s="28">
        <v>1.8096529979000611</v>
      </c>
      <c r="B3398" s="27">
        <v>0</v>
      </c>
      <c r="C3398" s="27">
        <v>13.8</v>
      </c>
      <c r="E3398" s="18"/>
    </row>
    <row r="3399" spans="1:5" ht="16.5" thickTop="1" thickBot="1" x14ac:dyDescent="0.3">
      <c r="A3399" s="28">
        <v>9.5842499528991532</v>
      </c>
      <c r="B3399" s="27">
        <v>0</v>
      </c>
      <c r="C3399" s="27">
        <v>13.8</v>
      </c>
      <c r="E3399" s="18"/>
    </row>
    <row r="3400" spans="1:5" ht="16.5" thickTop="1" thickBot="1" x14ac:dyDescent="0.3">
      <c r="A3400" s="28">
        <v>1.1782685467961533</v>
      </c>
      <c r="B3400" s="27">
        <v>0</v>
      </c>
      <c r="C3400" s="27">
        <v>13.8</v>
      </c>
      <c r="E3400" s="18"/>
    </row>
    <row r="3401" spans="1:5" ht="16.5" thickTop="1" thickBot="1" x14ac:dyDescent="0.3">
      <c r="A3401" s="28">
        <v>8.5258451959917743</v>
      </c>
      <c r="B3401" s="27">
        <v>0</v>
      </c>
      <c r="C3401" s="27">
        <v>13.8</v>
      </c>
      <c r="E3401" s="18"/>
    </row>
    <row r="3402" spans="1:5" ht="16.5" thickTop="1" thickBot="1" x14ac:dyDescent="0.3">
      <c r="A3402" s="28">
        <v>1.4753615157016782</v>
      </c>
      <c r="B3402" s="27">
        <v>0</v>
      </c>
      <c r="C3402" s="27">
        <v>13.8</v>
      </c>
      <c r="E3402" s="18"/>
    </row>
    <row r="3403" spans="1:5" ht="16.5" thickTop="1" thickBot="1" x14ac:dyDescent="0.3">
      <c r="A3403" s="28">
        <v>2.4121319769530962</v>
      </c>
      <c r="B3403" s="27">
        <v>0</v>
      </c>
      <c r="C3403" s="27">
        <v>13.8</v>
      </c>
      <c r="E3403" s="18"/>
    </row>
    <row r="3404" spans="1:5" ht="16.5" thickTop="1" thickBot="1" x14ac:dyDescent="0.3">
      <c r="A3404" s="28">
        <v>3.5903271184507268</v>
      </c>
      <c r="B3404" s="27">
        <v>0</v>
      </c>
      <c r="C3404" s="27">
        <v>13.8</v>
      </c>
      <c r="E3404" s="18"/>
    </row>
    <row r="3405" spans="1:5" ht="16.5" thickTop="1" thickBot="1" x14ac:dyDescent="0.3">
      <c r="A3405" s="28">
        <v>3.5152815750884328</v>
      </c>
      <c r="B3405" s="27">
        <v>0</v>
      </c>
      <c r="C3405" s="27">
        <v>13.8</v>
      </c>
      <c r="E3405" s="18"/>
    </row>
    <row r="3406" spans="1:5" ht="16.5" thickTop="1" thickBot="1" x14ac:dyDescent="0.3">
      <c r="A3406" s="28">
        <v>2.4748540570275086</v>
      </c>
      <c r="B3406" s="27">
        <v>0</v>
      </c>
      <c r="C3406" s="27">
        <v>13.8</v>
      </c>
      <c r="E3406" s="18"/>
    </row>
    <row r="3407" spans="1:5" ht="16.5" thickTop="1" thickBot="1" x14ac:dyDescent="0.3">
      <c r="A3407" s="28">
        <v>11.159379556100488</v>
      </c>
      <c r="B3407" s="27">
        <v>0</v>
      </c>
      <c r="C3407" s="27">
        <v>13.8</v>
      </c>
      <c r="E3407" s="18"/>
    </row>
    <row r="3408" spans="1:5" ht="16.5" thickTop="1" thickBot="1" x14ac:dyDescent="0.3">
      <c r="A3408" s="28">
        <v>2.3407672259000769</v>
      </c>
      <c r="B3408" s="27">
        <v>0</v>
      </c>
      <c r="C3408" s="27">
        <v>13.8</v>
      </c>
      <c r="E3408" s="18"/>
    </row>
    <row r="3409" spans="1:5" ht="16.5" thickTop="1" thickBot="1" x14ac:dyDescent="0.3">
      <c r="A3409" s="28">
        <v>5.6604385408234368</v>
      </c>
      <c r="B3409" s="27">
        <v>0</v>
      </c>
      <c r="C3409" s="27">
        <v>13.8</v>
      </c>
      <c r="E3409" s="18"/>
    </row>
    <row r="3410" spans="1:5" ht="16.5" thickTop="1" thickBot="1" x14ac:dyDescent="0.3">
      <c r="A3410" s="28">
        <v>2.1192942793594738</v>
      </c>
      <c r="B3410" s="27">
        <v>0</v>
      </c>
      <c r="C3410" s="27">
        <v>13.8</v>
      </c>
      <c r="E3410" s="18"/>
    </row>
    <row r="3411" spans="1:5" ht="16.5" thickTop="1" thickBot="1" x14ac:dyDescent="0.3">
      <c r="A3411" s="28">
        <v>6.6187846487758772E-2</v>
      </c>
      <c r="B3411" s="27">
        <v>0</v>
      </c>
      <c r="C3411" s="27">
        <v>13.8</v>
      </c>
      <c r="E3411" s="18"/>
    </row>
    <row r="3412" spans="1:5" ht="16.5" thickTop="1" thickBot="1" x14ac:dyDescent="0.3">
      <c r="A3412" s="28">
        <v>4.0356224727033236</v>
      </c>
      <c r="B3412" s="27">
        <v>0</v>
      </c>
      <c r="C3412" s="27">
        <v>18.399999999999999</v>
      </c>
      <c r="E3412" s="18"/>
    </row>
    <row r="3413" spans="1:5" ht="16.5" thickTop="1" thickBot="1" x14ac:dyDescent="0.3">
      <c r="A3413" s="28">
        <v>8.5649461108921905</v>
      </c>
      <c r="B3413" s="27">
        <v>0</v>
      </c>
      <c r="C3413" s="27">
        <v>18.399999999999999</v>
      </c>
      <c r="E3413" s="18"/>
    </row>
    <row r="3414" spans="1:5" ht="16.5" thickTop="1" thickBot="1" x14ac:dyDescent="0.3">
      <c r="A3414" s="28">
        <v>5.9980106993808109</v>
      </c>
      <c r="B3414" s="27">
        <v>0</v>
      </c>
      <c r="C3414" s="27">
        <v>18.399999999999999</v>
      </c>
      <c r="E3414" s="18"/>
    </row>
    <row r="3415" spans="1:5" ht="16.5" thickTop="1" thickBot="1" x14ac:dyDescent="0.3">
      <c r="A3415" s="28">
        <v>8.8577734126277115</v>
      </c>
      <c r="B3415" s="27">
        <v>0</v>
      </c>
      <c r="C3415" s="27">
        <v>18.399999999999999</v>
      </c>
      <c r="E3415" s="18"/>
    </row>
    <row r="3416" spans="1:5" ht="16.5" thickTop="1" thickBot="1" x14ac:dyDescent="0.3">
      <c r="A3416" s="28">
        <v>3.7899133564312293E-2</v>
      </c>
      <c r="B3416" s="27">
        <v>0</v>
      </c>
      <c r="C3416" s="27">
        <v>18.399999999999999</v>
      </c>
      <c r="E3416" s="18"/>
    </row>
    <row r="3417" spans="1:5" ht="16.5" thickTop="1" thickBot="1" x14ac:dyDescent="0.3">
      <c r="A3417" s="28">
        <v>8.4686732534560285</v>
      </c>
      <c r="B3417" s="27">
        <v>0</v>
      </c>
      <c r="C3417" s="27">
        <v>18.399999999999999</v>
      </c>
      <c r="E3417" s="18"/>
    </row>
    <row r="3418" spans="1:5" ht="16.5" thickTop="1" thickBot="1" x14ac:dyDescent="0.3">
      <c r="A3418" s="28">
        <v>1.5983258588787701</v>
      </c>
      <c r="B3418" s="27">
        <v>0</v>
      </c>
      <c r="C3418" s="27">
        <v>18.399999999999999</v>
      </c>
      <c r="E3418" s="18"/>
    </row>
    <row r="3419" spans="1:5" ht="16.5" thickTop="1" thickBot="1" x14ac:dyDescent="0.3">
      <c r="A3419" s="28">
        <v>6.0254583552450782</v>
      </c>
      <c r="B3419" s="27">
        <v>0</v>
      </c>
      <c r="C3419" s="27">
        <v>18.399999999999999</v>
      </c>
      <c r="E3419" s="18"/>
    </row>
    <row r="3420" spans="1:5" ht="16.5" thickTop="1" thickBot="1" x14ac:dyDescent="0.3">
      <c r="A3420" s="28">
        <v>6.1381622289204545</v>
      </c>
      <c r="B3420" s="27">
        <v>0</v>
      </c>
      <c r="C3420" s="27">
        <v>18.399999999999999</v>
      </c>
      <c r="E3420" s="18"/>
    </row>
    <row r="3421" spans="1:5" ht="16.5" thickTop="1" thickBot="1" x14ac:dyDescent="0.3">
      <c r="A3421" s="28">
        <v>8.5733411299568587</v>
      </c>
      <c r="B3421" s="27">
        <v>0</v>
      </c>
      <c r="C3421" s="27">
        <v>18.399999999999999</v>
      </c>
      <c r="E3421" s="18"/>
    </row>
    <row r="3422" spans="1:5" ht="16.5" thickTop="1" thickBot="1" x14ac:dyDescent="0.3">
      <c r="A3422" s="28">
        <v>2.2287880009628873</v>
      </c>
      <c r="B3422" s="27">
        <v>0</v>
      </c>
      <c r="C3422" s="27">
        <v>18.399999999999999</v>
      </c>
      <c r="E3422" s="18"/>
    </row>
    <row r="3423" spans="1:5" ht="16.5" thickTop="1" thickBot="1" x14ac:dyDescent="0.3">
      <c r="A3423" s="28">
        <v>2.1116126973567506</v>
      </c>
      <c r="B3423" s="27">
        <v>0</v>
      </c>
      <c r="C3423" s="27">
        <v>18.399999999999999</v>
      </c>
      <c r="E3423" s="18"/>
    </row>
    <row r="3424" spans="1:5" ht="16.5" thickTop="1" thickBot="1" x14ac:dyDescent="0.3">
      <c r="A3424" s="28">
        <v>2.5633803345827837</v>
      </c>
      <c r="B3424" s="27">
        <v>0</v>
      </c>
      <c r="C3424" s="27">
        <v>18.399999999999999</v>
      </c>
      <c r="E3424" s="18"/>
    </row>
    <row r="3425" spans="1:5" ht="16.5" thickTop="1" thickBot="1" x14ac:dyDescent="0.3">
      <c r="A3425" s="28">
        <v>6.7658482450170894</v>
      </c>
      <c r="B3425" s="27">
        <v>0</v>
      </c>
      <c r="C3425" s="27">
        <v>18.399999999999999</v>
      </c>
      <c r="E3425" s="18"/>
    </row>
    <row r="3426" spans="1:5" ht="16.5" thickTop="1" thickBot="1" x14ac:dyDescent="0.3">
      <c r="A3426" s="28">
        <v>4.3649200162631736</v>
      </c>
      <c r="B3426" s="27">
        <v>0</v>
      </c>
      <c r="C3426" s="27">
        <v>18.399999999999999</v>
      </c>
      <c r="E3426" s="18"/>
    </row>
    <row r="3427" spans="1:5" ht="16.5" thickTop="1" thickBot="1" x14ac:dyDescent="0.3">
      <c r="A3427" s="28">
        <v>7.6143896897347805</v>
      </c>
      <c r="B3427" s="27">
        <v>0</v>
      </c>
      <c r="C3427" s="27">
        <v>18.399999999999999</v>
      </c>
      <c r="E3427" s="18"/>
    </row>
    <row r="3428" spans="1:5" ht="16.5" thickTop="1" thickBot="1" x14ac:dyDescent="0.3">
      <c r="A3428" s="28">
        <v>1.7176200618359889</v>
      </c>
      <c r="B3428" s="27">
        <v>0</v>
      </c>
      <c r="C3428" s="27">
        <v>18.399999999999999</v>
      </c>
      <c r="E3428" s="18"/>
    </row>
    <row r="3429" spans="1:5" ht="16.5" thickTop="1" thickBot="1" x14ac:dyDescent="0.3">
      <c r="A3429" s="28">
        <v>5.5844367558469665</v>
      </c>
      <c r="B3429" s="27">
        <v>0</v>
      </c>
      <c r="C3429" s="27">
        <v>12.4</v>
      </c>
      <c r="E3429" s="18"/>
    </row>
    <row r="3430" spans="1:5" ht="16.5" thickTop="1" thickBot="1" x14ac:dyDescent="0.3">
      <c r="A3430" s="28">
        <v>1.6538937757406429</v>
      </c>
      <c r="B3430" s="27">
        <v>0</v>
      </c>
      <c r="C3430" s="27">
        <v>12.4</v>
      </c>
      <c r="E3430" s="18"/>
    </row>
    <row r="3431" spans="1:5" ht="16.5" thickTop="1" thickBot="1" x14ac:dyDescent="0.3">
      <c r="A3431" s="28">
        <v>7.6272561250303674</v>
      </c>
      <c r="B3431" s="27">
        <v>0</v>
      </c>
      <c r="C3431" s="27">
        <v>12.4</v>
      </c>
      <c r="E3431" s="18"/>
    </row>
    <row r="3432" spans="1:5" ht="16.5" thickTop="1" thickBot="1" x14ac:dyDescent="0.3">
      <c r="A3432" s="28">
        <v>1.1890819841430753</v>
      </c>
      <c r="B3432" s="27">
        <v>0</v>
      </c>
      <c r="C3432" s="27">
        <v>12.4</v>
      </c>
      <c r="E3432" s="18"/>
    </row>
    <row r="3433" spans="1:5" ht="16.5" thickTop="1" thickBot="1" x14ac:dyDescent="0.3">
      <c r="A3433" s="28">
        <v>6.8744576148877403</v>
      </c>
      <c r="B3433" s="27">
        <v>0</v>
      </c>
      <c r="C3433" s="27">
        <v>12.4</v>
      </c>
      <c r="E3433" s="18"/>
    </row>
    <row r="3434" spans="1:5" ht="16.5" thickTop="1" thickBot="1" x14ac:dyDescent="0.3">
      <c r="A3434" s="28">
        <v>2.746407102224377</v>
      </c>
      <c r="B3434" s="27">
        <v>0</v>
      </c>
      <c r="C3434" s="27">
        <v>12.4</v>
      </c>
      <c r="E3434" s="18"/>
    </row>
    <row r="3435" spans="1:5" ht="16.5" thickTop="1" thickBot="1" x14ac:dyDescent="0.3">
      <c r="A3435" s="28">
        <v>7.6379035445435681</v>
      </c>
      <c r="B3435" s="27">
        <v>0</v>
      </c>
      <c r="C3435" s="27">
        <v>12.4</v>
      </c>
      <c r="E3435" s="18"/>
    </row>
    <row r="3436" spans="1:5" ht="16.5" thickTop="1" thickBot="1" x14ac:dyDescent="0.3">
      <c r="A3436" s="28">
        <v>5.0155831526177144</v>
      </c>
      <c r="B3436" s="27">
        <v>0</v>
      </c>
      <c r="C3436" s="27">
        <v>12.4</v>
      </c>
      <c r="E3436" s="18"/>
    </row>
    <row r="3437" spans="1:5" ht="16.5" thickTop="1" thickBot="1" x14ac:dyDescent="0.3">
      <c r="A3437" s="28">
        <v>4.961811658580646</v>
      </c>
      <c r="B3437" s="27">
        <v>0</v>
      </c>
      <c r="C3437" s="27">
        <v>12.4</v>
      </c>
      <c r="E3437" s="18"/>
    </row>
    <row r="3438" spans="1:5" ht="16.5" thickTop="1" thickBot="1" x14ac:dyDescent="0.3">
      <c r="A3438" s="28">
        <v>5.6628068497365289</v>
      </c>
      <c r="B3438" s="27">
        <v>0</v>
      </c>
      <c r="C3438" s="27">
        <v>12.4</v>
      </c>
      <c r="E3438" s="18"/>
    </row>
    <row r="3439" spans="1:5" ht="16.5" thickTop="1" thickBot="1" x14ac:dyDescent="0.3">
      <c r="A3439" s="28">
        <v>8.9914179574628612</v>
      </c>
      <c r="B3439" s="27">
        <v>0</v>
      </c>
      <c r="C3439" s="27">
        <v>12.4</v>
      </c>
      <c r="E3439" s="18"/>
    </row>
    <row r="3440" spans="1:5" ht="16.5" thickTop="1" thickBot="1" x14ac:dyDescent="0.3">
      <c r="A3440" s="28">
        <v>6.1786836551155302</v>
      </c>
      <c r="B3440" s="27">
        <v>0</v>
      </c>
      <c r="C3440" s="27">
        <v>12.4</v>
      </c>
      <c r="E3440" s="18"/>
    </row>
    <row r="3441" spans="1:5" ht="16.5" thickTop="1" thickBot="1" x14ac:dyDescent="0.3">
      <c r="A3441" s="28">
        <v>5.1055416822437181</v>
      </c>
      <c r="B3441" s="27">
        <v>0</v>
      </c>
      <c r="C3441" s="27">
        <v>12.4</v>
      </c>
      <c r="E3441" s="18"/>
    </row>
    <row r="3442" spans="1:5" ht="16.5" thickTop="1" thickBot="1" x14ac:dyDescent="0.3">
      <c r="A3442" s="28">
        <v>6.8325670009809212</v>
      </c>
      <c r="B3442" s="27">
        <v>0</v>
      </c>
      <c r="C3442" s="27">
        <v>12.4</v>
      </c>
      <c r="E3442" s="18"/>
    </row>
    <row r="3443" spans="1:5" ht="16.5" thickTop="1" thickBot="1" x14ac:dyDescent="0.3">
      <c r="A3443" s="28">
        <v>10.986497871951475</v>
      </c>
      <c r="B3443" s="27">
        <v>0</v>
      </c>
      <c r="C3443" s="27">
        <v>12.4</v>
      </c>
      <c r="E3443" s="18"/>
    </row>
    <row r="3444" spans="1:5" ht="16.5" thickTop="1" thickBot="1" x14ac:dyDescent="0.3">
      <c r="A3444" s="28">
        <v>1.9639652468816968</v>
      </c>
      <c r="B3444" s="27">
        <v>0</v>
      </c>
      <c r="C3444" s="27">
        <v>12.4</v>
      </c>
      <c r="E3444" s="18"/>
    </row>
    <row r="3445" spans="1:5" ht="16.5" thickTop="1" thickBot="1" x14ac:dyDescent="0.3">
      <c r="A3445" s="28">
        <v>8.7556598316950129</v>
      </c>
      <c r="B3445" s="27">
        <v>0</v>
      </c>
      <c r="C3445" s="27">
        <v>11.8</v>
      </c>
      <c r="E3445" s="18"/>
    </row>
    <row r="3446" spans="1:5" ht="16.5" thickTop="1" thickBot="1" x14ac:dyDescent="0.3">
      <c r="A3446" s="28">
        <v>2.321131025410927</v>
      </c>
      <c r="B3446" s="27">
        <v>0</v>
      </c>
      <c r="C3446" s="27">
        <v>11.8</v>
      </c>
      <c r="E3446" s="18"/>
    </row>
    <row r="3447" spans="1:5" ht="16.5" thickTop="1" thickBot="1" x14ac:dyDescent="0.3">
      <c r="A3447" s="28">
        <v>0.82628609051319657</v>
      </c>
      <c r="B3447" s="27">
        <v>0</v>
      </c>
      <c r="C3447" s="27">
        <v>11.8</v>
      </c>
      <c r="E3447" s="18"/>
    </row>
    <row r="3448" spans="1:5" ht="16.5" thickTop="1" thickBot="1" x14ac:dyDescent="0.3">
      <c r="A3448" s="28">
        <v>6.4377986464719008</v>
      </c>
      <c r="B3448" s="27">
        <v>0</v>
      </c>
      <c r="C3448" s="27">
        <v>11.8</v>
      </c>
      <c r="E3448" s="18"/>
    </row>
    <row r="3449" spans="1:5" ht="16.5" thickTop="1" thickBot="1" x14ac:dyDescent="0.3">
      <c r="A3449" s="28">
        <v>1.4348260254789458</v>
      </c>
      <c r="B3449" s="27">
        <v>0</v>
      </c>
      <c r="C3449" s="27">
        <v>11.8</v>
      </c>
      <c r="E3449" s="18"/>
    </row>
    <row r="3450" spans="1:5" ht="16.5" thickTop="1" thickBot="1" x14ac:dyDescent="0.3">
      <c r="A3450" s="28">
        <v>1.0041871965425306</v>
      </c>
      <c r="B3450" s="27">
        <v>0</v>
      </c>
      <c r="C3450" s="27">
        <v>11.8</v>
      </c>
      <c r="E3450" s="18"/>
    </row>
    <row r="3451" spans="1:5" ht="16.5" thickTop="1" thickBot="1" x14ac:dyDescent="0.3">
      <c r="A3451" s="28">
        <v>8.6461718326442067</v>
      </c>
      <c r="B3451" s="27">
        <v>0</v>
      </c>
      <c r="C3451" s="27">
        <v>11.8</v>
      </c>
      <c r="E3451" s="18"/>
    </row>
    <row r="3452" spans="1:5" ht="16.5" thickTop="1" thickBot="1" x14ac:dyDescent="0.3">
      <c r="A3452" s="28">
        <v>5.0369022942209813</v>
      </c>
      <c r="B3452" s="27">
        <v>0</v>
      </c>
      <c r="C3452" s="27">
        <v>11.8</v>
      </c>
      <c r="E3452" s="18"/>
    </row>
    <row r="3453" spans="1:5" ht="16.5" thickTop="1" thickBot="1" x14ac:dyDescent="0.3">
      <c r="A3453" s="28">
        <v>5.5326377724666687</v>
      </c>
      <c r="B3453" s="27">
        <v>0</v>
      </c>
      <c r="C3453" s="27">
        <v>11.8</v>
      </c>
      <c r="E3453" s="18"/>
    </row>
    <row r="3454" spans="1:5" ht="16.5" thickTop="1" thickBot="1" x14ac:dyDescent="0.3">
      <c r="A3454" s="28">
        <v>3.1551745479484774</v>
      </c>
      <c r="B3454" s="27">
        <v>0</v>
      </c>
      <c r="C3454" s="27">
        <v>11.8</v>
      </c>
      <c r="E3454" s="18"/>
    </row>
    <row r="3455" spans="1:5" ht="16.5" thickTop="1" thickBot="1" x14ac:dyDescent="0.3">
      <c r="A3455" s="28">
        <v>9.4423564029052365</v>
      </c>
      <c r="B3455" s="27">
        <v>0</v>
      </c>
      <c r="C3455" s="27">
        <v>11.8</v>
      </c>
      <c r="E3455" s="18"/>
    </row>
    <row r="3456" spans="1:5" ht="16.5" thickTop="1" thickBot="1" x14ac:dyDescent="0.3">
      <c r="A3456" s="28">
        <v>1.0081618918385438</v>
      </c>
      <c r="B3456" s="27">
        <v>0</v>
      </c>
      <c r="C3456" s="27">
        <v>11.8</v>
      </c>
      <c r="E3456" s="18"/>
    </row>
    <row r="3457" spans="1:5" ht="16.5" thickTop="1" thickBot="1" x14ac:dyDescent="0.3">
      <c r="A3457" s="28">
        <v>2.7767298894192769</v>
      </c>
      <c r="B3457" s="27">
        <v>0</v>
      </c>
      <c r="C3457" s="27">
        <v>11.8</v>
      </c>
      <c r="E3457" s="18"/>
    </row>
    <row r="3458" spans="1:5" ht="16.5" thickTop="1" thickBot="1" x14ac:dyDescent="0.3">
      <c r="A3458" s="28">
        <v>3.7469455568282655</v>
      </c>
      <c r="B3458" s="27">
        <v>0</v>
      </c>
      <c r="C3458" s="27">
        <v>11.8</v>
      </c>
      <c r="E3458" s="18"/>
    </row>
    <row r="3459" spans="1:5" ht="16.5" thickTop="1" thickBot="1" x14ac:dyDescent="0.3">
      <c r="A3459" s="28">
        <v>6.2716676839040026</v>
      </c>
      <c r="B3459" s="27">
        <v>0</v>
      </c>
      <c r="C3459" s="27">
        <v>11.8</v>
      </c>
      <c r="E3459" s="18"/>
    </row>
    <row r="3460" spans="1:5" ht="16.5" thickTop="1" thickBot="1" x14ac:dyDescent="0.3">
      <c r="A3460" s="28">
        <v>0.64923494172470775</v>
      </c>
      <c r="B3460" s="27">
        <v>0</v>
      </c>
      <c r="C3460" s="27">
        <v>11.8</v>
      </c>
      <c r="E3460" s="18"/>
    </row>
    <row r="3461" spans="1:5" ht="16.5" thickTop="1" thickBot="1" x14ac:dyDescent="0.3">
      <c r="A3461" s="28">
        <v>4.9052108032522534</v>
      </c>
      <c r="B3461" s="27">
        <v>0</v>
      </c>
      <c r="C3461" s="27">
        <v>6.1</v>
      </c>
      <c r="E3461" s="18"/>
    </row>
    <row r="3462" spans="1:5" ht="16.5" thickTop="1" thickBot="1" x14ac:dyDescent="0.3">
      <c r="A3462" s="28">
        <v>5.386782285645535</v>
      </c>
      <c r="B3462" s="27">
        <v>0</v>
      </c>
      <c r="C3462" s="27">
        <v>6.1</v>
      </c>
      <c r="E3462" s="18"/>
    </row>
    <row r="3463" spans="1:5" ht="16.5" thickTop="1" thickBot="1" x14ac:dyDescent="0.3">
      <c r="A3463" s="28">
        <v>3.3972915865908022</v>
      </c>
      <c r="B3463" s="27">
        <v>0</v>
      </c>
      <c r="C3463" s="27">
        <v>6.1</v>
      </c>
      <c r="E3463" s="18"/>
    </row>
    <row r="3464" spans="1:5" ht="16.5" thickTop="1" thickBot="1" x14ac:dyDescent="0.3">
      <c r="A3464" s="28">
        <v>1.6205795177818321</v>
      </c>
      <c r="B3464" s="27">
        <v>0</v>
      </c>
      <c r="C3464" s="27">
        <v>6.1</v>
      </c>
      <c r="E3464" s="18"/>
    </row>
    <row r="3465" spans="1:5" ht="16.5" thickTop="1" thickBot="1" x14ac:dyDescent="0.3">
      <c r="A3465" s="28">
        <v>8.4061556826792163</v>
      </c>
      <c r="B3465" s="27">
        <v>0</v>
      </c>
      <c r="C3465" s="27">
        <v>6.1</v>
      </c>
      <c r="E3465" s="18"/>
    </row>
    <row r="3466" spans="1:5" ht="16.5" thickTop="1" thickBot="1" x14ac:dyDescent="0.3">
      <c r="A3466" s="28">
        <v>5.7771816676729522</v>
      </c>
      <c r="B3466" s="27">
        <v>0</v>
      </c>
      <c r="C3466" s="27">
        <v>6.1</v>
      </c>
      <c r="E3466" s="18"/>
    </row>
    <row r="3467" spans="1:5" ht="16.5" thickTop="1" thickBot="1" x14ac:dyDescent="0.3">
      <c r="A3467" s="28">
        <v>10.49503995300064</v>
      </c>
      <c r="B3467" s="27">
        <v>0</v>
      </c>
      <c r="C3467" s="27">
        <v>6.1</v>
      </c>
      <c r="E3467" s="18"/>
    </row>
    <row r="3468" spans="1:5" ht="16.5" thickTop="1" thickBot="1" x14ac:dyDescent="0.3">
      <c r="A3468" s="28">
        <v>2.6444065542882105</v>
      </c>
      <c r="B3468" s="27">
        <v>0</v>
      </c>
      <c r="C3468" s="27">
        <v>6.1</v>
      </c>
      <c r="E3468" s="18"/>
    </row>
    <row r="3469" spans="1:5" ht="16.5" thickTop="1" thickBot="1" x14ac:dyDescent="0.3">
      <c r="A3469" s="28">
        <v>11.821283189098025</v>
      </c>
      <c r="B3469" s="27">
        <v>0</v>
      </c>
      <c r="C3469" s="27">
        <v>6.1</v>
      </c>
      <c r="E3469" s="18"/>
    </row>
    <row r="3470" spans="1:5" ht="16.5" thickTop="1" thickBot="1" x14ac:dyDescent="0.3">
      <c r="A3470" s="28">
        <v>1.9387790799604767</v>
      </c>
      <c r="B3470" s="27">
        <v>0</v>
      </c>
      <c r="C3470" s="27">
        <v>6.1</v>
      </c>
      <c r="E3470" s="18"/>
    </row>
    <row r="3471" spans="1:5" ht="16.5" thickTop="1" thickBot="1" x14ac:dyDescent="0.3">
      <c r="A3471" s="28">
        <v>4.4217417053174444</v>
      </c>
      <c r="B3471" s="27">
        <v>0</v>
      </c>
      <c r="C3471" s="27">
        <v>6.1</v>
      </c>
      <c r="E3471" s="18"/>
    </row>
    <row r="3472" spans="1:5" ht="16.5" thickTop="1" thickBot="1" x14ac:dyDescent="0.3">
      <c r="A3472" s="28">
        <v>0.12392966769499136</v>
      </c>
      <c r="B3472" s="27">
        <v>0</v>
      </c>
      <c r="C3472" s="27">
        <v>6.1</v>
      </c>
      <c r="E3472" s="18"/>
    </row>
    <row r="3473" spans="1:5" ht="16.5" thickTop="1" thickBot="1" x14ac:dyDescent="0.3">
      <c r="A3473" s="28">
        <v>3.7439875301627765</v>
      </c>
      <c r="B3473" s="27">
        <v>0</v>
      </c>
      <c r="C3473" s="27">
        <v>6.1</v>
      </c>
      <c r="E3473" s="18"/>
    </row>
    <row r="3474" spans="1:5" ht="16.5" thickTop="1" thickBot="1" x14ac:dyDescent="0.3">
      <c r="A3474" s="28">
        <v>5.2657264802627699</v>
      </c>
      <c r="B3474" s="27">
        <v>0</v>
      </c>
      <c r="C3474" s="27">
        <v>6.1</v>
      </c>
      <c r="E3474" s="18"/>
    </row>
    <row r="3475" spans="1:5" ht="16.5" thickTop="1" thickBot="1" x14ac:dyDescent="0.3">
      <c r="A3475" s="28">
        <v>0.52838464745077784</v>
      </c>
      <c r="B3475" s="27">
        <v>0</v>
      </c>
      <c r="C3475" s="27">
        <v>6.1</v>
      </c>
      <c r="E3475" s="18"/>
    </row>
    <row r="3476" spans="1:5" ht="16.5" thickTop="1" thickBot="1" x14ac:dyDescent="0.3">
      <c r="A3476" s="28">
        <v>6.8231670623683165</v>
      </c>
      <c r="B3476" s="27">
        <v>0</v>
      </c>
      <c r="C3476" s="27">
        <v>6.1</v>
      </c>
      <c r="E3476" s="18"/>
    </row>
    <row r="3477" spans="1:5" ht="16.5" thickTop="1" thickBot="1" x14ac:dyDescent="0.3">
      <c r="A3477" s="28">
        <v>11.75614828083104</v>
      </c>
      <c r="B3477" s="27">
        <v>0</v>
      </c>
      <c r="C3477" s="27">
        <v>6.1</v>
      </c>
      <c r="E3477" s="18"/>
    </row>
    <row r="3478" spans="1:5" ht="16.5" thickTop="1" thickBot="1" x14ac:dyDescent="0.3">
      <c r="A3478" s="28">
        <v>6.0204980794855185</v>
      </c>
      <c r="B3478" s="27">
        <v>0</v>
      </c>
      <c r="C3478" s="27">
        <v>16.600000000000001</v>
      </c>
      <c r="E3478" s="18"/>
    </row>
    <row r="3479" spans="1:5" ht="16.5" thickTop="1" thickBot="1" x14ac:dyDescent="0.3">
      <c r="A3479" s="28">
        <v>0.77387374280149857</v>
      </c>
      <c r="B3479" s="27">
        <v>0</v>
      </c>
      <c r="C3479" s="27">
        <v>16.600000000000001</v>
      </c>
      <c r="E3479" s="18"/>
    </row>
    <row r="3480" spans="1:5" ht="16.5" thickTop="1" thickBot="1" x14ac:dyDescent="0.3">
      <c r="A3480" s="28">
        <v>4.3562531351236444</v>
      </c>
      <c r="B3480" s="27">
        <v>0</v>
      </c>
      <c r="C3480" s="27">
        <v>16.600000000000001</v>
      </c>
      <c r="E3480" s="18"/>
    </row>
    <row r="3481" spans="1:5" ht="16.5" thickTop="1" thickBot="1" x14ac:dyDescent="0.3">
      <c r="A3481" s="28">
        <v>2.2801703575589536</v>
      </c>
      <c r="B3481" s="27">
        <v>0</v>
      </c>
      <c r="C3481" s="27">
        <v>16.600000000000001</v>
      </c>
      <c r="E3481" s="18"/>
    </row>
    <row r="3482" spans="1:5" ht="16.5" thickTop="1" thickBot="1" x14ac:dyDescent="0.3">
      <c r="A3482" s="28">
        <v>2.5078813010856349</v>
      </c>
      <c r="B3482" s="27">
        <v>0</v>
      </c>
      <c r="C3482" s="27">
        <v>16.600000000000001</v>
      </c>
      <c r="E3482" s="18"/>
    </row>
    <row r="3483" spans="1:5" ht="16.5" thickTop="1" thickBot="1" x14ac:dyDescent="0.3">
      <c r="A3483" s="28">
        <v>10.227925209456711</v>
      </c>
      <c r="B3483" s="27">
        <v>0</v>
      </c>
      <c r="C3483" s="27">
        <v>16.600000000000001</v>
      </c>
      <c r="E3483" s="18"/>
    </row>
    <row r="3484" spans="1:5" ht="16.5" thickTop="1" thickBot="1" x14ac:dyDescent="0.3">
      <c r="A3484" s="28">
        <v>5.3109243288690466</v>
      </c>
      <c r="B3484" s="27">
        <v>0</v>
      </c>
      <c r="C3484" s="27">
        <v>16.600000000000001</v>
      </c>
      <c r="E3484" s="18"/>
    </row>
    <row r="3485" spans="1:5" ht="16.5" thickTop="1" thickBot="1" x14ac:dyDescent="0.3">
      <c r="A3485" s="28">
        <v>1.9237895244466152</v>
      </c>
      <c r="B3485" s="27">
        <v>0</v>
      </c>
      <c r="C3485" s="27">
        <v>16.600000000000001</v>
      </c>
      <c r="E3485" s="18"/>
    </row>
    <row r="3486" spans="1:5" ht="16.5" thickTop="1" thickBot="1" x14ac:dyDescent="0.3">
      <c r="A3486" s="28">
        <v>1.4296404560687641</v>
      </c>
      <c r="B3486" s="27">
        <v>0</v>
      </c>
      <c r="C3486" s="27">
        <v>16.600000000000001</v>
      </c>
      <c r="E3486" s="18"/>
    </row>
    <row r="3487" spans="1:5" ht="16.5" thickTop="1" thickBot="1" x14ac:dyDescent="0.3">
      <c r="A3487" s="28">
        <v>3.5882528062609764</v>
      </c>
      <c r="B3487" s="27">
        <v>0</v>
      </c>
      <c r="C3487" s="27">
        <v>16.600000000000001</v>
      </c>
      <c r="E3487" s="18"/>
    </row>
    <row r="3488" spans="1:5" ht="16.5" thickTop="1" thickBot="1" x14ac:dyDescent="0.3">
      <c r="A3488" s="28">
        <v>5.7709330341656999</v>
      </c>
      <c r="B3488" s="27">
        <v>0</v>
      </c>
      <c r="C3488" s="27">
        <v>16.600000000000001</v>
      </c>
      <c r="E3488" s="18"/>
    </row>
    <row r="3489" spans="1:5" ht="16.5" thickTop="1" thickBot="1" x14ac:dyDescent="0.3">
      <c r="A3489" s="28">
        <v>3.8928433255037582</v>
      </c>
      <c r="B3489" s="27">
        <v>0</v>
      </c>
      <c r="C3489" s="27">
        <v>16.600000000000001</v>
      </c>
      <c r="E3489" s="18"/>
    </row>
    <row r="3490" spans="1:5" ht="16.5" thickTop="1" thickBot="1" x14ac:dyDescent="0.3">
      <c r="A3490" s="28">
        <v>3.1715439654343065</v>
      </c>
      <c r="B3490" s="27">
        <v>0</v>
      </c>
      <c r="C3490" s="27">
        <v>16.600000000000001</v>
      </c>
      <c r="E3490" s="18"/>
    </row>
    <row r="3491" spans="1:5" ht="16.5" thickTop="1" thickBot="1" x14ac:dyDescent="0.3">
      <c r="A3491" s="28">
        <v>2.9420032816674335</v>
      </c>
      <c r="B3491" s="27">
        <v>0</v>
      </c>
      <c r="C3491" s="27">
        <v>16.600000000000001</v>
      </c>
      <c r="E3491" s="18"/>
    </row>
    <row r="3492" spans="1:5" ht="16.5" thickTop="1" thickBot="1" x14ac:dyDescent="0.3">
      <c r="A3492" s="28">
        <v>3.7371972903615456</v>
      </c>
      <c r="B3492" s="27">
        <v>0</v>
      </c>
      <c r="C3492" s="27">
        <v>16.600000000000001</v>
      </c>
      <c r="E3492" s="18"/>
    </row>
    <row r="3493" spans="1:5" ht="16.5" thickTop="1" thickBot="1" x14ac:dyDescent="0.3">
      <c r="A3493" s="28">
        <v>7.4912200923724033</v>
      </c>
      <c r="B3493" s="27">
        <v>0</v>
      </c>
      <c r="C3493" s="27">
        <v>16.600000000000001</v>
      </c>
      <c r="E3493" s="18"/>
    </row>
    <row r="3494" spans="1:5" ht="16.5" thickTop="1" thickBot="1" x14ac:dyDescent="0.3">
      <c r="A3494" s="28">
        <v>0.56935640442678437</v>
      </c>
      <c r="B3494" s="27">
        <v>0</v>
      </c>
      <c r="C3494" s="27">
        <v>9.4</v>
      </c>
      <c r="E3494" s="18"/>
    </row>
    <row r="3495" spans="1:5" ht="16.5" thickTop="1" thickBot="1" x14ac:dyDescent="0.3">
      <c r="A3495" s="28">
        <v>10.764832108606193</v>
      </c>
      <c r="B3495" s="27">
        <v>0</v>
      </c>
      <c r="C3495" s="27">
        <v>9.4</v>
      </c>
      <c r="E3495" s="18"/>
    </row>
    <row r="3496" spans="1:5" ht="16.5" thickTop="1" thickBot="1" x14ac:dyDescent="0.3">
      <c r="A3496" s="28">
        <v>0.3990541227753075</v>
      </c>
      <c r="B3496" s="27">
        <v>0</v>
      </c>
      <c r="C3496" s="27">
        <v>9.4</v>
      </c>
      <c r="E3496" s="18"/>
    </row>
    <row r="3497" spans="1:5" ht="16.5" thickTop="1" thickBot="1" x14ac:dyDescent="0.3">
      <c r="A3497" s="28">
        <v>7.0078970163482577</v>
      </c>
      <c r="B3497" s="27">
        <v>0</v>
      </c>
      <c r="C3497" s="27">
        <v>9.4</v>
      </c>
      <c r="E3497" s="18"/>
    </row>
    <row r="3498" spans="1:5" ht="16.5" thickTop="1" thickBot="1" x14ac:dyDescent="0.3">
      <c r="A3498" s="28">
        <v>5.6699859527433825</v>
      </c>
      <c r="B3498" s="27">
        <v>0</v>
      </c>
      <c r="C3498" s="27">
        <v>9.4</v>
      </c>
      <c r="E3498" s="18"/>
    </row>
    <row r="3499" spans="1:5" ht="16.5" thickTop="1" thickBot="1" x14ac:dyDescent="0.3">
      <c r="A3499" s="28">
        <v>7.0223364218586877</v>
      </c>
      <c r="B3499" s="27">
        <v>0</v>
      </c>
      <c r="C3499" s="27">
        <v>9.4</v>
      </c>
      <c r="E3499" s="18"/>
    </row>
    <row r="3500" spans="1:5" ht="16.5" thickTop="1" thickBot="1" x14ac:dyDescent="0.3">
      <c r="A3500" s="28">
        <v>6.8636368145460889</v>
      </c>
      <c r="B3500" s="27">
        <v>0</v>
      </c>
      <c r="C3500" s="27">
        <v>9.4</v>
      </c>
      <c r="E3500" s="18"/>
    </row>
    <row r="3501" spans="1:5" ht="16.5" thickTop="1" thickBot="1" x14ac:dyDescent="0.3">
      <c r="A3501" s="28">
        <v>4.4858433327130953</v>
      </c>
      <c r="B3501" s="27">
        <v>0</v>
      </c>
      <c r="C3501" s="27">
        <v>9.4</v>
      </c>
      <c r="E3501" s="18"/>
    </row>
    <row r="3502" spans="1:5" ht="16.5" thickTop="1" thickBot="1" x14ac:dyDescent="0.3">
      <c r="A3502" s="28">
        <v>4.5013621696933637</v>
      </c>
      <c r="B3502" s="27">
        <v>0</v>
      </c>
      <c r="C3502" s="27">
        <v>9.4</v>
      </c>
      <c r="E3502" s="18"/>
    </row>
    <row r="3503" spans="1:5" ht="16.5" thickTop="1" thickBot="1" x14ac:dyDescent="0.3">
      <c r="A3503" s="28">
        <v>8.5480405304478566</v>
      </c>
      <c r="B3503" s="27">
        <v>0</v>
      </c>
      <c r="C3503" s="27">
        <v>9.4</v>
      </c>
      <c r="E3503" s="18"/>
    </row>
    <row r="3504" spans="1:5" ht="16.5" thickTop="1" thickBot="1" x14ac:dyDescent="0.3">
      <c r="A3504" s="28">
        <v>4.0746582984493553</v>
      </c>
      <c r="B3504" s="27">
        <v>0</v>
      </c>
      <c r="C3504" s="27">
        <v>9.4</v>
      </c>
      <c r="E3504" s="18"/>
    </row>
    <row r="3505" spans="1:5" ht="16.5" thickTop="1" thickBot="1" x14ac:dyDescent="0.3">
      <c r="A3505" s="28">
        <v>3.4200198008084586</v>
      </c>
      <c r="B3505" s="27">
        <v>0</v>
      </c>
      <c r="C3505" s="27">
        <v>9.4</v>
      </c>
      <c r="E3505" s="18"/>
    </row>
    <row r="3506" spans="1:5" ht="16.5" thickTop="1" thickBot="1" x14ac:dyDescent="0.3">
      <c r="A3506" s="28">
        <v>3.2909240330851648</v>
      </c>
      <c r="B3506" s="27">
        <v>0</v>
      </c>
      <c r="C3506" s="27">
        <v>9.4</v>
      </c>
      <c r="E3506" s="18"/>
    </row>
    <row r="3507" spans="1:5" ht="16.5" thickTop="1" thickBot="1" x14ac:dyDescent="0.3">
      <c r="A3507" s="28">
        <v>1.1423670303919864</v>
      </c>
      <c r="B3507" s="27">
        <v>0</v>
      </c>
      <c r="C3507" s="27">
        <v>9.4</v>
      </c>
      <c r="E3507" s="18"/>
    </row>
    <row r="3508" spans="1:5" ht="16.5" thickTop="1" thickBot="1" x14ac:dyDescent="0.3">
      <c r="A3508" s="28">
        <v>0.32655225878946836</v>
      </c>
      <c r="B3508" s="27">
        <v>0</v>
      </c>
      <c r="C3508" s="27">
        <v>9.4</v>
      </c>
      <c r="E3508" s="18"/>
    </row>
    <row r="3509" spans="1:5" ht="16.5" thickTop="1" thickBot="1" x14ac:dyDescent="0.3">
      <c r="A3509" s="28">
        <v>10.847928083448727</v>
      </c>
      <c r="B3509" s="27">
        <v>0</v>
      </c>
      <c r="C3509" s="27">
        <v>9.4</v>
      </c>
      <c r="E3509" s="18"/>
    </row>
    <row r="3510" spans="1:5" ht="16.5" thickTop="1" thickBot="1" x14ac:dyDescent="0.3">
      <c r="A3510" s="28">
        <v>2.6464454002532216</v>
      </c>
      <c r="B3510" s="27">
        <v>0</v>
      </c>
      <c r="C3510" s="27">
        <v>6.4</v>
      </c>
      <c r="E3510" s="18"/>
    </row>
    <row r="3511" spans="1:5" ht="16.5" thickTop="1" thickBot="1" x14ac:dyDescent="0.3">
      <c r="A3511" s="28">
        <v>4.1876668431816704</v>
      </c>
      <c r="B3511" s="27">
        <v>0</v>
      </c>
      <c r="C3511" s="27">
        <v>6.4</v>
      </c>
      <c r="E3511" s="18"/>
    </row>
    <row r="3512" spans="1:5" ht="16.5" thickTop="1" thickBot="1" x14ac:dyDescent="0.3">
      <c r="A3512" s="28">
        <v>1.8694523239601559</v>
      </c>
      <c r="B3512" s="27">
        <v>0</v>
      </c>
      <c r="C3512" s="27">
        <v>6.4</v>
      </c>
      <c r="E3512" s="18"/>
    </row>
    <row r="3513" spans="1:5" ht="16.5" thickTop="1" thickBot="1" x14ac:dyDescent="0.3">
      <c r="A3513" s="28">
        <v>9.7758285384953858</v>
      </c>
      <c r="B3513" s="27">
        <v>0</v>
      </c>
      <c r="C3513" s="27">
        <v>6.4</v>
      </c>
      <c r="E3513" s="18"/>
    </row>
    <row r="3514" spans="1:5" ht="16.5" thickTop="1" thickBot="1" x14ac:dyDescent="0.3">
      <c r="A3514" s="28">
        <v>5.1726368873627537</v>
      </c>
      <c r="B3514" s="27">
        <v>0</v>
      </c>
      <c r="C3514" s="27">
        <v>6.4</v>
      </c>
      <c r="E3514" s="18"/>
    </row>
    <row r="3515" spans="1:5" ht="16.5" thickTop="1" thickBot="1" x14ac:dyDescent="0.3">
      <c r="A3515" s="28">
        <v>11.853745990498464</v>
      </c>
      <c r="B3515" s="27">
        <v>0</v>
      </c>
      <c r="C3515" s="27">
        <v>6.4</v>
      </c>
      <c r="E3515" s="18"/>
    </row>
    <row r="3516" spans="1:5" ht="16.5" thickTop="1" thickBot="1" x14ac:dyDescent="0.3">
      <c r="A3516" s="28">
        <v>3.4374700290600049</v>
      </c>
      <c r="B3516" s="27">
        <v>0</v>
      </c>
      <c r="C3516" s="27">
        <v>6.4</v>
      </c>
      <c r="E3516" s="18"/>
    </row>
    <row r="3517" spans="1:5" ht="16.5" thickTop="1" thickBot="1" x14ac:dyDescent="0.3">
      <c r="A3517" s="28">
        <v>0.40944025841840181</v>
      </c>
      <c r="B3517" s="27">
        <v>0</v>
      </c>
      <c r="C3517" s="27">
        <v>6.4</v>
      </c>
      <c r="E3517" s="18"/>
    </row>
    <row r="3518" spans="1:5" ht="16.5" thickTop="1" thickBot="1" x14ac:dyDescent="0.3">
      <c r="A3518" s="28">
        <v>5.3366152216902609</v>
      </c>
      <c r="B3518" s="27">
        <v>0</v>
      </c>
      <c r="C3518" s="27">
        <v>6.4</v>
      </c>
      <c r="E3518" s="18"/>
    </row>
    <row r="3519" spans="1:5" ht="16.5" thickTop="1" thickBot="1" x14ac:dyDescent="0.3">
      <c r="A3519" s="28">
        <v>5.7339732818146842</v>
      </c>
      <c r="B3519" s="27">
        <v>0</v>
      </c>
      <c r="C3519" s="27">
        <v>6.4</v>
      </c>
      <c r="E3519" s="18"/>
    </row>
    <row r="3520" spans="1:5" ht="16.5" thickTop="1" thickBot="1" x14ac:dyDescent="0.3">
      <c r="A3520" s="28">
        <v>0.94189061834433419</v>
      </c>
      <c r="B3520" s="27">
        <v>0</v>
      </c>
      <c r="C3520" s="27">
        <v>6.4</v>
      </c>
      <c r="E3520" s="18"/>
    </row>
    <row r="3521" spans="1:5" ht="16.5" thickTop="1" thickBot="1" x14ac:dyDescent="0.3">
      <c r="A3521" s="28">
        <v>7.3928463371260014</v>
      </c>
      <c r="B3521" s="27">
        <v>0</v>
      </c>
      <c r="C3521" s="27">
        <v>6.4</v>
      </c>
      <c r="E3521" s="18"/>
    </row>
    <row r="3522" spans="1:5" ht="16.5" thickTop="1" thickBot="1" x14ac:dyDescent="0.3">
      <c r="A3522" s="28">
        <v>1.5122702859931938</v>
      </c>
      <c r="B3522" s="27">
        <v>0</v>
      </c>
      <c r="C3522" s="27">
        <v>6.4</v>
      </c>
      <c r="E3522" s="18"/>
    </row>
    <row r="3523" spans="1:5" ht="16.5" thickTop="1" thickBot="1" x14ac:dyDescent="0.3">
      <c r="A3523" s="28">
        <v>1.1608094590451219</v>
      </c>
      <c r="B3523" s="27">
        <v>0</v>
      </c>
      <c r="C3523" s="27">
        <v>6.4</v>
      </c>
      <c r="E3523" s="18"/>
    </row>
    <row r="3524" spans="1:5" ht="16.5" thickTop="1" thickBot="1" x14ac:dyDescent="0.3">
      <c r="A3524" s="28">
        <v>2.4658117805368205</v>
      </c>
      <c r="B3524" s="27">
        <v>0</v>
      </c>
      <c r="C3524" s="27">
        <v>6.4</v>
      </c>
      <c r="E3524" s="18"/>
    </row>
    <row r="3525" spans="1:5" ht="16.5" thickTop="1" thickBot="1" x14ac:dyDescent="0.3">
      <c r="A3525" s="28">
        <v>8.1708060672229479</v>
      </c>
      <c r="B3525" s="27">
        <v>0</v>
      </c>
      <c r="C3525" s="27">
        <v>6.4</v>
      </c>
      <c r="E3525" s="18"/>
    </row>
    <row r="3526" spans="1:5" ht="16.5" thickTop="1" thickBot="1" x14ac:dyDescent="0.3">
      <c r="A3526" s="28">
        <v>1.8068932439653342</v>
      </c>
      <c r="B3526" s="27">
        <v>0</v>
      </c>
      <c r="C3526" s="27">
        <v>10.3</v>
      </c>
      <c r="E3526" s="18"/>
    </row>
    <row r="3527" spans="1:5" ht="16.5" thickTop="1" thickBot="1" x14ac:dyDescent="0.3">
      <c r="A3527" s="28">
        <v>4.577096873161306</v>
      </c>
      <c r="B3527" s="27">
        <v>0</v>
      </c>
      <c r="C3527" s="27">
        <v>10.3</v>
      </c>
      <c r="E3527" s="18"/>
    </row>
    <row r="3528" spans="1:5" ht="16.5" thickTop="1" thickBot="1" x14ac:dyDescent="0.3">
      <c r="A3528" s="28">
        <v>3.9379489763391033</v>
      </c>
      <c r="B3528" s="27">
        <v>0</v>
      </c>
      <c r="C3528" s="27">
        <v>10.3</v>
      </c>
      <c r="E3528" s="18"/>
    </row>
    <row r="3529" spans="1:5" ht="16.5" thickTop="1" thickBot="1" x14ac:dyDescent="0.3">
      <c r="A3529" s="28">
        <v>4.0740616240886842</v>
      </c>
      <c r="B3529" s="27">
        <v>0</v>
      </c>
      <c r="C3529" s="27">
        <v>10.3</v>
      </c>
      <c r="E3529" s="18"/>
    </row>
    <row r="3530" spans="1:5" ht="16.5" thickTop="1" thickBot="1" x14ac:dyDescent="0.3">
      <c r="A3530" s="28">
        <v>4.6914654075690807</v>
      </c>
      <c r="B3530" s="27">
        <v>0</v>
      </c>
      <c r="C3530" s="27">
        <v>10.3</v>
      </c>
      <c r="E3530" s="18"/>
    </row>
    <row r="3531" spans="1:5" ht="16.5" thickTop="1" thickBot="1" x14ac:dyDescent="0.3">
      <c r="A3531" s="28">
        <v>8.911682197190272</v>
      </c>
      <c r="B3531" s="27">
        <v>0</v>
      </c>
      <c r="C3531" s="27">
        <v>10.3</v>
      </c>
      <c r="E3531" s="18"/>
    </row>
    <row r="3532" spans="1:5" ht="16.5" thickTop="1" thickBot="1" x14ac:dyDescent="0.3">
      <c r="A3532" s="28">
        <v>3.7925452391567722</v>
      </c>
      <c r="B3532" s="27">
        <v>0</v>
      </c>
      <c r="C3532" s="27">
        <v>10.3</v>
      </c>
      <c r="E3532" s="18"/>
    </row>
    <row r="3533" spans="1:5" ht="16.5" thickTop="1" thickBot="1" x14ac:dyDescent="0.3">
      <c r="A3533" s="28">
        <v>0.4573849346893426</v>
      </c>
      <c r="B3533" s="27">
        <v>0</v>
      </c>
      <c r="C3533" s="27">
        <v>10.3</v>
      </c>
      <c r="E3533" s="18"/>
    </row>
    <row r="3534" spans="1:5" ht="16.5" thickTop="1" thickBot="1" x14ac:dyDescent="0.3">
      <c r="A3534" s="28">
        <v>0.22434478663472612</v>
      </c>
      <c r="B3534" s="27">
        <v>0</v>
      </c>
      <c r="C3534" s="27">
        <v>10.3</v>
      </c>
      <c r="E3534" s="18"/>
    </row>
    <row r="3535" spans="1:5" ht="16.5" thickTop="1" thickBot="1" x14ac:dyDescent="0.3">
      <c r="A3535" s="28">
        <v>11.035718918023603</v>
      </c>
      <c r="B3535" s="27">
        <v>0</v>
      </c>
      <c r="C3535" s="27">
        <v>10.3</v>
      </c>
      <c r="E3535" s="18"/>
    </row>
    <row r="3536" spans="1:5" ht="16.5" thickTop="1" thickBot="1" x14ac:dyDescent="0.3">
      <c r="A3536" s="28">
        <v>2.9076611090717699</v>
      </c>
      <c r="B3536" s="27">
        <v>0</v>
      </c>
      <c r="C3536" s="27">
        <v>10.3</v>
      </c>
      <c r="E3536" s="18"/>
    </row>
    <row r="3537" spans="1:5" ht="16.5" thickTop="1" thickBot="1" x14ac:dyDescent="0.3">
      <c r="A3537" s="28">
        <v>1.1827083239554619</v>
      </c>
      <c r="B3537" s="27">
        <v>0</v>
      </c>
      <c r="C3537" s="27">
        <v>10.3</v>
      </c>
      <c r="E3537" s="18"/>
    </row>
    <row r="3538" spans="1:5" ht="16.5" thickTop="1" thickBot="1" x14ac:dyDescent="0.3">
      <c r="A3538" s="28">
        <v>1.8751576687602816</v>
      </c>
      <c r="B3538" s="27">
        <v>0</v>
      </c>
      <c r="C3538" s="27">
        <v>10.3</v>
      </c>
      <c r="E3538" s="18"/>
    </row>
    <row r="3539" spans="1:5" ht="16.5" thickTop="1" thickBot="1" x14ac:dyDescent="0.3">
      <c r="A3539" s="28">
        <v>8.4548878776635323</v>
      </c>
      <c r="B3539" s="27">
        <v>0</v>
      </c>
      <c r="C3539" s="27">
        <v>10.3</v>
      </c>
      <c r="E3539" s="18"/>
    </row>
    <row r="3540" spans="1:5" ht="16.5" thickTop="1" thickBot="1" x14ac:dyDescent="0.3">
      <c r="A3540" s="28">
        <v>3.2894754972347728</v>
      </c>
      <c r="B3540" s="27">
        <v>0</v>
      </c>
      <c r="C3540" s="27">
        <v>10.3</v>
      </c>
      <c r="E3540" s="18"/>
    </row>
    <row r="3541" spans="1:5" ht="16.5" thickTop="1" thickBot="1" x14ac:dyDescent="0.3">
      <c r="A3541" s="28">
        <v>10.409381657780472</v>
      </c>
      <c r="B3541" s="27">
        <v>0</v>
      </c>
      <c r="C3541" s="27">
        <v>10.3</v>
      </c>
      <c r="E3541" s="18"/>
    </row>
    <row r="3542" spans="1:5" ht="16.5" thickTop="1" thickBot="1" x14ac:dyDescent="0.3">
      <c r="A3542" s="28">
        <v>5.2329347408434836</v>
      </c>
      <c r="B3542" s="27">
        <v>0</v>
      </c>
      <c r="C3542" s="27">
        <v>10.3</v>
      </c>
      <c r="E3542" s="18"/>
    </row>
    <row r="3543" spans="1:5" ht="16.5" thickTop="1" thickBot="1" x14ac:dyDescent="0.3">
      <c r="A3543" s="28">
        <v>5.8101099447576345</v>
      </c>
      <c r="B3543" s="27">
        <v>0</v>
      </c>
      <c r="C3543" s="27">
        <v>16.2</v>
      </c>
      <c r="E3543" s="18"/>
    </row>
    <row r="3544" spans="1:5" ht="16.5" thickTop="1" thickBot="1" x14ac:dyDescent="0.3">
      <c r="A3544" s="28">
        <v>5.9005446648633963</v>
      </c>
      <c r="B3544" s="27">
        <v>0</v>
      </c>
      <c r="C3544" s="27">
        <v>16.2</v>
      </c>
      <c r="E3544" s="18"/>
    </row>
    <row r="3545" spans="1:5" ht="16.5" thickTop="1" thickBot="1" x14ac:dyDescent="0.3">
      <c r="A3545" s="28">
        <v>5.1191611198471989</v>
      </c>
      <c r="B3545" s="27">
        <v>0</v>
      </c>
      <c r="C3545" s="27">
        <v>16.2</v>
      </c>
      <c r="E3545" s="18"/>
    </row>
    <row r="3546" spans="1:5" ht="16.5" thickTop="1" thickBot="1" x14ac:dyDescent="0.3">
      <c r="A3546" s="28">
        <v>1.6113050665827244</v>
      </c>
      <c r="B3546" s="27">
        <v>0</v>
      </c>
      <c r="C3546" s="27">
        <v>16.2</v>
      </c>
      <c r="E3546" s="18"/>
    </row>
    <row r="3547" spans="1:5" ht="16.5" thickTop="1" thickBot="1" x14ac:dyDescent="0.3">
      <c r="A3547" s="28">
        <v>7.5447507174360577</v>
      </c>
      <c r="B3547" s="27">
        <v>0</v>
      </c>
      <c r="C3547" s="27">
        <v>16.2</v>
      </c>
      <c r="E3547" s="18"/>
    </row>
    <row r="3548" spans="1:5" ht="15.75" thickTop="1" x14ac:dyDescent="0.25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K19"/>
  <sheetViews>
    <sheetView workbookViewId="0">
      <selection activeCell="H4" sqref="H4:K14"/>
    </sheetView>
  </sheetViews>
  <sheetFormatPr baseColWidth="10" defaultRowHeight="15" x14ac:dyDescent="0.25"/>
  <cols>
    <col min="4" max="4" width="24" bestFit="1" customWidth="1"/>
    <col min="8" max="8" width="12.7109375" bestFit="1" customWidth="1"/>
  </cols>
  <sheetData>
    <row r="3" spans="4:11" ht="15.75" thickBot="1" x14ac:dyDescent="0.3"/>
    <row r="4" spans="4:11" x14ac:dyDescent="0.25">
      <c r="D4" s="1" t="s">
        <v>4</v>
      </c>
      <c r="E4" s="2">
        <v>1</v>
      </c>
      <c r="H4" s="22" t="s">
        <v>29</v>
      </c>
      <c r="I4" s="22" t="s">
        <v>31</v>
      </c>
      <c r="J4" s="22" t="s">
        <v>27</v>
      </c>
      <c r="K4" s="22" t="s">
        <v>32</v>
      </c>
    </row>
    <row r="5" spans="4:11" x14ac:dyDescent="0.25">
      <c r="D5" s="3" t="s">
        <v>5</v>
      </c>
      <c r="E5" s="4">
        <v>400</v>
      </c>
      <c r="H5" s="22">
        <v>1</v>
      </c>
      <c r="I5" s="22">
        <v>4.7513339552591827</v>
      </c>
      <c r="J5" s="22">
        <v>0</v>
      </c>
      <c r="K5" s="22">
        <v>19.979444584802174</v>
      </c>
    </row>
    <row r="6" spans="4:11" ht="15.75" thickBot="1" x14ac:dyDescent="0.3">
      <c r="D6" s="5" t="s">
        <v>6</v>
      </c>
      <c r="E6" s="6">
        <v>20</v>
      </c>
      <c r="H6" s="22">
        <v>2</v>
      </c>
      <c r="I6" s="22">
        <v>7.875544447003664</v>
      </c>
      <c r="J6" s="22">
        <v>0</v>
      </c>
      <c r="K6" s="22">
        <v>8.3854736329080346</v>
      </c>
    </row>
    <row r="7" spans="4:11" x14ac:dyDescent="0.25">
      <c r="H7" s="22">
        <v>3</v>
      </c>
      <c r="I7" s="22">
        <v>1.6271234635147018</v>
      </c>
      <c r="J7" s="22">
        <v>0</v>
      </c>
      <c r="K7" s="22">
        <v>14.182459108855104</v>
      </c>
    </row>
    <row r="8" spans="4:11" x14ac:dyDescent="0.25">
      <c r="H8" s="22">
        <v>4</v>
      </c>
      <c r="I8" s="22">
        <v>4.7513339552591827</v>
      </c>
      <c r="J8" s="22">
        <v>0</v>
      </c>
      <c r="K8" s="22">
        <v>14.182459108855104</v>
      </c>
    </row>
    <row r="9" spans="4:11" x14ac:dyDescent="0.25">
      <c r="H9" s="22">
        <v>5</v>
      </c>
      <c r="I9" s="22">
        <v>7.875544447003664</v>
      </c>
      <c r="J9" s="22">
        <v>0</v>
      </c>
      <c r="K9" s="22">
        <v>19.979444584802174</v>
      </c>
    </row>
    <row r="10" spans="4:11" x14ac:dyDescent="0.25">
      <c r="H10" s="22">
        <v>6</v>
      </c>
      <c r="I10" s="22">
        <v>1.6271234635147018</v>
      </c>
      <c r="J10" s="22">
        <v>0</v>
      </c>
      <c r="K10" s="22">
        <v>8.3854736329080346</v>
      </c>
    </row>
    <row r="11" spans="4:11" x14ac:dyDescent="0.25">
      <c r="H11" s="22">
        <v>7</v>
      </c>
      <c r="I11" s="22">
        <v>4.7513339552591827</v>
      </c>
      <c r="J11" s="22">
        <v>0</v>
      </c>
      <c r="K11" s="22">
        <v>14.182459108855104</v>
      </c>
    </row>
    <row r="12" spans="4:11" x14ac:dyDescent="0.25">
      <c r="H12" s="22">
        <v>8</v>
      </c>
      <c r="I12" s="22">
        <v>7.875544447003664</v>
      </c>
      <c r="J12" s="22">
        <v>0</v>
      </c>
      <c r="K12" s="22">
        <v>14.182459108855104</v>
      </c>
    </row>
    <row r="13" spans="4:11" x14ac:dyDescent="0.25">
      <c r="H13" s="22">
        <v>9</v>
      </c>
      <c r="I13" s="22">
        <v>1.6271234635147018</v>
      </c>
      <c r="J13" s="22">
        <v>0</v>
      </c>
      <c r="K13" s="22">
        <v>19.979444584802174</v>
      </c>
    </row>
    <row r="14" spans="4:11" x14ac:dyDescent="0.25">
      <c r="H14" s="22">
        <v>10</v>
      </c>
      <c r="I14" s="22">
        <v>4.7513339552591827</v>
      </c>
      <c r="J14" s="22">
        <v>0</v>
      </c>
      <c r="K14" s="22">
        <v>8.3854736329080346</v>
      </c>
    </row>
    <row r="16" spans="4:11" x14ac:dyDescent="0.25">
      <c r="H16" s="21" t="s">
        <v>30</v>
      </c>
      <c r="I16" s="21">
        <f>AVERAGE(SSDatos1!A2:A3547)</f>
        <v>4.7513339552591827</v>
      </c>
      <c r="J16" s="21">
        <f>AVERAGE(SSDatos1!B2:B3547)</f>
        <v>0</v>
      </c>
      <c r="K16" s="21">
        <f>AVERAGE(SSDatos1!C2:C3547)</f>
        <v>14.182459108855104</v>
      </c>
    </row>
    <row r="17" spans="8:11" x14ac:dyDescent="0.25">
      <c r="H17" s="21" t="s">
        <v>33</v>
      </c>
      <c r="I17" s="21">
        <f>_xlfn.VAR.S(SSDatos1!A2:A3547)</f>
        <v>9.7606911967262899</v>
      </c>
      <c r="J17" s="21">
        <f>_xlfn.VAR.S(SSDatos1!B2:B3547)</f>
        <v>0</v>
      </c>
      <c r="K17" s="21">
        <f>_xlfn.VAR.S(SSDatos1!C2:C3547)</f>
        <v>33.605040608341277</v>
      </c>
    </row>
    <row r="18" spans="8:11" x14ac:dyDescent="0.25">
      <c r="H18" s="21" t="s">
        <v>34</v>
      </c>
      <c r="I18" s="21">
        <f>SQRT(I17)</f>
        <v>3.1242104917444808</v>
      </c>
      <c r="J18" s="21">
        <f t="shared" ref="J18:K18" si="0">SQRT(J17)</f>
        <v>0</v>
      </c>
      <c r="K18" s="21">
        <f t="shared" si="0"/>
        <v>5.7969854759470696</v>
      </c>
    </row>
    <row r="19" spans="8:11" x14ac:dyDescent="0.25">
      <c r="H19" s="21" t="s">
        <v>35</v>
      </c>
      <c r="I19" s="21">
        <f>MEDIAN(SSDatos1!A2:A3547)</f>
        <v>4.4642582033679208</v>
      </c>
      <c r="J19" s="21">
        <f>MEDIAN(SSDatos1!B2:B3547)</f>
        <v>0</v>
      </c>
      <c r="K19" s="21">
        <f>MEDIAN(SSDatos1!C2:C3547)</f>
        <v>13.6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48"/>
  <sheetViews>
    <sheetView workbookViewId="0">
      <selection sqref="A1:C3547"/>
    </sheetView>
  </sheetViews>
  <sheetFormatPr baseColWidth="10" defaultRowHeight="15" x14ac:dyDescent="0.25"/>
  <sheetData>
    <row r="1" spans="1:7" x14ac:dyDescent="0.25">
      <c r="A1" s="30" t="s">
        <v>26</v>
      </c>
      <c r="B1" s="30" t="s">
        <v>27</v>
      </c>
      <c r="C1" s="30" t="s">
        <v>28</v>
      </c>
    </row>
    <row r="2" spans="1:7" x14ac:dyDescent="0.25">
      <c r="A2" s="30">
        <v>1.159774749223351</v>
      </c>
      <c r="B2" s="30">
        <v>0</v>
      </c>
      <c r="C2" s="30">
        <v>0</v>
      </c>
    </row>
    <row r="3" spans="1:7" x14ac:dyDescent="0.25">
      <c r="A3" s="30">
        <v>2.3546474548251588</v>
      </c>
      <c r="B3" s="30">
        <v>0</v>
      </c>
      <c r="C3" s="30">
        <v>0</v>
      </c>
      <c r="G3" s="18"/>
    </row>
    <row r="4" spans="1:7" x14ac:dyDescent="0.25">
      <c r="A4" s="30">
        <v>0.61329496862169375</v>
      </c>
      <c r="B4" s="30">
        <v>0</v>
      </c>
      <c r="C4" s="30">
        <v>0</v>
      </c>
      <c r="G4" s="18"/>
    </row>
    <row r="5" spans="1:7" x14ac:dyDescent="0.25">
      <c r="A5" s="30">
        <v>1.6880604713856151</v>
      </c>
      <c r="B5" s="30">
        <v>0</v>
      </c>
      <c r="C5" s="30">
        <v>0</v>
      </c>
      <c r="G5" s="18"/>
    </row>
    <row r="6" spans="1:7" x14ac:dyDescent="0.25">
      <c r="A6" s="30">
        <v>1.0529431714121913</v>
      </c>
      <c r="B6" s="30">
        <v>0</v>
      </c>
      <c r="C6" s="30">
        <v>0</v>
      </c>
      <c r="G6" s="18"/>
    </row>
    <row r="7" spans="1:7" x14ac:dyDescent="0.25">
      <c r="A7" s="30">
        <v>2.1214716303578114</v>
      </c>
      <c r="B7" s="30">
        <v>0</v>
      </c>
      <c r="C7" s="30">
        <v>0</v>
      </c>
      <c r="G7" s="18"/>
    </row>
    <row r="8" spans="1:7" x14ac:dyDescent="0.25">
      <c r="A8" s="30">
        <v>0.53369870115926166</v>
      </c>
      <c r="B8" s="30">
        <v>0</v>
      </c>
      <c r="C8" s="30">
        <v>0</v>
      </c>
      <c r="G8" s="18"/>
    </row>
    <row r="9" spans="1:7" x14ac:dyDescent="0.25">
      <c r="A9" s="30">
        <v>2.041401722467703</v>
      </c>
      <c r="B9" s="30">
        <v>0</v>
      </c>
      <c r="C9" s="30">
        <v>0</v>
      </c>
      <c r="G9" s="18"/>
    </row>
    <row r="10" spans="1:7" x14ac:dyDescent="0.25">
      <c r="A10" s="30">
        <v>0.32853085151676609</v>
      </c>
      <c r="B10" s="30">
        <v>0</v>
      </c>
      <c r="C10" s="30">
        <v>0</v>
      </c>
      <c r="G10" s="18"/>
    </row>
    <row r="11" spans="1:7" x14ac:dyDescent="0.25">
      <c r="A11" s="30">
        <v>0.49030175596890035</v>
      </c>
      <c r="B11" s="30">
        <v>0</v>
      </c>
      <c r="C11" s="30">
        <v>0</v>
      </c>
      <c r="G11" s="18"/>
    </row>
    <row r="12" spans="1:7" x14ac:dyDescent="0.25">
      <c r="A12" s="30">
        <v>5.1369027820400114E-2</v>
      </c>
      <c r="B12" s="30">
        <v>0</v>
      </c>
      <c r="C12" s="30">
        <v>0</v>
      </c>
      <c r="G12" s="18"/>
    </row>
    <row r="13" spans="1:7" x14ac:dyDescent="0.25">
      <c r="A13" s="30">
        <v>1.9957431032387283</v>
      </c>
      <c r="B13" s="30">
        <v>0</v>
      </c>
      <c r="C13" s="30">
        <v>0</v>
      </c>
      <c r="G13" s="18"/>
    </row>
    <row r="14" spans="1:7" x14ac:dyDescent="0.25">
      <c r="A14" s="30">
        <v>0.7970622316577215</v>
      </c>
      <c r="B14" s="30">
        <v>0</v>
      </c>
      <c r="C14" s="30">
        <v>0</v>
      </c>
      <c r="G14" s="18"/>
    </row>
    <row r="15" spans="1:7" x14ac:dyDescent="0.25">
      <c r="A15" s="30">
        <v>0.34144805196844635</v>
      </c>
      <c r="B15" s="30">
        <v>0</v>
      </c>
      <c r="C15" s="30">
        <v>0</v>
      </c>
      <c r="G15" s="18"/>
    </row>
    <row r="16" spans="1:7" x14ac:dyDescent="0.25">
      <c r="A16" s="30">
        <v>1.118478800221965</v>
      </c>
      <c r="B16" s="30">
        <v>0</v>
      </c>
      <c r="C16" s="30">
        <v>0</v>
      </c>
      <c r="G16" s="18"/>
    </row>
    <row r="17" spans="1:7" x14ac:dyDescent="0.25">
      <c r="A17" s="30">
        <v>0.62047694792943964</v>
      </c>
      <c r="B17" s="30">
        <v>0</v>
      </c>
      <c r="C17" s="30">
        <v>0</v>
      </c>
      <c r="G17" s="18"/>
    </row>
    <row r="18" spans="1:7" x14ac:dyDescent="0.25">
      <c r="A18" s="30">
        <v>0.79380778282000719</v>
      </c>
      <c r="B18" s="30">
        <v>0</v>
      </c>
      <c r="C18" s="30">
        <v>28</v>
      </c>
      <c r="G18" s="18"/>
    </row>
    <row r="19" spans="1:7" x14ac:dyDescent="0.25">
      <c r="A19" s="30">
        <v>0.484004284638897</v>
      </c>
      <c r="B19" s="30">
        <v>0</v>
      </c>
      <c r="C19" s="30">
        <v>28</v>
      </c>
      <c r="G19" s="18"/>
    </row>
    <row r="20" spans="1:7" x14ac:dyDescent="0.25">
      <c r="A20" s="30">
        <v>0.916343907507436</v>
      </c>
      <c r="B20" s="30">
        <v>0</v>
      </c>
      <c r="C20" s="30">
        <v>28</v>
      </c>
      <c r="G20" s="18"/>
    </row>
    <row r="21" spans="1:7" x14ac:dyDescent="0.25">
      <c r="A21" s="30">
        <v>0.66472500871301032</v>
      </c>
      <c r="B21" s="30">
        <v>0</v>
      </c>
      <c r="C21" s="30">
        <v>28</v>
      </c>
      <c r="G21" s="18"/>
    </row>
    <row r="22" spans="1:7" x14ac:dyDescent="0.25">
      <c r="A22" s="30">
        <v>0.38020230988307341</v>
      </c>
      <c r="B22" s="30">
        <v>0</v>
      </c>
      <c r="C22" s="30">
        <v>28</v>
      </c>
      <c r="G22" s="18"/>
    </row>
    <row r="23" spans="1:7" x14ac:dyDescent="0.25">
      <c r="A23" s="30">
        <v>1.7243412390304731</v>
      </c>
      <c r="B23" s="30">
        <v>0</v>
      </c>
      <c r="C23" s="30">
        <v>28</v>
      </c>
      <c r="G23" s="18"/>
    </row>
    <row r="24" spans="1:7" x14ac:dyDescent="0.25">
      <c r="A24" s="30">
        <v>0.68018418488358445</v>
      </c>
      <c r="B24" s="30">
        <v>0</v>
      </c>
      <c r="C24" s="30">
        <v>28</v>
      </c>
      <c r="G24" s="18"/>
    </row>
    <row r="25" spans="1:7" x14ac:dyDescent="0.25">
      <c r="A25" s="30">
        <v>0.60421550899955667</v>
      </c>
      <c r="B25" s="30">
        <v>0</v>
      </c>
      <c r="C25" s="30">
        <v>28</v>
      </c>
      <c r="G25" s="18"/>
    </row>
    <row r="26" spans="1:7" x14ac:dyDescent="0.25">
      <c r="A26" s="30">
        <v>1.2497840269211982</v>
      </c>
      <c r="B26" s="30">
        <v>0</v>
      </c>
      <c r="C26" s="30">
        <v>28</v>
      </c>
      <c r="G26" s="18"/>
    </row>
    <row r="27" spans="1:7" x14ac:dyDescent="0.25">
      <c r="A27" s="30">
        <v>1.8454677768135599</v>
      </c>
      <c r="B27" s="30">
        <v>0</v>
      </c>
      <c r="C27" s="30">
        <v>28</v>
      </c>
      <c r="G27" s="18"/>
    </row>
    <row r="28" spans="1:7" x14ac:dyDescent="0.25">
      <c r="A28" s="30">
        <v>0.33810622538466778</v>
      </c>
      <c r="B28" s="30">
        <v>0</v>
      </c>
      <c r="C28" s="30">
        <v>28</v>
      </c>
      <c r="G28" s="18"/>
    </row>
    <row r="29" spans="1:7" x14ac:dyDescent="0.25">
      <c r="A29" s="30">
        <v>7.8436185810928108E-2</v>
      </c>
      <c r="B29" s="30">
        <v>0</v>
      </c>
      <c r="C29" s="30">
        <v>28</v>
      </c>
      <c r="G29" s="18"/>
    </row>
    <row r="30" spans="1:7" x14ac:dyDescent="0.25">
      <c r="A30" s="30">
        <v>1.0847380892931144</v>
      </c>
      <c r="B30" s="30">
        <v>0</v>
      </c>
      <c r="C30" s="30">
        <v>28</v>
      </c>
      <c r="G30" s="18"/>
    </row>
    <row r="31" spans="1:7" x14ac:dyDescent="0.25">
      <c r="A31" s="30">
        <v>0.77586708102509316</v>
      </c>
      <c r="B31" s="30">
        <v>0</v>
      </c>
      <c r="C31" s="30">
        <v>28</v>
      </c>
      <c r="G31" s="18"/>
    </row>
    <row r="32" spans="1:7" x14ac:dyDescent="0.25">
      <c r="A32" s="30">
        <v>0.97090957439530823</v>
      </c>
      <c r="B32" s="30">
        <v>0</v>
      </c>
      <c r="C32" s="30">
        <v>28</v>
      </c>
      <c r="G32" s="18"/>
    </row>
    <row r="33" spans="1:7" x14ac:dyDescent="0.25">
      <c r="A33" s="30">
        <v>2.0200584869514437</v>
      </c>
      <c r="B33" s="30">
        <v>0</v>
      </c>
      <c r="C33" s="30">
        <v>28</v>
      </c>
      <c r="G33" s="18"/>
    </row>
    <row r="34" spans="1:7" x14ac:dyDescent="0.25">
      <c r="A34" s="30">
        <v>1.202135879467384</v>
      </c>
      <c r="B34" s="30">
        <v>0</v>
      </c>
      <c r="C34" s="30">
        <v>23.38</v>
      </c>
      <c r="G34" s="18"/>
    </row>
    <row r="35" spans="1:7" x14ac:dyDescent="0.25">
      <c r="A35" s="30">
        <v>1.5416690832133004</v>
      </c>
      <c r="B35" s="30">
        <v>0</v>
      </c>
      <c r="C35" s="30">
        <v>23.38</v>
      </c>
      <c r="G35" s="18"/>
    </row>
    <row r="36" spans="1:7" x14ac:dyDescent="0.25">
      <c r="A36" s="30">
        <v>0.52164557126685085</v>
      </c>
      <c r="B36" s="30">
        <v>0</v>
      </c>
      <c r="C36" s="30">
        <v>23.38</v>
      </c>
      <c r="G36" s="18"/>
    </row>
    <row r="37" spans="1:7" x14ac:dyDescent="0.25">
      <c r="A37" s="30">
        <v>2.2294185275177751</v>
      </c>
      <c r="B37" s="30">
        <v>0</v>
      </c>
      <c r="C37" s="30">
        <v>23.38</v>
      </c>
      <c r="G37" s="18"/>
    </row>
    <row r="38" spans="1:7" x14ac:dyDescent="0.25">
      <c r="A38" s="30">
        <v>0.98774146874146318</v>
      </c>
      <c r="B38" s="30">
        <v>0</v>
      </c>
      <c r="C38" s="30">
        <v>23.38</v>
      </c>
      <c r="G38" s="18"/>
    </row>
    <row r="39" spans="1:7" x14ac:dyDescent="0.25">
      <c r="A39" s="30">
        <v>0.2693858542169057</v>
      </c>
      <c r="B39" s="30">
        <v>0</v>
      </c>
      <c r="C39" s="30">
        <v>23.38</v>
      </c>
      <c r="G39" s="18"/>
    </row>
    <row r="40" spans="1:7" x14ac:dyDescent="0.25">
      <c r="A40" s="30">
        <v>0.65249480182325326</v>
      </c>
      <c r="B40" s="30">
        <v>0</v>
      </c>
      <c r="C40" s="30">
        <v>23.38</v>
      </c>
      <c r="G40" s="18"/>
    </row>
    <row r="41" spans="1:7" x14ac:dyDescent="0.25">
      <c r="A41" s="30">
        <v>2.1644420061952543</v>
      </c>
      <c r="B41" s="30">
        <v>0</v>
      </c>
      <c r="C41" s="30">
        <v>23.38</v>
      </c>
      <c r="G41" s="18"/>
    </row>
    <row r="42" spans="1:7" x14ac:dyDescent="0.25">
      <c r="A42" s="30">
        <v>0.66074824966344825</v>
      </c>
      <c r="B42" s="30">
        <v>0</v>
      </c>
      <c r="C42" s="30">
        <v>23.38</v>
      </c>
      <c r="G42" s="18"/>
    </row>
    <row r="43" spans="1:7" x14ac:dyDescent="0.25">
      <c r="A43" s="30">
        <v>0.70679084603660414</v>
      </c>
      <c r="B43" s="30">
        <v>0</v>
      </c>
      <c r="C43" s="30">
        <v>23.38</v>
      </c>
      <c r="G43" s="18"/>
    </row>
    <row r="44" spans="1:7" x14ac:dyDescent="0.25">
      <c r="A44" s="30">
        <v>1.0744826483042902</v>
      </c>
      <c r="B44" s="30">
        <v>0</v>
      </c>
      <c r="C44" s="30">
        <v>23.38</v>
      </c>
      <c r="G44" s="18"/>
    </row>
    <row r="45" spans="1:7" x14ac:dyDescent="0.25">
      <c r="A45" s="30">
        <v>0.96025117726584452</v>
      </c>
      <c r="B45" s="30">
        <v>0</v>
      </c>
      <c r="C45" s="30">
        <v>23.38</v>
      </c>
      <c r="G45" s="18"/>
    </row>
    <row r="46" spans="1:7" x14ac:dyDescent="0.25">
      <c r="A46" s="30">
        <v>1.1335017713283382</v>
      </c>
      <c r="B46" s="30">
        <v>0</v>
      </c>
      <c r="C46" s="30">
        <v>23.38</v>
      </c>
      <c r="G46" s="18"/>
    </row>
    <row r="47" spans="1:7" x14ac:dyDescent="0.25">
      <c r="A47" s="30">
        <v>2.2139746527791151</v>
      </c>
      <c r="B47" s="30">
        <v>0</v>
      </c>
      <c r="C47" s="30">
        <v>23.38</v>
      </c>
      <c r="G47" s="18"/>
    </row>
    <row r="48" spans="1:7" x14ac:dyDescent="0.25">
      <c r="A48" s="30">
        <v>1.1142427703745754</v>
      </c>
      <c r="B48" s="30">
        <v>0</v>
      </c>
      <c r="C48" s="30">
        <v>23.38</v>
      </c>
      <c r="G48" s="18"/>
    </row>
    <row r="49" spans="1:7" x14ac:dyDescent="0.25">
      <c r="A49" s="30">
        <v>2.0622277971712082</v>
      </c>
      <c r="B49" s="30">
        <v>0</v>
      </c>
      <c r="C49" s="30">
        <v>17.5</v>
      </c>
      <c r="G49" s="18"/>
    </row>
    <row r="50" spans="1:7" x14ac:dyDescent="0.25">
      <c r="A50" s="30">
        <v>1.1820809099202774</v>
      </c>
      <c r="B50" s="30">
        <v>0</v>
      </c>
      <c r="C50" s="30">
        <v>17.5</v>
      </c>
      <c r="G50" s="18"/>
    </row>
    <row r="51" spans="1:7" x14ac:dyDescent="0.25">
      <c r="A51" s="30">
        <v>1.8368344645609915</v>
      </c>
      <c r="B51" s="30">
        <v>0</v>
      </c>
      <c r="C51" s="30">
        <v>17.5</v>
      </c>
      <c r="G51" s="18"/>
    </row>
    <row r="52" spans="1:7" x14ac:dyDescent="0.25">
      <c r="A52" s="30">
        <v>4.0936045213001628E-2</v>
      </c>
      <c r="B52" s="30">
        <v>0</v>
      </c>
      <c r="C52" s="30">
        <v>17.5</v>
      </c>
      <c r="G52" s="18"/>
    </row>
    <row r="53" spans="1:7" x14ac:dyDescent="0.25">
      <c r="A53" s="30">
        <v>1.3438911107657912</v>
      </c>
      <c r="B53" s="30">
        <v>0</v>
      </c>
      <c r="C53" s="30">
        <v>17.5</v>
      </c>
      <c r="G53" s="18"/>
    </row>
    <row r="54" spans="1:7" x14ac:dyDescent="0.25">
      <c r="A54" s="30">
        <v>0.86560873484511236</v>
      </c>
      <c r="B54" s="30">
        <v>0</v>
      </c>
      <c r="C54" s="30">
        <v>17.5</v>
      </c>
      <c r="G54" s="18"/>
    </row>
    <row r="55" spans="1:7" x14ac:dyDescent="0.25">
      <c r="A55" s="30">
        <v>1.0561874321653242</v>
      </c>
      <c r="B55" s="30">
        <v>0</v>
      </c>
      <c r="C55" s="30">
        <v>17.5</v>
      </c>
      <c r="G55" s="18"/>
    </row>
    <row r="56" spans="1:7" x14ac:dyDescent="0.25">
      <c r="A56" s="30">
        <v>0.92298984288562935</v>
      </c>
      <c r="B56" s="30">
        <v>0</v>
      </c>
      <c r="C56" s="30">
        <v>17.5</v>
      </c>
      <c r="G56" s="18"/>
    </row>
    <row r="57" spans="1:7" x14ac:dyDescent="0.25">
      <c r="A57" s="30">
        <v>1.5056960577027005</v>
      </c>
      <c r="B57" s="30">
        <v>0</v>
      </c>
      <c r="C57" s="30">
        <v>17.5</v>
      </c>
      <c r="G57" s="18"/>
    </row>
    <row r="58" spans="1:7" x14ac:dyDescent="0.25">
      <c r="A58" s="30">
        <v>0.33457054933641844</v>
      </c>
      <c r="B58" s="30">
        <v>0</v>
      </c>
      <c r="C58" s="30">
        <v>17.5</v>
      </c>
      <c r="G58" s="18"/>
    </row>
    <row r="59" spans="1:7" x14ac:dyDescent="0.25">
      <c r="A59" s="30">
        <v>0.10889896987122771</v>
      </c>
      <c r="B59" s="30">
        <v>0</v>
      </c>
      <c r="C59" s="30">
        <v>17.5</v>
      </c>
      <c r="G59" s="18"/>
    </row>
    <row r="60" spans="1:7" x14ac:dyDescent="0.25">
      <c r="A60" s="30">
        <v>1.0723315855619711</v>
      </c>
      <c r="B60" s="30">
        <v>0</v>
      </c>
      <c r="C60" s="30">
        <v>17.5</v>
      </c>
      <c r="G60" s="18"/>
    </row>
    <row r="61" spans="1:7" x14ac:dyDescent="0.25">
      <c r="A61" s="30">
        <v>0.96497509350264676</v>
      </c>
      <c r="B61" s="30">
        <v>0</v>
      </c>
      <c r="C61" s="30">
        <v>17.5</v>
      </c>
      <c r="G61" s="18"/>
    </row>
    <row r="62" spans="1:7" x14ac:dyDescent="0.25">
      <c r="A62" s="30">
        <v>1.3202189139876634</v>
      </c>
      <c r="B62" s="30">
        <v>0</v>
      </c>
      <c r="C62" s="30">
        <v>17.5</v>
      </c>
      <c r="G62" s="18"/>
    </row>
    <row r="63" spans="1:7" x14ac:dyDescent="0.25">
      <c r="A63" s="30">
        <v>1.9936000330408106</v>
      </c>
      <c r="B63" s="30">
        <v>0</v>
      </c>
      <c r="C63" s="30">
        <v>17.5</v>
      </c>
      <c r="G63" s="18"/>
    </row>
    <row r="64" spans="1:7" x14ac:dyDescent="0.25">
      <c r="A64" s="30">
        <v>0.68461030520816402</v>
      </c>
      <c r="B64" s="30">
        <v>0</v>
      </c>
      <c r="C64" s="30">
        <v>20.02</v>
      </c>
      <c r="G64" s="18"/>
    </row>
    <row r="65" spans="1:7" x14ac:dyDescent="0.25">
      <c r="A65" s="30">
        <v>1.8948199111174873</v>
      </c>
      <c r="B65" s="30">
        <v>0</v>
      </c>
      <c r="C65" s="30">
        <v>20.02</v>
      </c>
      <c r="G65" s="18"/>
    </row>
    <row r="66" spans="1:7" x14ac:dyDescent="0.25">
      <c r="A66" s="30">
        <v>0.70313088694271653</v>
      </c>
      <c r="B66" s="30">
        <v>0</v>
      </c>
      <c r="C66" s="30">
        <v>20.02</v>
      </c>
      <c r="G66" s="18"/>
    </row>
    <row r="67" spans="1:7" x14ac:dyDescent="0.25">
      <c r="A67" s="30">
        <v>1.2743126182785462</v>
      </c>
      <c r="B67" s="30">
        <v>0</v>
      </c>
      <c r="C67" s="30">
        <v>20.02</v>
      </c>
      <c r="G67" s="18"/>
    </row>
    <row r="68" spans="1:7" x14ac:dyDescent="0.25">
      <c r="A68" s="30">
        <v>0.72403722092214018</v>
      </c>
      <c r="B68" s="30">
        <v>0</v>
      </c>
      <c r="C68" s="30">
        <v>20.02</v>
      </c>
      <c r="G68" s="18"/>
    </row>
    <row r="69" spans="1:7" x14ac:dyDescent="0.25">
      <c r="A69" s="30">
        <v>2.0872941473177882</v>
      </c>
      <c r="B69" s="30">
        <v>0</v>
      </c>
      <c r="C69" s="30">
        <v>20.02</v>
      </c>
      <c r="G69" s="18"/>
    </row>
    <row r="70" spans="1:7" x14ac:dyDescent="0.25">
      <c r="A70" s="30">
        <v>1.0484710087221292</v>
      </c>
      <c r="B70" s="30">
        <v>0</v>
      </c>
      <c r="C70" s="30">
        <v>20.02</v>
      </c>
      <c r="G70" s="18"/>
    </row>
    <row r="71" spans="1:7" x14ac:dyDescent="0.25">
      <c r="A71" s="30">
        <v>0.5037151555955437</v>
      </c>
      <c r="B71" s="30">
        <v>0</v>
      </c>
      <c r="C71" s="30">
        <v>20.02</v>
      </c>
      <c r="G71" s="18"/>
    </row>
    <row r="72" spans="1:7" x14ac:dyDescent="0.25">
      <c r="A72" s="30">
        <v>0.18113568329192031</v>
      </c>
      <c r="B72" s="30">
        <v>0</v>
      </c>
      <c r="C72" s="30">
        <v>20.02</v>
      </c>
      <c r="G72" s="18"/>
    </row>
    <row r="73" spans="1:7" x14ac:dyDescent="0.25">
      <c r="A73" s="30">
        <v>0.72768501467765423</v>
      </c>
      <c r="B73" s="30">
        <v>0</v>
      </c>
      <c r="C73" s="30">
        <v>20.02</v>
      </c>
      <c r="G73" s="18"/>
    </row>
    <row r="74" spans="1:7" x14ac:dyDescent="0.25">
      <c r="A74" s="30">
        <v>0.77597776387477924</v>
      </c>
      <c r="B74" s="30">
        <v>0</v>
      </c>
      <c r="C74" s="30">
        <v>20.02</v>
      </c>
      <c r="G74" s="18"/>
    </row>
    <row r="75" spans="1:7" x14ac:dyDescent="0.25">
      <c r="A75" s="30">
        <v>0.21989791430963174</v>
      </c>
      <c r="B75" s="30">
        <v>0</v>
      </c>
      <c r="C75" s="30">
        <v>20.02</v>
      </c>
      <c r="G75" s="18"/>
    </row>
    <row r="76" spans="1:7" x14ac:dyDescent="0.25">
      <c r="A76" s="30">
        <v>1.222927149119259</v>
      </c>
      <c r="B76" s="30">
        <v>0</v>
      </c>
      <c r="C76" s="30">
        <v>20.02</v>
      </c>
      <c r="G76" s="18"/>
    </row>
    <row r="77" spans="1:7" x14ac:dyDescent="0.25">
      <c r="A77" s="30">
        <v>0.71110586613604698</v>
      </c>
      <c r="B77" s="30">
        <v>0</v>
      </c>
      <c r="C77" s="30">
        <v>20.02</v>
      </c>
      <c r="G77" s="18"/>
    </row>
    <row r="78" spans="1:7" x14ac:dyDescent="0.25">
      <c r="A78" s="30">
        <v>0.13864666730955363</v>
      </c>
      <c r="B78" s="30">
        <v>0</v>
      </c>
      <c r="C78" s="30">
        <v>20.02</v>
      </c>
      <c r="G78" s="18"/>
    </row>
    <row r="79" spans="1:7" x14ac:dyDescent="0.25">
      <c r="A79" s="30">
        <v>1.4419281023252615</v>
      </c>
      <c r="B79" s="30">
        <v>0</v>
      </c>
      <c r="C79" s="30">
        <v>20.02</v>
      </c>
      <c r="G79" s="18"/>
    </row>
    <row r="80" spans="1:7" x14ac:dyDescent="0.25">
      <c r="A80" s="30">
        <v>0.48655295043324998</v>
      </c>
      <c r="B80" s="30">
        <v>0</v>
      </c>
      <c r="C80" s="30">
        <v>38.92</v>
      </c>
      <c r="G80" s="18"/>
    </row>
    <row r="81" spans="1:7" x14ac:dyDescent="0.25">
      <c r="A81" s="30">
        <v>0.26102440402123051</v>
      </c>
      <c r="B81" s="30">
        <v>0</v>
      </c>
      <c r="C81" s="30">
        <v>38.92</v>
      </c>
      <c r="G81" s="18"/>
    </row>
    <row r="82" spans="1:7" x14ac:dyDescent="0.25">
      <c r="A82" s="30">
        <v>0.60955058444752841</v>
      </c>
      <c r="B82" s="30">
        <v>0</v>
      </c>
      <c r="C82" s="30">
        <v>38.92</v>
      </c>
      <c r="G82" s="18"/>
    </row>
    <row r="83" spans="1:7" x14ac:dyDescent="0.25">
      <c r="A83" s="30">
        <v>1.1463735239476804</v>
      </c>
      <c r="B83" s="30">
        <v>0</v>
      </c>
      <c r="C83" s="30">
        <v>38.92</v>
      </c>
      <c r="G83" s="18"/>
    </row>
    <row r="84" spans="1:7" x14ac:dyDescent="0.25">
      <c r="A84" s="30">
        <v>9.9133302492236727E-3</v>
      </c>
      <c r="B84" s="30">
        <v>0</v>
      </c>
      <c r="C84" s="30">
        <v>38.92</v>
      </c>
      <c r="G84" s="18"/>
    </row>
    <row r="85" spans="1:7" x14ac:dyDescent="0.25">
      <c r="A85" s="30">
        <v>0.90984547146783223</v>
      </c>
      <c r="B85" s="30">
        <v>0</v>
      </c>
      <c r="C85" s="30">
        <v>38.92</v>
      </c>
      <c r="G85" s="18"/>
    </row>
    <row r="86" spans="1:7" x14ac:dyDescent="0.25">
      <c r="A86" s="30">
        <v>1.2592081074670316</v>
      </c>
      <c r="B86" s="30">
        <v>0</v>
      </c>
      <c r="C86" s="30">
        <v>38.92</v>
      </c>
      <c r="G86" s="18"/>
    </row>
    <row r="87" spans="1:7" x14ac:dyDescent="0.25">
      <c r="A87" s="30">
        <v>1.8316589837654209</v>
      </c>
      <c r="B87" s="30">
        <v>0</v>
      </c>
      <c r="C87" s="30">
        <v>38.92</v>
      </c>
      <c r="G87" s="18"/>
    </row>
    <row r="88" spans="1:7" x14ac:dyDescent="0.25">
      <c r="A88" s="30">
        <v>0.13029859248837203</v>
      </c>
      <c r="B88" s="30">
        <v>0</v>
      </c>
      <c r="C88" s="30">
        <v>38.92</v>
      </c>
      <c r="G88" s="18"/>
    </row>
    <row r="89" spans="1:7" x14ac:dyDescent="0.25">
      <c r="A89" s="30">
        <v>1.5305992928983123</v>
      </c>
      <c r="B89" s="30">
        <v>0</v>
      </c>
      <c r="C89" s="30">
        <v>38.92</v>
      </c>
      <c r="G89" s="18"/>
    </row>
    <row r="90" spans="1:7" x14ac:dyDescent="0.25">
      <c r="A90" s="30">
        <v>0.4788067255222862</v>
      </c>
      <c r="B90" s="30">
        <v>0</v>
      </c>
      <c r="C90" s="30">
        <v>38.92</v>
      </c>
      <c r="G90" s="18"/>
    </row>
    <row r="91" spans="1:7" x14ac:dyDescent="0.25">
      <c r="A91" s="30">
        <v>1.8217605329333533</v>
      </c>
      <c r="B91" s="30">
        <v>0</v>
      </c>
      <c r="C91" s="30">
        <v>38.92</v>
      </c>
      <c r="G91" s="18"/>
    </row>
    <row r="92" spans="1:7" x14ac:dyDescent="0.25">
      <c r="A92" s="30">
        <v>0.92464934292249568</v>
      </c>
      <c r="B92" s="30">
        <v>0</v>
      </c>
      <c r="C92" s="30">
        <v>38.92</v>
      </c>
      <c r="G92" s="18"/>
    </row>
    <row r="93" spans="1:7" x14ac:dyDescent="0.25">
      <c r="A93" s="30">
        <v>0.82044658638968904</v>
      </c>
      <c r="B93" s="30">
        <v>0</v>
      </c>
      <c r="C93" s="30">
        <v>38.92</v>
      </c>
      <c r="G93" s="18"/>
    </row>
    <row r="94" spans="1:7" x14ac:dyDescent="0.25">
      <c r="A94" s="30">
        <v>1.3757870487020569</v>
      </c>
      <c r="B94" s="30">
        <v>0</v>
      </c>
      <c r="C94" s="30">
        <v>38.92</v>
      </c>
      <c r="G94" s="18"/>
    </row>
    <row r="95" spans="1:7" x14ac:dyDescent="0.25">
      <c r="A95" s="30">
        <v>2.2485605484025513</v>
      </c>
      <c r="B95" s="30">
        <v>0</v>
      </c>
      <c r="C95" s="30">
        <v>16.38</v>
      </c>
      <c r="G95" s="18"/>
    </row>
    <row r="96" spans="1:7" x14ac:dyDescent="0.25">
      <c r="A96" s="30">
        <v>1.3417871062559819</v>
      </c>
      <c r="B96" s="30">
        <v>0</v>
      </c>
      <c r="C96" s="30">
        <v>16.38</v>
      </c>
      <c r="G96" s="18"/>
    </row>
    <row r="97" spans="1:7" x14ac:dyDescent="0.25">
      <c r="A97" s="30">
        <v>1.1303526282973704</v>
      </c>
      <c r="B97" s="30">
        <v>0</v>
      </c>
      <c r="C97" s="30">
        <v>16.38</v>
      </c>
      <c r="G97" s="18"/>
    </row>
    <row r="98" spans="1:7" x14ac:dyDescent="0.25">
      <c r="A98" s="30">
        <v>0.1347934348938534</v>
      </c>
      <c r="B98" s="30">
        <v>0</v>
      </c>
      <c r="C98" s="30">
        <v>16.38</v>
      </c>
      <c r="G98" s="18"/>
    </row>
    <row r="99" spans="1:7" x14ac:dyDescent="0.25">
      <c r="A99" s="30">
        <v>2.2185114619065751</v>
      </c>
      <c r="B99" s="30">
        <v>0</v>
      </c>
      <c r="C99" s="30">
        <v>16.38</v>
      </c>
      <c r="G99" s="18"/>
    </row>
    <row r="100" spans="1:7" x14ac:dyDescent="0.25">
      <c r="A100" s="30">
        <v>0.67796982876057355</v>
      </c>
      <c r="B100" s="30">
        <v>0</v>
      </c>
      <c r="C100" s="30">
        <v>16.38</v>
      </c>
      <c r="G100" s="18"/>
    </row>
    <row r="101" spans="1:7" x14ac:dyDescent="0.25">
      <c r="A101" s="30">
        <v>0.18388328375408119</v>
      </c>
      <c r="B101" s="30">
        <v>0</v>
      </c>
      <c r="C101" s="30">
        <v>16.38</v>
      </c>
      <c r="G101" s="18"/>
    </row>
    <row r="102" spans="1:7" x14ac:dyDescent="0.25">
      <c r="A102" s="30">
        <v>0.29132849989823695</v>
      </c>
      <c r="B102" s="30">
        <v>0</v>
      </c>
      <c r="C102" s="30">
        <v>16.38</v>
      </c>
      <c r="G102" s="18"/>
    </row>
    <row r="103" spans="1:7" x14ac:dyDescent="0.25">
      <c r="A103" s="30">
        <v>0.48315616503589676</v>
      </c>
      <c r="B103" s="30">
        <v>0</v>
      </c>
      <c r="C103" s="30">
        <v>16.38</v>
      </c>
      <c r="G103" s="18"/>
    </row>
    <row r="104" spans="1:7" x14ac:dyDescent="0.25">
      <c r="A104" s="30">
        <v>1.0432439865555359</v>
      </c>
      <c r="B104" s="30">
        <v>0</v>
      </c>
      <c r="C104" s="30">
        <v>16.38</v>
      </c>
      <c r="G104" s="18"/>
    </row>
    <row r="105" spans="1:7" x14ac:dyDescent="0.25">
      <c r="A105" s="30">
        <v>1.131705791048552</v>
      </c>
      <c r="B105" s="30">
        <v>0</v>
      </c>
      <c r="C105" s="30">
        <v>16.38</v>
      </c>
      <c r="G105" s="18"/>
    </row>
    <row r="106" spans="1:7" x14ac:dyDescent="0.25">
      <c r="A106" s="30">
        <v>0.10340672391925194</v>
      </c>
      <c r="B106" s="30">
        <v>0</v>
      </c>
      <c r="C106" s="30">
        <v>16.38</v>
      </c>
      <c r="G106" s="18"/>
    </row>
    <row r="107" spans="1:7" x14ac:dyDescent="0.25">
      <c r="A107" s="30">
        <v>1.5317077097882028</v>
      </c>
      <c r="B107" s="30">
        <v>0</v>
      </c>
      <c r="C107" s="30">
        <v>16.38</v>
      </c>
      <c r="G107" s="18"/>
    </row>
    <row r="108" spans="1:7" x14ac:dyDescent="0.25">
      <c r="A108" s="30">
        <v>1.135643939315834</v>
      </c>
      <c r="B108" s="30">
        <v>0</v>
      </c>
      <c r="C108" s="30">
        <v>16.38</v>
      </c>
      <c r="G108" s="18"/>
    </row>
    <row r="109" spans="1:7" x14ac:dyDescent="0.25">
      <c r="A109" s="30">
        <v>1.9734428172840939</v>
      </c>
      <c r="B109" s="30">
        <v>0</v>
      </c>
      <c r="C109" s="30">
        <v>16.38</v>
      </c>
      <c r="G109" s="18"/>
    </row>
    <row r="110" spans="1:7" x14ac:dyDescent="0.25">
      <c r="A110" s="30">
        <v>1.2094414527061796</v>
      </c>
      <c r="B110" s="30">
        <v>0</v>
      </c>
      <c r="C110" s="30">
        <v>16.38</v>
      </c>
      <c r="G110" s="18"/>
    </row>
    <row r="111" spans="1:7" x14ac:dyDescent="0.25">
      <c r="A111" s="30">
        <v>1.8262352089141884</v>
      </c>
      <c r="B111" s="30">
        <v>0</v>
      </c>
      <c r="C111" s="30">
        <v>16.66</v>
      </c>
      <c r="G111" s="18"/>
    </row>
    <row r="112" spans="1:7" x14ac:dyDescent="0.25">
      <c r="A112" s="30">
        <v>0.92783495880846734</v>
      </c>
      <c r="B112" s="30">
        <v>0</v>
      </c>
      <c r="C112" s="30">
        <v>16.66</v>
      </c>
      <c r="G112" s="18"/>
    </row>
    <row r="113" spans="1:7" x14ac:dyDescent="0.25">
      <c r="A113" s="30">
        <v>1.2682212046728822</v>
      </c>
      <c r="B113" s="30">
        <v>0</v>
      </c>
      <c r="C113" s="30">
        <v>16.66</v>
      </c>
      <c r="G113" s="18"/>
    </row>
    <row r="114" spans="1:7" x14ac:dyDescent="0.25">
      <c r="A114" s="30">
        <v>1.7528491794955459E-2</v>
      </c>
      <c r="B114" s="30">
        <v>0</v>
      </c>
      <c r="C114" s="30">
        <v>16.66</v>
      </c>
      <c r="G114" s="18"/>
    </row>
    <row r="115" spans="1:7" x14ac:dyDescent="0.25">
      <c r="A115" s="30">
        <v>0.92901096084625068</v>
      </c>
      <c r="B115" s="30">
        <v>0</v>
      </c>
      <c r="C115" s="30">
        <v>16.66</v>
      </c>
      <c r="G115" s="18"/>
    </row>
    <row r="116" spans="1:7" x14ac:dyDescent="0.25">
      <c r="A116" s="30">
        <v>0.72621936747982296</v>
      </c>
      <c r="B116" s="30">
        <v>0</v>
      </c>
      <c r="C116" s="30">
        <v>16.66</v>
      </c>
      <c r="G116" s="18"/>
    </row>
    <row r="117" spans="1:7" x14ac:dyDescent="0.25">
      <c r="A117" s="30">
        <v>2.1535314040875453</v>
      </c>
      <c r="B117" s="30">
        <v>0</v>
      </c>
      <c r="C117" s="30">
        <v>16.66</v>
      </c>
      <c r="G117" s="18"/>
    </row>
    <row r="118" spans="1:7" x14ac:dyDescent="0.25">
      <c r="A118" s="30">
        <v>0.18130689483876</v>
      </c>
      <c r="B118" s="30">
        <v>0</v>
      </c>
      <c r="C118" s="30">
        <v>16.66</v>
      </c>
      <c r="G118" s="18"/>
    </row>
    <row r="119" spans="1:7" x14ac:dyDescent="0.25">
      <c r="A119" s="30">
        <v>1.2259693982910282</v>
      </c>
      <c r="B119" s="30">
        <v>0</v>
      </c>
      <c r="C119" s="30">
        <v>16.66</v>
      </c>
      <c r="G119" s="18"/>
    </row>
    <row r="120" spans="1:7" x14ac:dyDescent="0.25">
      <c r="A120" s="30">
        <v>0.35278913156732283</v>
      </c>
      <c r="B120" s="30">
        <v>0</v>
      </c>
      <c r="C120" s="30">
        <v>16.66</v>
      </c>
      <c r="G120" s="18"/>
    </row>
    <row r="121" spans="1:7" x14ac:dyDescent="0.25">
      <c r="A121" s="30">
        <v>1.5582048555950645</v>
      </c>
      <c r="B121" s="30">
        <v>0</v>
      </c>
      <c r="C121" s="30">
        <v>16.66</v>
      </c>
      <c r="G121" s="18"/>
    </row>
    <row r="122" spans="1:7" x14ac:dyDescent="0.25">
      <c r="A122" s="30">
        <v>1.3639558815425603</v>
      </c>
      <c r="B122" s="30">
        <v>0</v>
      </c>
      <c r="C122" s="30">
        <v>16.66</v>
      </c>
      <c r="G122" s="18"/>
    </row>
    <row r="123" spans="1:7" x14ac:dyDescent="0.25">
      <c r="A123" s="30">
        <v>0.54360813978018618</v>
      </c>
      <c r="B123" s="30">
        <v>0</v>
      </c>
      <c r="C123" s="30">
        <v>16.66</v>
      </c>
      <c r="G123" s="18"/>
    </row>
    <row r="124" spans="1:7" x14ac:dyDescent="0.25">
      <c r="A124" s="30">
        <v>0.97887512248094277</v>
      </c>
      <c r="B124" s="30">
        <v>0</v>
      </c>
      <c r="C124" s="30">
        <v>16.66</v>
      </c>
      <c r="G124" s="18"/>
    </row>
    <row r="125" spans="1:7" x14ac:dyDescent="0.25">
      <c r="A125" s="30">
        <v>0.54494767663458377</v>
      </c>
      <c r="B125" s="30">
        <v>0</v>
      </c>
      <c r="C125" s="30">
        <v>16.66</v>
      </c>
      <c r="G125" s="18"/>
    </row>
    <row r="126" spans="1:7" x14ac:dyDescent="0.25">
      <c r="A126" s="30">
        <v>0.52721695696969151</v>
      </c>
      <c r="B126" s="30">
        <v>0</v>
      </c>
      <c r="C126" s="30">
        <v>16.66</v>
      </c>
      <c r="G126" s="18"/>
    </row>
    <row r="127" spans="1:7" x14ac:dyDescent="0.25">
      <c r="A127" s="30">
        <v>1.4418159047225054</v>
      </c>
      <c r="B127" s="30">
        <v>0</v>
      </c>
      <c r="C127" s="30">
        <v>29.119999999999997</v>
      </c>
      <c r="G127" s="18"/>
    </row>
    <row r="128" spans="1:7" x14ac:dyDescent="0.25">
      <c r="A128" s="30">
        <v>0.46343770312950727</v>
      </c>
      <c r="B128" s="30">
        <v>0</v>
      </c>
      <c r="C128" s="30">
        <v>29.119999999999997</v>
      </c>
      <c r="G128" s="18"/>
    </row>
    <row r="129" spans="1:7" x14ac:dyDescent="0.25">
      <c r="A129" s="30">
        <v>0.3776972099960999</v>
      </c>
      <c r="B129" s="30">
        <v>0</v>
      </c>
      <c r="C129" s="30">
        <v>29.119999999999997</v>
      </c>
      <c r="G129" s="18"/>
    </row>
    <row r="130" spans="1:7" x14ac:dyDescent="0.25">
      <c r="A130" s="30">
        <v>3.1949529242216654E-2</v>
      </c>
      <c r="B130" s="30">
        <v>0</v>
      </c>
      <c r="C130" s="30">
        <v>29.119999999999997</v>
      </c>
      <c r="G130" s="18"/>
    </row>
    <row r="131" spans="1:7" x14ac:dyDescent="0.25">
      <c r="A131" s="30">
        <v>1.9515259493897781</v>
      </c>
      <c r="B131" s="30">
        <v>0</v>
      </c>
      <c r="C131" s="30">
        <v>29.119999999999997</v>
      </c>
      <c r="G131" s="18"/>
    </row>
    <row r="132" spans="1:7" x14ac:dyDescent="0.25">
      <c r="A132" s="30">
        <v>1.0203978997370278</v>
      </c>
      <c r="B132" s="30">
        <v>0</v>
      </c>
      <c r="C132" s="30">
        <v>29.119999999999997</v>
      </c>
      <c r="G132" s="18"/>
    </row>
    <row r="133" spans="1:7" x14ac:dyDescent="0.25">
      <c r="A133" s="30">
        <v>4.8799746439189204E-2</v>
      </c>
      <c r="B133" s="30">
        <v>0</v>
      </c>
      <c r="C133" s="30">
        <v>29.119999999999997</v>
      </c>
      <c r="G133" s="18"/>
    </row>
    <row r="134" spans="1:7" x14ac:dyDescent="0.25">
      <c r="A134" s="30">
        <v>1.0084554578666873</v>
      </c>
      <c r="B134" s="30">
        <v>0</v>
      </c>
      <c r="C134" s="30">
        <v>29.119999999999997</v>
      </c>
      <c r="G134" s="18"/>
    </row>
    <row r="135" spans="1:7" x14ac:dyDescent="0.25">
      <c r="A135" s="30">
        <v>1.6800990334166535</v>
      </c>
      <c r="B135" s="30">
        <v>0</v>
      </c>
      <c r="C135" s="30">
        <v>29.119999999999997</v>
      </c>
      <c r="G135" s="18"/>
    </row>
    <row r="136" spans="1:7" x14ac:dyDescent="0.25">
      <c r="A136" s="30">
        <v>0.3723521383314129</v>
      </c>
      <c r="B136" s="30">
        <v>0</v>
      </c>
      <c r="C136" s="30">
        <v>29.119999999999997</v>
      </c>
      <c r="G136" s="18"/>
    </row>
    <row r="137" spans="1:7" x14ac:dyDescent="0.25">
      <c r="A137" s="30">
        <v>2.3933676989005255</v>
      </c>
      <c r="B137" s="30">
        <v>0</v>
      </c>
      <c r="C137" s="30">
        <v>29.119999999999997</v>
      </c>
      <c r="G137" s="18"/>
    </row>
    <row r="138" spans="1:7" x14ac:dyDescent="0.25">
      <c r="A138" s="30">
        <v>0.15636658709727388</v>
      </c>
      <c r="B138" s="30">
        <v>0</v>
      </c>
      <c r="C138" s="30">
        <v>29.119999999999997</v>
      </c>
      <c r="G138" s="18"/>
    </row>
    <row r="139" spans="1:7" x14ac:dyDescent="0.25">
      <c r="A139" s="30">
        <v>1.8421517865819159</v>
      </c>
      <c r="B139" s="30">
        <v>0</v>
      </c>
      <c r="C139" s="30">
        <v>29.119999999999997</v>
      </c>
      <c r="G139" s="18"/>
    </row>
    <row r="140" spans="1:7" x14ac:dyDescent="0.25">
      <c r="A140" s="30">
        <v>1.0870884003498396</v>
      </c>
      <c r="B140" s="30">
        <v>0</v>
      </c>
      <c r="C140" s="30">
        <v>29.119999999999997</v>
      </c>
      <c r="G140" s="18"/>
    </row>
    <row r="141" spans="1:7" x14ac:dyDescent="0.25">
      <c r="A141" s="30">
        <v>1.6333802636328449</v>
      </c>
      <c r="B141" s="30">
        <v>0</v>
      </c>
      <c r="C141" s="30">
        <v>29.119999999999997</v>
      </c>
      <c r="G141" s="18"/>
    </row>
    <row r="142" spans="1:7" x14ac:dyDescent="0.25">
      <c r="A142" s="30">
        <v>0.19295008239415601</v>
      </c>
      <c r="B142" s="30">
        <v>0</v>
      </c>
      <c r="C142" s="30">
        <v>29.119999999999997</v>
      </c>
      <c r="G142" s="18"/>
    </row>
    <row r="143" spans="1:7" x14ac:dyDescent="0.25">
      <c r="A143" s="30">
        <v>0.68410366178177617</v>
      </c>
      <c r="B143" s="30">
        <v>0</v>
      </c>
      <c r="C143" s="30">
        <v>15.26</v>
      </c>
      <c r="G143" s="18"/>
    </row>
    <row r="144" spans="1:7" x14ac:dyDescent="0.25">
      <c r="A144" s="30">
        <v>0.37673664776087268</v>
      </c>
      <c r="B144" s="30">
        <v>0</v>
      </c>
      <c r="C144" s="30">
        <v>15.26</v>
      </c>
      <c r="G144" s="18"/>
    </row>
    <row r="145" spans="1:7" x14ac:dyDescent="0.25">
      <c r="A145" s="30">
        <v>1.4901226256412705</v>
      </c>
      <c r="B145" s="30">
        <v>0</v>
      </c>
      <c r="C145" s="30">
        <v>15.26</v>
      </c>
      <c r="G145" s="18"/>
    </row>
    <row r="146" spans="1:7" x14ac:dyDescent="0.25">
      <c r="A146" s="30">
        <v>0.77280589104790731</v>
      </c>
      <c r="B146" s="30">
        <v>0</v>
      </c>
      <c r="C146" s="30">
        <v>15.26</v>
      </c>
      <c r="G146" s="18"/>
    </row>
    <row r="147" spans="1:7" x14ac:dyDescent="0.25">
      <c r="A147" s="30">
        <v>0.67387373571843412</v>
      </c>
      <c r="B147" s="30">
        <v>0</v>
      </c>
      <c r="C147" s="30">
        <v>15.26</v>
      </c>
      <c r="G147" s="18"/>
    </row>
    <row r="148" spans="1:7" x14ac:dyDescent="0.25">
      <c r="A148" s="30">
        <v>0.88825753105727068</v>
      </c>
      <c r="B148" s="30">
        <v>0</v>
      </c>
      <c r="C148" s="30">
        <v>15.26</v>
      </c>
      <c r="G148" s="18"/>
    </row>
    <row r="149" spans="1:7" x14ac:dyDescent="0.25">
      <c r="A149" s="30">
        <v>0.61241102898062505</v>
      </c>
      <c r="B149" s="30">
        <v>0</v>
      </c>
      <c r="C149" s="30">
        <v>15.26</v>
      </c>
      <c r="G149" s="18"/>
    </row>
    <row r="150" spans="1:7" x14ac:dyDescent="0.25">
      <c r="A150" s="30">
        <v>1.1283622929953323</v>
      </c>
      <c r="B150" s="30">
        <v>0</v>
      </c>
      <c r="C150" s="30">
        <v>15.26</v>
      </c>
      <c r="G150" s="18"/>
    </row>
    <row r="151" spans="1:7" x14ac:dyDescent="0.25">
      <c r="A151" s="30">
        <v>2.3962981332237856</v>
      </c>
      <c r="B151" s="30">
        <v>0</v>
      </c>
      <c r="C151" s="30">
        <v>15.26</v>
      </c>
      <c r="G151" s="18"/>
    </row>
    <row r="152" spans="1:7" x14ac:dyDescent="0.25">
      <c r="A152" s="30">
        <v>1.3610081875478266</v>
      </c>
      <c r="B152" s="30">
        <v>0</v>
      </c>
      <c r="C152" s="30">
        <v>15.26</v>
      </c>
      <c r="G152" s="18"/>
    </row>
    <row r="153" spans="1:7" x14ac:dyDescent="0.25">
      <c r="A153" s="30">
        <v>1.1982009521615884</v>
      </c>
      <c r="B153" s="30">
        <v>0</v>
      </c>
      <c r="C153" s="30">
        <v>15.26</v>
      </c>
      <c r="G153" s="18"/>
    </row>
    <row r="154" spans="1:7" x14ac:dyDescent="0.25">
      <c r="A154" s="30">
        <v>0.3087705343229733</v>
      </c>
      <c r="B154" s="30">
        <v>0</v>
      </c>
      <c r="C154" s="30">
        <v>15.26</v>
      </c>
      <c r="G154" s="18"/>
    </row>
    <row r="155" spans="1:7" x14ac:dyDescent="0.25">
      <c r="A155" s="30">
        <v>2.2301063692172232</v>
      </c>
      <c r="B155" s="30">
        <v>0</v>
      </c>
      <c r="C155" s="30">
        <v>15.26</v>
      </c>
      <c r="G155" s="18"/>
    </row>
    <row r="156" spans="1:7" x14ac:dyDescent="0.25">
      <c r="A156" s="30">
        <v>0.69034066384951032</v>
      </c>
      <c r="B156" s="30">
        <v>0</v>
      </c>
      <c r="C156" s="30">
        <v>15.26</v>
      </c>
      <c r="G156" s="18"/>
    </row>
    <row r="157" spans="1:7" x14ac:dyDescent="0.25">
      <c r="A157" s="30">
        <v>1.0896423303243048</v>
      </c>
      <c r="B157" s="30">
        <v>0</v>
      </c>
      <c r="C157" s="30">
        <v>15.26</v>
      </c>
      <c r="G157" s="18"/>
    </row>
    <row r="158" spans="1:7" x14ac:dyDescent="0.25">
      <c r="A158" s="30">
        <v>0.97954465207822705</v>
      </c>
      <c r="B158" s="30">
        <v>0</v>
      </c>
      <c r="C158" s="30">
        <v>15.26</v>
      </c>
      <c r="G158" s="18"/>
    </row>
    <row r="159" spans="1:7" x14ac:dyDescent="0.25">
      <c r="A159" s="30">
        <v>1.4984064949580633</v>
      </c>
      <c r="B159" s="30">
        <v>0</v>
      </c>
      <c r="C159" s="30">
        <v>15.26</v>
      </c>
      <c r="G159" s="18"/>
    </row>
    <row r="160" spans="1:7" x14ac:dyDescent="0.25">
      <c r="A160" s="30">
        <v>1.1834117073666248</v>
      </c>
      <c r="B160" s="30">
        <v>0</v>
      </c>
      <c r="C160" s="30">
        <v>13.16</v>
      </c>
      <c r="G160" s="18"/>
    </row>
    <row r="161" spans="1:7" x14ac:dyDescent="0.25">
      <c r="A161" s="30">
        <v>1.5588365176500159</v>
      </c>
      <c r="B161" s="30">
        <v>0</v>
      </c>
      <c r="C161" s="30">
        <v>13.16</v>
      </c>
      <c r="G161" s="18"/>
    </row>
    <row r="162" spans="1:7" x14ac:dyDescent="0.25">
      <c r="A162" s="30">
        <v>5.3675771145771309E-2</v>
      </c>
      <c r="B162" s="30">
        <v>0</v>
      </c>
      <c r="C162" s="30">
        <v>13.16</v>
      </c>
      <c r="G162" s="18"/>
    </row>
    <row r="163" spans="1:7" x14ac:dyDescent="0.25">
      <c r="A163" s="30">
        <v>1.0076332330556448</v>
      </c>
      <c r="B163" s="30">
        <v>0</v>
      </c>
      <c r="C163" s="30">
        <v>13.16</v>
      </c>
      <c r="G163" s="18"/>
    </row>
    <row r="164" spans="1:7" x14ac:dyDescent="0.25">
      <c r="A164" s="30">
        <v>1.3847946964613533</v>
      </c>
      <c r="B164" s="30">
        <v>0</v>
      </c>
      <c r="C164" s="30">
        <v>13.16</v>
      </c>
      <c r="G164" s="18"/>
    </row>
    <row r="165" spans="1:7" x14ac:dyDescent="0.25">
      <c r="A165" s="30">
        <v>2.2062715163528477</v>
      </c>
      <c r="B165" s="30">
        <v>0</v>
      </c>
      <c r="C165" s="30">
        <v>13.16</v>
      </c>
      <c r="G165" s="18"/>
    </row>
    <row r="166" spans="1:7" x14ac:dyDescent="0.25">
      <c r="A166" s="30">
        <v>1.2451445802783214</v>
      </c>
      <c r="B166" s="30">
        <v>0</v>
      </c>
      <c r="C166" s="30">
        <v>13.16</v>
      </c>
      <c r="G166" s="18"/>
    </row>
    <row r="167" spans="1:7" x14ac:dyDescent="0.25">
      <c r="A167" s="30">
        <v>0.21618733452192423</v>
      </c>
      <c r="B167" s="30">
        <v>0</v>
      </c>
      <c r="C167" s="30">
        <v>13.16</v>
      </c>
      <c r="G167" s="18"/>
    </row>
    <row r="168" spans="1:7" x14ac:dyDescent="0.25">
      <c r="A168" s="30">
        <v>0.19408607553407431</v>
      </c>
      <c r="B168" s="30">
        <v>0</v>
      </c>
      <c r="C168" s="30">
        <v>13.16</v>
      </c>
      <c r="G168" s="18"/>
    </row>
    <row r="169" spans="1:7" x14ac:dyDescent="0.25">
      <c r="A169" s="30">
        <v>0.16684411351131184</v>
      </c>
      <c r="B169" s="30">
        <v>0</v>
      </c>
      <c r="C169" s="30">
        <v>13.16</v>
      </c>
      <c r="G169" s="18"/>
    </row>
    <row r="170" spans="1:7" x14ac:dyDescent="0.25">
      <c r="A170" s="30">
        <v>4.0216693897134489E-2</v>
      </c>
      <c r="B170" s="30">
        <v>0</v>
      </c>
      <c r="C170" s="30">
        <v>13.16</v>
      </c>
      <c r="G170" s="18"/>
    </row>
    <row r="171" spans="1:7" x14ac:dyDescent="0.25">
      <c r="A171" s="30">
        <v>0.38284912911148827</v>
      </c>
      <c r="B171" s="30">
        <v>0</v>
      </c>
      <c r="C171" s="30">
        <v>13.16</v>
      </c>
      <c r="G171" s="18"/>
    </row>
    <row r="172" spans="1:7" x14ac:dyDescent="0.25">
      <c r="A172" s="30">
        <v>0.93835288317546062</v>
      </c>
      <c r="B172" s="30">
        <v>0</v>
      </c>
      <c r="C172" s="30">
        <v>13.16</v>
      </c>
      <c r="G172" s="18"/>
    </row>
    <row r="173" spans="1:7" x14ac:dyDescent="0.25">
      <c r="A173" s="30">
        <v>1.9498685010800376</v>
      </c>
      <c r="B173" s="30">
        <v>0</v>
      </c>
      <c r="C173" s="30">
        <v>13.16</v>
      </c>
      <c r="G173" s="18"/>
    </row>
    <row r="174" spans="1:7" x14ac:dyDescent="0.25">
      <c r="A174" s="30">
        <v>0.11387444856085087</v>
      </c>
      <c r="B174" s="30">
        <v>0</v>
      </c>
      <c r="C174" s="30">
        <v>13.16</v>
      </c>
      <c r="G174" s="18"/>
    </row>
    <row r="175" spans="1:7" x14ac:dyDescent="0.25">
      <c r="A175" s="30">
        <v>0.91036709242240899</v>
      </c>
      <c r="B175" s="30">
        <v>0</v>
      </c>
      <c r="C175" s="30">
        <v>13.16</v>
      </c>
      <c r="G175" s="18"/>
    </row>
    <row r="176" spans="1:7" x14ac:dyDescent="0.25">
      <c r="A176" s="30">
        <v>0.69130360742211516</v>
      </c>
      <c r="B176" s="30">
        <v>0</v>
      </c>
      <c r="C176" s="30">
        <v>29.4</v>
      </c>
      <c r="G176" s="18"/>
    </row>
    <row r="177" spans="1:7" x14ac:dyDescent="0.25">
      <c r="A177" s="30">
        <v>0.90380879972127492</v>
      </c>
      <c r="B177" s="30">
        <v>0</v>
      </c>
      <c r="C177" s="30">
        <v>29.4</v>
      </c>
      <c r="G177" s="18"/>
    </row>
    <row r="178" spans="1:7" x14ac:dyDescent="0.25">
      <c r="A178" s="30">
        <v>0.89364052388985837</v>
      </c>
      <c r="B178" s="30">
        <v>0</v>
      </c>
      <c r="C178" s="30">
        <v>29.4</v>
      </c>
      <c r="G178" s="18"/>
    </row>
    <row r="179" spans="1:7" x14ac:dyDescent="0.25">
      <c r="A179" s="30">
        <v>0.23076144591576728</v>
      </c>
      <c r="B179" s="30">
        <v>0</v>
      </c>
      <c r="C179" s="30">
        <v>29.4</v>
      </c>
      <c r="G179" s="18"/>
    </row>
    <row r="180" spans="1:7" x14ac:dyDescent="0.25">
      <c r="A180" s="30">
        <v>0.11992945778940292</v>
      </c>
      <c r="B180" s="30">
        <v>0</v>
      </c>
      <c r="C180" s="30">
        <v>29.4</v>
      </c>
      <c r="G180" s="18"/>
    </row>
    <row r="181" spans="1:7" x14ac:dyDescent="0.25">
      <c r="A181" s="30">
        <v>5.3226767208826242E-2</v>
      </c>
      <c r="B181" s="30">
        <v>0</v>
      </c>
      <c r="C181" s="30">
        <v>29.4</v>
      </c>
      <c r="G181" s="18"/>
    </row>
    <row r="182" spans="1:7" x14ac:dyDescent="0.25">
      <c r="A182" s="30">
        <v>0.58900579060079905</v>
      </c>
      <c r="B182" s="30">
        <v>0</v>
      </c>
      <c r="C182" s="30">
        <v>29.4</v>
      </c>
      <c r="G182" s="18"/>
    </row>
    <row r="183" spans="1:7" x14ac:dyDescent="0.25">
      <c r="A183" s="30">
        <v>0.16216806629743585</v>
      </c>
      <c r="B183" s="30">
        <v>0</v>
      </c>
      <c r="C183" s="30">
        <v>29.4</v>
      </c>
      <c r="G183" s="18"/>
    </row>
    <row r="184" spans="1:7" x14ac:dyDescent="0.25">
      <c r="A184" s="30">
        <v>1.1486457953866851</v>
      </c>
      <c r="B184" s="30">
        <v>0</v>
      </c>
      <c r="C184" s="30">
        <v>29.4</v>
      </c>
      <c r="G184" s="18"/>
    </row>
    <row r="185" spans="1:7" x14ac:dyDescent="0.25">
      <c r="A185" s="30">
        <v>0.28850736107831843</v>
      </c>
      <c r="B185" s="30">
        <v>0</v>
      </c>
      <c r="C185" s="30">
        <v>29.4</v>
      </c>
      <c r="G185" s="18"/>
    </row>
    <row r="186" spans="1:7" x14ac:dyDescent="0.25">
      <c r="A186" s="30">
        <v>1.150352372903632</v>
      </c>
      <c r="B186" s="30">
        <v>0</v>
      </c>
      <c r="C186" s="30">
        <v>29.4</v>
      </c>
      <c r="G186" s="18"/>
    </row>
    <row r="187" spans="1:7" x14ac:dyDescent="0.25">
      <c r="A187" s="30">
        <v>1.5805415908606393</v>
      </c>
      <c r="B187" s="30">
        <v>0</v>
      </c>
      <c r="C187" s="30">
        <v>29.4</v>
      </c>
      <c r="G187" s="18"/>
    </row>
    <row r="188" spans="1:7" x14ac:dyDescent="0.25">
      <c r="A188" s="30">
        <v>1.0712987989564753</v>
      </c>
      <c r="B188" s="30">
        <v>0</v>
      </c>
      <c r="C188" s="30">
        <v>29.4</v>
      </c>
      <c r="G188" s="18"/>
    </row>
    <row r="189" spans="1:7" x14ac:dyDescent="0.25">
      <c r="A189" s="30">
        <v>1.2380359907282539</v>
      </c>
      <c r="B189" s="30">
        <v>0</v>
      </c>
      <c r="C189" s="30">
        <v>29.4</v>
      </c>
      <c r="G189" s="18"/>
    </row>
    <row r="190" spans="1:7" x14ac:dyDescent="0.25">
      <c r="A190" s="30">
        <v>0.91568379402786615</v>
      </c>
      <c r="B190" s="30">
        <v>0</v>
      </c>
      <c r="C190" s="30">
        <v>29.4</v>
      </c>
      <c r="G190" s="18"/>
    </row>
    <row r="191" spans="1:7" x14ac:dyDescent="0.25">
      <c r="A191" s="30">
        <v>2.2357457609508833</v>
      </c>
      <c r="B191" s="30">
        <v>0</v>
      </c>
      <c r="C191" s="30">
        <v>29.4</v>
      </c>
      <c r="G191" s="18"/>
    </row>
    <row r="192" spans="1:7" x14ac:dyDescent="0.25">
      <c r="A192" s="30">
        <v>0.38528729949885948</v>
      </c>
      <c r="B192" s="30">
        <v>0</v>
      </c>
      <c r="C192" s="30">
        <v>29.4</v>
      </c>
      <c r="G192" s="18"/>
    </row>
    <row r="193" spans="1:7" x14ac:dyDescent="0.25">
      <c r="A193" s="30">
        <v>1.2774595826153774</v>
      </c>
      <c r="B193" s="30">
        <v>0</v>
      </c>
      <c r="C193" s="30">
        <v>53.480000000000004</v>
      </c>
      <c r="G193" s="18"/>
    </row>
    <row r="194" spans="1:7" x14ac:dyDescent="0.25">
      <c r="A194" s="30">
        <v>0.67145226720597329</v>
      </c>
      <c r="B194" s="30">
        <v>0</v>
      </c>
      <c r="C194" s="30">
        <v>53.480000000000004</v>
      </c>
      <c r="G194" s="18"/>
    </row>
    <row r="195" spans="1:7" x14ac:dyDescent="0.25">
      <c r="A195" s="30">
        <v>1.0058041102356441</v>
      </c>
      <c r="B195" s="30">
        <v>0</v>
      </c>
      <c r="C195" s="30">
        <v>53.480000000000004</v>
      </c>
      <c r="G195" s="18"/>
    </row>
    <row r="196" spans="1:7" x14ac:dyDescent="0.25">
      <c r="A196" s="30">
        <v>0.81986862777462011</v>
      </c>
      <c r="B196" s="30">
        <v>0</v>
      </c>
      <c r="C196" s="30">
        <v>53.480000000000004</v>
      </c>
      <c r="G196" s="18"/>
    </row>
    <row r="197" spans="1:7" x14ac:dyDescent="0.25">
      <c r="A197" s="30">
        <v>1.31966748304877</v>
      </c>
      <c r="B197" s="30">
        <v>0</v>
      </c>
      <c r="C197" s="30">
        <v>53.480000000000004</v>
      </c>
      <c r="G197" s="18"/>
    </row>
    <row r="198" spans="1:7" x14ac:dyDescent="0.25">
      <c r="A198" s="30">
        <v>0.20195617258328377</v>
      </c>
      <c r="B198" s="30">
        <v>0</v>
      </c>
      <c r="C198" s="30">
        <v>53.480000000000004</v>
      </c>
      <c r="G198" s="18"/>
    </row>
    <row r="199" spans="1:7" x14ac:dyDescent="0.25">
      <c r="A199" s="30">
        <v>2.3108379793971792</v>
      </c>
      <c r="B199" s="30">
        <v>0</v>
      </c>
      <c r="C199" s="30">
        <v>53.480000000000004</v>
      </c>
      <c r="G199" s="18"/>
    </row>
    <row r="200" spans="1:7" x14ac:dyDescent="0.25">
      <c r="A200" s="30">
        <v>1.0934627596800528</v>
      </c>
      <c r="B200" s="30">
        <v>0</v>
      </c>
      <c r="C200" s="30">
        <v>53.480000000000004</v>
      </c>
      <c r="G200" s="18"/>
    </row>
    <row r="201" spans="1:7" x14ac:dyDescent="0.25">
      <c r="A201" s="30">
        <v>0.14031358896462062</v>
      </c>
      <c r="B201" s="30">
        <v>0</v>
      </c>
      <c r="C201" s="30">
        <v>53.480000000000004</v>
      </c>
      <c r="G201" s="18"/>
    </row>
    <row r="202" spans="1:7" x14ac:dyDescent="0.25">
      <c r="A202" s="30">
        <v>0.64445392801036649</v>
      </c>
      <c r="B202" s="30">
        <v>0</v>
      </c>
      <c r="C202" s="30">
        <v>53.480000000000004</v>
      </c>
      <c r="G202" s="18"/>
    </row>
    <row r="203" spans="1:7" x14ac:dyDescent="0.25">
      <c r="A203" s="30">
        <v>1.0594002387066248</v>
      </c>
      <c r="B203" s="30">
        <v>0</v>
      </c>
      <c r="C203" s="30">
        <v>53.480000000000004</v>
      </c>
      <c r="G203" s="18"/>
    </row>
    <row r="204" spans="1:7" x14ac:dyDescent="0.25">
      <c r="A204" s="30">
        <v>1.0549742011220584</v>
      </c>
      <c r="B204" s="30">
        <v>0</v>
      </c>
      <c r="C204" s="30">
        <v>53.480000000000004</v>
      </c>
      <c r="G204" s="18"/>
    </row>
    <row r="205" spans="1:7" x14ac:dyDescent="0.25">
      <c r="A205" s="30">
        <v>1.5696910670079873</v>
      </c>
      <c r="B205" s="30">
        <v>0</v>
      </c>
      <c r="C205" s="30">
        <v>53.480000000000004</v>
      </c>
      <c r="G205" s="18"/>
    </row>
    <row r="206" spans="1:7" x14ac:dyDescent="0.25">
      <c r="A206" s="30">
        <v>1.1637850060608277</v>
      </c>
      <c r="B206" s="30">
        <v>0</v>
      </c>
      <c r="C206" s="30">
        <v>53.480000000000004</v>
      </c>
      <c r="G206" s="18"/>
    </row>
    <row r="207" spans="1:7" x14ac:dyDescent="0.25">
      <c r="A207" s="30">
        <v>0.35813733646687329</v>
      </c>
      <c r="B207" s="30">
        <v>0</v>
      </c>
      <c r="C207" s="30">
        <v>53.480000000000004</v>
      </c>
      <c r="G207" s="18"/>
    </row>
    <row r="208" spans="1:7" x14ac:dyDescent="0.25">
      <c r="A208" s="30">
        <v>1.0268057287485945</v>
      </c>
      <c r="B208" s="30">
        <v>0</v>
      </c>
      <c r="C208" s="30">
        <v>53.480000000000004</v>
      </c>
      <c r="G208" s="18"/>
    </row>
    <row r="209" spans="1:7" x14ac:dyDescent="0.25">
      <c r="A209" s="30">
        <v>1.2290259613281542</v>
      </c>
      <c r="B209" s="30">
        <v>0</v>
      </c>
      <c r="C209" s="30">
        <v>53.480000000000004</v>
      </c>
      <c r="G209" s="18"/>
    </row>
    <row r="210" spans="1:7" x14ac:dyDescent="0.25">
      <c r="A210" s="30">
        <v>0.1975688357798922</v>
      </c>
      <c r="B210" s="30">
        <v>0</v>
      </c>
      <c r="C210" s="30">
        <v>28.979999999999997</v>
      </c>
      <c r="G210" s="18"/>
    </row>
    <row r="211" spans="1:7" x14ac:dyDescent="0.25">
      <c r="A211" s="30">
        <v>1.6354288753486741</v>
      </c>
      <c r="B211" s="30">
        <v>0</v>
      </c>
      <c r="C211" s="30">
        <v>28.979999999999997</v>
      </c>
      <c r="G211" s="18"/>
    </row>
    <row r="212" spans="1:7" x14ac:dyDescent="0.25">
      <c r="A212" s="30">
        <v>0.8126940635279013</v>
      </c>
      <c r="B212" s="30">
        <v>0</v>
      </c>
      <c r="C212" s="30">
        <v>28.979999999999997</v>
      </c>
      <c r="G212" s="18"/>
    </row>
    <row r="213" spans="1:7" x14ac:dyDescent="0.25">
      <c r="A213" s="30">
        <v>0.56762596625845529</v>
      </c>
      <c r="B213" s="30">
        <v>0</v>
      </c>
      <c r="C213" s="30">
        <v>28.979999999999997</v>
      </c>
      <c r="G213" s="18"/>
    </row>
    <row r="214" spans="1:7" x14ac:dyDescent="0.25">
      <c r="A214" s="30">
        <v>1.2404240209150321</v>
      </c>
      <c r="B214" s="30">
        <v>0</v>
      </c>
      <c r="C214" s="30">
        <v>28.979999999999997</v>
      </c>
      <c r="G214" s="18"/>
    </row>
    <row r="215" spans="1:7" x14ac:dyDescent="0.25">
      <c r="A215" s="30">
        <v>1.0950109292154706</v>
      </c>
      <c r="B215" s="30">
        <v>0</v>
      </c>
      <c r="C215" s="30">
        <v>28.979999999999997</v>
      </c>
      <c r="G215" s="18"/>
    </row>
    <row r="216" spans="1:7" x14ac:dyDescent="0.25">
      <c r="A216" s="30">
        <v>1.1412060989338699</v>
      </c>
      <c r="B216" s="30">
        <v>0</v>
      </c>
      <c r="C216" s="30">
        <v>28.979999999999997</v>
      </c>
      <c r="G216" s="18"/>
    </row>
    <row r="217" spans="1:7" x14ac:dyDescent="0.25">
      <c r="A217" s="30">
        <v>1.4378033314620979</v>
      </c>
      <c r="B217" s="30">
        <v>0</v>
      </c>
      <c r="C217" s="30">
        <v>28.979999999999997</v>
      </c>
      <c r="G217" s="18"/>
    </row>
    <row r="218" spans="1:7" x14ac:dyDescent="0.25">
      <c r="A218" s="30">
        <v>1.2262050613615134</v>
      </c>
      <c r="B218" s="30">
        <v>0</v>
      </c>
      <c r="C218" s="30">
        <v>28.979999999999997</v>
      </c>
      <c r="G218" s="18"/>
    </row>
    <row r="219" spans="1:7" x14ac:dyDescent="0.25">
      <c r="A219" s="30">
        <v>2.3556538481702414</v>
      </c>
      <c r="B219" s="30">
        <v>0</v>
      </c>
      <c r="C219" s="30">
        <v>28.979999999999997</v>
      </c>
      <c r="G219" s="18"/>
    </row>
    <row r="220" spans="1:7" x14ac:dyDescent="0.25">
      <c r="A220" s="30">
        <v>1.1396596574847975</v>
      </c>
      <c r="B220" s="30">
        <v>0</v>
      </c>
      <c r="C220" s="30">
        <v>28.979999999999997</v>
      </c>
      <c r="G220" s="18"/>
    </row>
    <row r="221" spans="1:7" x14ac:dyDescent="0.25">
      <c r="A221" s="30">
        <v>1.1568499474732667</v>
      </c>
      <c r="B221" s="30">
        <v>0</v>
      </c>
      <c r="C221" s="30">
        <v>28.979999999999997</v>
      </c>
      <c r="G221" s="18"/>
    </row>
    <row r="222" spans="1:7" x14ac:dyDescent="0.25">
      <c r="A222" s="30">
        <v>0.19207961485911154</v>
      </c>
      <c r="B222" s="30">
        <v>0</v>
      </c>
      <c r="C222" s="30">
        <v>28.979999999999997</v>
      </c>
      <c r="G222" s="18"/>
    </row>
    <row r="223" spans="1:7" x14ac:dyDescent="0.25">
      <c r="A223" s="30">
        <v>1.6682968061877013</v>
      </c>
      <c r="B223" s="30">
        <v>0</v>
      </c>
      <c r="C223" s="30">
        <v>28.979999999999997</v>
      </c>
      <c r="G223" s="18"/>
    </row>
    <row r="224" spans="1:7" x14ac:dyDescent="0.25">
      <c r="A224" s="30">
        <v>1.1749898395899316</v>
      </c>
      <c r="B224" s="30">
        <v>0</v>
      </c>
      <c r="C224" s="30">
        <v>28.979999999999997</v>
      </c>
      <c r="G224" s="18"/>
    </row>
    <row r="225" spans="1:7" x14ac:dyDescent="0.25">
      <c r="A225" s="30">
        <v>1.4409427110320885</v>
      </c>
      <c r="B225" s="30">
        <v>0</v>
      </c>
      <c r="C225" s="30">
        <v>28.979999999999997</v>
      </c>
      <c r="G225" s="18"/>
    </row>
    <row r="226" spans="1:7" x14ac:dyDescent="0.25">
      <c r="A226" s="30">
        <v>0.98683450136817252</v>
      </c>
      <c r="B226" s="30">
        <v>0</v>
      </c>
      <c r="C226" s="30">
        <v>14.7</v>
      </c>
      <c r="G226" s="18"/>
    </row>
    <row r="227" spans="1:7" x14ac:dyDescent="0.25">
      <c r="A227" s="30">
        <v>2.1937120716466771</v>
      </c>
      <c r="B227" s="30">
        <v>0</v>
      </c>
      <c r="C227" s="30">
        <v>14.7</v>
      </c>
      <c r="G227" s="18"/>
    </row>
    <row r="228" spans="1:7" x14ac:dyDescent="0.25">
      <c r="A228" s="30">
        <v>0.60741437689263855</v>
      </c>
      <c r="B228" s="30">
        <v>0</v>
      </c>
      <c r="C228" s="30">
        <v>14.7</v>
      </c>
      <c r="G228" s="18"/>
    </row>
    <row r="229" spans="1:7" x14ac:dyDescent="0.25">
      <c r="A229" s="30">
        <v>1.9512178760467855</v>
      </c>
      <c r="B229" s="30">
        <v>0</v>
      </c>
      <c r="C229" s="30">
        <v>14.7</v>
      </c>
      <c r="G229" s="18"/>
    </row>
    <row r="230" spans="1:7" x14ac:dyDescent="0.25">
      <c r="A230" s="30">
        <v>0.7875854801254667</v>
      </c>
      <c r="B230" s="30">
        <v>0</v>
      </c>
      <c r="C230" s="30">
        <v>14.7</v>
      </c>
      <c r="G230" s="18"/>
    </row>
    <row r="231" spans="1:7" x14ac:dyDescent="0.25">
      <c r="A231" s="30">
        <v>0.94034319500729124</v>
      </c>
      <c r="B231" s="30">
        <v>0</v>
      </c>
      <c r="C231" s="30">
        <v>14.7</v>
      </c>
      <c r="G231" s="18"/>
    </row>
    <row r="232" spans="1:7" x14ac:dyDescent="0.25">
      <c r="A232" s="30">
        <v>1.3246517696920783</v>
      </c>
      <c r="B232" s="30">
        <v>0</v>
      </c>
      <c r="C232" s="30">
        <v>14.7</v>
      </c>
      <c r="G232" s="18"/>
    </row>
    <row r="233" spans="1:7" x14ac:dyDescent="0.25">
      <c r="A233" s="30">
        <v>1.2461978964937821</v>
      </c>
      <c r="B233" s="30">
        <v>0</v>
      </c>
      <c r="C233" s="30">
        <v>14.7</v>
      </c>
      <c r="G233" s="18"/>
    </row>
    <row r="234" spans="1:7" x14ac:dyDescent="0.25">
      <c r="A234" s="30">
        <v>0.44124395006839823</v>
      </c>
      <c r="B234" s="30">
        <v>0</v>
      </c>
      <c r="C234" s="30">
        <v>14.7</v>
      </c>
      <c r="G234" s="18"/>
    </row>
    <row r="235" spans="1:7" x14ac:dyDescent="0.25">
      <c r="A235" s="30">
        <v>1.4895762381445403</v>
      </c>
      <c r="B235" s="30">
        <v>0</v>
      </c>
      <c r="C235" s="30">
        <v>14.7</v>
      </c>
      <c r="G235" s="18"/>
    </row>
    <row r="236" spans="1:7" x14ac:dyDescent="0.25">
      <c r="A236" s="30">
        <v>0.47637853033712946</v>
      </c>
      <c r="B236" s="30">
        <v>0</v>
      </c>
      <c r="C236" s="30">
        <v>14.7</v>
      </c>
      <c r="G236" s="18"/>
    </row>
    <row r="237" spans="1:7" x14ac:dyDescent="0.25">
      <c r="A237" s="30">
        <v>0.57984031368542732</v>
      </c>
      <c r="B237" s="30">
        <v>0</v>
      </c>
      <c r="C237" s="30">
        <v>14.7</v>
      </c>
      <c r="G237" s="18"/>
    </row>
    <row r="238" spans="1:7" x14ac:dyDescent="0.25">
      <c r="A238" s="30">
        <v>0.53742657011780004</v>
      </c>
      <c r="B238" s="30">
        <v>0</v>
      </c>
      <c r="C238" s="30">
        <v>14.7</v>
      </c>
      <c r="G238" s="18"/>
    </row>
    <row r="239" spans="1:7" x14ac:dyDescent="0.25">
      <c r="A239" s="30">
        <v>7.0516230554164228E-2</v>
      </c>
      <c r="B239" s="30">
        <v>0</v>
      </c>
      <c r="C239" s="30">
        <v>14.7</v>
      </c>
      <c r="G239" s="18"/>
    </row>
    <row r="240" spans="1:7" x14ac:dyDescent="0.25">
      <c r="A240" s="30">
        <v>1.1836209257497274</v>
      </c>
      <c r="B240" s="30">
        <v>0</v>
      </c>
      <c r="C240" s="30">
        <v>14.7</v>
      </c>
      <c r="G240" s="18"/>
    </row>
    <row r="241" spans="1:7" x14ac:dyDescent="0.25">
      <c r="A241" s="30">
        <v>2.351633166685656</v>
      </c>
      <c r="B241" s="30">
        <v>0</v>
      </c>
      <c r="C241" s="30">
        <v>14.7</v>
      </c>
      <c r="G241" s="18"/>
    </row>
    <row r="242" spans="1:7" x14ac:dyDescent="0.25">
      <c r="A242" s="30">
        <v>0.65075391667586457</v>
      </c>
      <c r="B242" s="30">
        <v>0</v>
      </c>
      <c r="C242" s="30">
        <v>14.7</v>
      </c>
      <c r="G242" s="18"/>
    </row>
    <row r="243" spans="1:7" x14ac:dyDescent="0.25">
      <c r="A243" s="30">
        <v>1.4979597768275679</v>
      </c>
      <c r="B243" s="30">
        <v>0</v>
      </c>
      <c r="C243" s="30">
        <v>21.139999999999997</v>
      </c>
      <c r="G243" s="18"/>
    </row>
    <row r="244" spans="1:7" x14ac:dyDescent="0.25">
      <c r="A244" s="30">
        <v>0.61688130960337739</v>
      </c>
      <c r="B244" s="30">
        <v>0</v>
      </c>
      <c r="C244" s="30">
        <v>21.139999999999997</v>
      </c>
      <c r="G244" s="18"/>
    </row>
    <row r="245" spans="1:7" x14ac:dyDescent="0.25">
      <c r="A245" s="30">
        <v>1.5924474316797887</v>
      </c>
      <c r="B245" s="30">
        <v>0</v>
      </c>
      <c r="C245" s="30">
        <v>21.139999999999997</v>
      </c>
      <c r="G245" s="18"/>
    </row>
    <row r="246" spans="1:7" x14ac:dyDescent="0.25">
      <c r="A246" s="30">
        <v>1.1200248033176288</v>
      </c>
      <c r="B246" s="30">
        <v>0</v>
      </c>
      <c r="C246" s="30">
        <v>21.139999999999997</v>
      </c>
      <c r="G246" s="18"/>
    </row>
    <row r="247" spans="1:7" x14ac:dyDescent="0.25">
      <c r="A247" s="30">
        <v>2.2153955613441321</v>
      </c>
      <c r="B247" s="30">
        <v>0</v>
      </c>
      <c r="C247" s="30">
        <v>21.139999999999997</v>
      </c>
      <c r="G247" s="18"/>
    </row>
    <row r="248" spans="1:7" x14ac:dyDescent="0.25">
      <c r="A248" s="30">
        <v>1.0175251018624256</v>
      </c>
      <c r="B248" s="30">
        <v>0</v>
      </c>
      <c r="C248" s="30">
        <v>21.139999999999997</v>
      </c>
      <c r="G248" s="18"/>
    </row>
    <row r="249" spans="1:7" x14ac:dyDescent="0.25">
      <c r="A249" s="30">
        <v>1.9822239524642069</v>
      </c>
      <c r="B249" s="30">
        <v>0</v>
      </c>
      <c r="C249" s="30">
        <v>21.139999999999997</v>
      </c>
      <c r="G249" s="18"/>
    </row>
    <row r="250" spans="1:7" x14ac:dyDescent="0.25">
      <c r="A250" s="30">
        <v>1.3334156860899873</v>
      </c>
      <c r="B250" s="30">
        <v>0</v>
      </c>
      <c r="C250" s="30">
        <v>21.139999999999997</v>
      </c>
      <c r="G250" s="18"/>
    </row>
    <row r="251" spans="1:7" x14ac:dyDescent="0.25">
      <c r="A251" s="30">
        <v>0.9371918875488493</v>
      </c>
      <c r="B251" s="30">
        <v>0</v>
      </c>
      <c r="C251" s="30">
        <v>21.139999999999997</v>
      </c>
      <c r="G251" s="18"/>
    </row>
    <row r="252" spans="1:7" x14ac:dyDescent="0.25">
      <c r="A252" s="30">
        <v>1.8038452371274237E-2</v>
      </c>
      <c r="B252" s="30">
        <v>0</v>
      </c>
      <c r="C252" s="30">
        <v>21.139999999999997</v>
      </c>
      <c r="G252" s="18"/>
    </row>
    <row r="253" spans="1:7" x14ac:dyDescent="0.25">
      <c r="A253" s="30">
        <v>1.7721361186613016</v>
      </c>
      <c r="B253" s="30">
        <v>0</v>
      </c>
      <c r="C253" s="30">
        <v>21.139999999999997</v>
      </c>
      <c r="G253" s="18"/>
    </row>
    <row r="254" spans="1:7" x14ac:dyDescent="0.25">
      <c r="A254" s="30">
        <v>1.1831397500335572</v>
      </c>
      <c r="B254" s="30">
        <v>0</v>
      </c>
      <c r="C254" s="30">
        <v>21.139999999999997</v>
      </c>
      <c r="G254" s="18"/>
    </row>
    <row r="255" spans="1:7" x14ac:dyDescent="0.25">
      <c r="A255" s="30">
        <v>2.152324595227761</v>
      </c>
      <c r="B255" s="30">
        <v>0</v>
      </c>
      <c r="C255" s="30">
        <v>34.859999999999992</v>
      </c>
      <c r="G255" s="18"/>
    </row>
    <row r="256" spans="1:7" x14ac:dyDescent="0.25">
      <c r="A256" s="30">
        <v>0.10423145457064487</v>
      </c>
      <c r="B256" s="30">
        <v>0</v>
      </c>
      <c r="C256" s="30">
        <v>34.859999999999992</v>
      </c>
      <c r="G256" s="18"/>
    </row>
    <row r="257" spans="1:7" x14ac:dyDescent="0.25">
      <c r="A257" s="30">
        <v>1.8861748320017118</v>
      </c>
      <c r="B257" s="30">
        <v>0</v>
      </c>
      <c r="C257" s="30">
        <v>34.859999999999992</v>
      </c>
      <c r="G257" s="18"/>
    </row>
    <row r="258" spans="1:7" x14ac:dyDescent="0.25">
      <c r="A258" s="30">
        <v>0.82457955054494092</v>
      </c>
      <c r="B258" s="30">
        <v>0</v>
      </c>
      <c r="C258" s="30">
        <v>34.859999999999992</v>
      </c>
      <c r="G258" s="18"/>
    </row>
    <row r="259" spans="1:7" x14ac:dyDescent="0.25">
      <c r="A259" s="30">
        <v>2.1870993553340781</v>
      </c>
      <c r="B259" s="30">
        <v>0</v>
      </c>
      <c r="C259" s="30">
        <v>34.859999999999992</v>
      </c>
      <c r="G259" s="18"/>
    </row>
    <row r="260" spans="1:7" x14ac:dyDescent="0.25">
      <c r="A260" s="30">
        <v>0.45602763488697501</v>
      </c>
      <c r="B260" s="30">
        <v>0</v>
      </c>
      <c r="C260" s="30">
        <v>34.859999999999992</v>
      </c>
      <c r="G260" s="18"/>
    </row>
    <row r="261" spans="1:7" x14ac:dyDescent="0.25">
      <c r="A261" s="30">
        <v>1.9568047715015697</v>
      </c>
      <c r="B261" s="30">
        <v>0</v>
      </c>
      <c r="C261" s="30">
        <v>34.859999999999992</v>
      </c>
      <c r="G261" s="18"/>
    </row>
    <row r="262" spans="1:7" x14ac:dyDescent="0.25">
      <c r="A262" s="30">
        <v>1.0754544212434383</v>
      </c>
      <c r="B262" s="30">
        <v>0</v>
      </c>
      <c r="C262" s="30">
        <v>34.859999999999992</v>
      </c>
      <c r="G262" s="18"/>
    </row>
    <row r="263" spans="1:7" x14ac:dyDescent="0.25">
      <c r="A263" s="30">
        <v>1.5527774317138607</v>
      </c>
      <c r="B263" s="30">
        <v>0</v>
      </c>
      <c r="C263" s="30">
        <v>16.38</v>
      </c>
      <c r="G263" s="18"/>
    </row>
    <row r="264" spans="1:7" x14ac:dyDescent="0.25">
      <c r="A264" s="30">
        <v>1.1268632192057484</v>
      </c>
      <c r="B264" s="30">
        <v>0</v>
      </c>
      <c r="C264" s="30">
        <v>16.38</v>
      </c>
      <c r="G264" s="18"/>
    </row>
    <row r="265" spans="1:7" x14ac:dyDescent="0.25">
      <c r="A265" s="30">
        <v>1.6108575913287553</v>
      </c>
      <c r="B265" s="30">
        <v>0</v>
      </c>
      <c r="C265" s="30">
        <v>16.38</v>
      </c>
      <c r="G265" s="18"/>
    </row>
    <row r="266" spans="1:7" x14ac:dyDescent="0.25">
      <c r="A266" s="30">
        <v>0.11741215056121448</v>
      </c>
      <c r="B266" s="30">
        <v>0</v>
      </c>
      <c r="C266" s="30">
        <v>16.38</v>
      </c>
      <c r="G266" s="18"/>
    </row>
    <row r="267" spans="1:7" x14ac:dyDescent="0.25">
      <c r="A267" s="30">
        <v>1.9450817539277714</v>
      </c>
      <c r="B267" s="30">
        <v>0</v>
      </c>
      <c r="C267" s="30">
        <v>16.38</v>
      </c>
      <c r="G267" s="18"/>
    </row>
    <row r="268" spans="1:7" x14ac:dyDescent="0.25">
      <c r="A268" s="30">
        <v>0.56593844938103799</v>
      </c>
      <c r="B268" s="30">
        <v>0</v>
      </c>
      <c r="C268" s="30">
        <v>16.38</v>
      </c>
      <c r="G268" s="18"/>
    </row>
    <row r="269" spans="1:7" x14ac:dyDescent="0.25">
      <c r="A269" s="30">
        <v>1.9962242766905589</v>
      </c>
      <c r="B269" s="30">
        <v>0</v>
      </c>
      <c r="C269" s="30">
        <v>16.38</v>
      </c>
      <c r="G269" s="18"/>
    </row>
    <row r="270" spans="1:7" x14ac:dyDescent="0.25">
      <c r="A270" s="30">
        <v>0.97266612174597178</v>
      </c>
      <c r="B270" s="30">
        <v>0</v>
      </c>
      <c r="C270" s="30">
        <v>16.38</v>
      </c>
      <c r="G270" s="18"/>
    </row>
    <row r="271" spans="1:7" x14ac:dyDescent="0.25">
      <c r="A271" s="30">
        <v>0.34100280137333333</v>
      </c>
      <c r="B271" s="30">
        <v>0</v>
      </c>
      <c r="C271" s="30">
        <v>16.38</v>
      </c>
      <c r="G271" s="18"/>
    </row>
    <row r="272" spans="1:7" x14ac:dyDescent="0.25">
      <c r="A272" s="30">
        <v>0.30429842984607774</v>
      </c>
      <c r="B272" s="30">
        <v>0</v>
      </c>
      <c r="C272" s="30">
        <v>16.38</v>
      </c>
      <c r="G272" s="18"/>
    </row>
    <row r="273" spans="1:7" x14ac:dyDescent="0.25">
      <c r="A273" s="30">
        <v>7.3043436545327717E-2</v>
      </c>
      <c r="B273" s="30">
        <v>0</v>
      </c>
      <c r="C273" s="30">
        <v>16.38</v>
      </c>
      <c r="G273" s="18"/>
    </row>
    <row r="274" spans="1:7" x14ac:dyDescent="0.25">
      <c r="A274" s="30">
        <v>1.3800975739991879</v>
      </c>
      <c r="B274" s="30">
        <v>0</v>
      </c>
      <c r="C274" s="30">
        <v>16.38</v>
      </c>
      <c r="G274" s="18"/>
    </row>
    <row r="275" spans="1:7" x14ac:dyDescent="0.25">
      <c r="A275" s="30">
        <v>0.79817440563464515</v>
      </c>
      <c r="B275" s="30">
        <v>0</v>
      </c>
      <c r="C275" s="30">
        <v>16.38</v>
      </c>
      <c r="G275" s="18"/>
    </row>
    <row r="276" spans="1:7" x14ac:dyDescent="0.25">
      <c r="A276" s="30">
        <v>0.20480920179147608</v>
      </c>
      <c r="B276" s="30">
        <v>0</v>
      </c>
      <c r="C276" s="30">
        <v>16.38</v>
      </c>
      <c r="G276" s="18"/>
    </row>
    <row r="277" spans="1:7" x14ac:dyDescent="0.25">
      <c r="A277" s="30">
        <v>0.28646116478858641</v>
      </c>
      <c r="B277" s="30">
        <v>0</v>
      </c>
      <c r="C277" s="30">
        <v>16.38</v>
      </c>
      <c r="G277" s="18"/>
    </row>
    <row r="278" spans="1:7" x14ac:dyDescent="0.25">
      <c r="A278" s="30">
        <v>0.8839934416268338</v>
      </c>
      <c r="B278" s="30">
        <v>0</v>
      </c>
      <c r="C278" s="30">
        <v>16.38</v>
      </c>
      <c r="G278" s="18"/>
    </row>
    <row r="279" spans="1:7" x14ac:dyDescent="0.25">
      <c r="A279" s="30">
        <v>1.7015211570405686</v>
      </c>
      <c r="B279" s="30">
        <v>0</v>
      </c>
      <c r="C279" s="30">
        <v>17.079999999999998</v>
      </c>
      <c r="G279" s="18"/>
    </row>
    <row r="280" spans="1:7" x14ac:dyDescent="0.25">
      <c r="A280" s="30">
        <v>1.2344282664075501</v>
      </c>
      <c r="B280" s="30">
        <v>0</v>
      </c>
      <c r="C280" s="30">
        <v>17.079999999999998</v>
      </c>
      <c r="G280" s="18"/>
    </row>
    <row r="281" spans="1:7" x14ac:dyDescent="0.25">
      <c r="A281" s="30">
        <v>1.2246336004000731</v>
      </c>
      <c r="B281" s="30">
        <v>0</v>
      </c>
      <c r="C281" s="30">
        <v>17.079999999999998</v>
      </c>
      <c r="G281" s="18"/>
    </row>
    <row r="282" spans="1:7" x14ac:dyDescent="0.25">
      <c r="A282" s="30">
        <v>0.6558639849026372</v>
      </c>
      <c r="B282" s="30">
        <v>0</v>
      </c>
      <c r="C282" s="30">
        <v>17.079999999999998</v>
      </c>
      <c r="G282" s="18"/>
    </row>
    <row r="283" spans="1:7" x14ac:dyDescent="0.25">
      <c r="A283" s="30">
        <v>0.95144184711357749</v>
      </c>
      <c r="B283" s="30">
        <v>0</v>
      </c>
      <c r="C283" s="30">
        <v>17.079999999999998</v>
      </c>
      <c r="G283" s="18"/>
    </row>
    <row r="284" spans="1:7" x14ac:dyDescent="0.25">
      <c r="A284" s="30">
        <v>0.33047611797103887</v>
      </c>
      <c r="B284" s="30">
        <v>0</v>
      </c>
      <c r="C284" s="30">
        <v>17.079999999999998</v>
      </c>
      <c r="G284" s="18"/>
    </row>
    <row r="285" spans="1:7" x14ac:dyDescent="0.25">
      <c r="A285" s="30">
        <v>1.4648296348301184</v>
      </c>
      <c r="B285" s="30">
        <v>0</v>
      </c>
      <c r="C285" s="30">
        <v>17.079999999999998</v>
      </c>
      <c r="G285" s="18"/>
    </row>
    <row r="286" spans="1:7" x14ac:dyDescent="0.25">
      <c r="A286" s="30">
        <v>0.70829560419733095</v>
      </c>
      <c r="B286" s="30">
        <v>0</v>
      </c>
      <c r="C286" s="30">
        <v>17.079999999999998</v>
      </c>
      <c r="G286" s="18"/>
    </row>
    <row r="287" spans="1:7" x14ac:dyDescent="0.25">
      <c r="A287" s="30">
        <v>2.3674081959825619</v>
      </c>
      <c r="B287" s="30">
        <v>0</v>
      </c>
      <c r="C287" s="30">
        <v>17.079999999999998</v>
      </c>
      <c r="G287" s="18"/>
    </row>
    <row r="288" spans="1:7" x14ac:dyDescent="0.25">
      <c r="A288" s="30">
        <v>1.3208418447771113</v>
      </c>
      <c r="B288" s="30">
        <v>0</v>
      </c>
      <c r="C288" s="30">
        <v>17.079999999999998</v>
      </c>
      <c r="G288" s="18"/>
    </row>
    <row r="289" spans="1:7" x14ac:dyDescent="0.25">
      <c r="A289" s="30">
        <v>1.7036986613345733</v>
      </c>
      <c r="B289" s="30">
        <v>0</v>
      </c>
      <c r="C289" s="30">
        <v>17.079999999999998</v>
      </c>
      <c r="G289" s="18"/>
    </row>
    <row r="290" spans="1:7" x14ac:dyDescent="0.25">
      <c r="A290" s="30">
        <v>5.2817229971788615E-2</v>
      </c>
      <c r="B290" s="30">
        <v>0</v>
      </c>
      <c r="C290" s="30">
        <v>17.079999999999998</v>
      </c>
      <c r="G290" s="18"/>
    </row>
    <row r="291" spans="1:7" x14ac:dyDescent="0.25">
      <c r="A291" s="30">
        <v>2.1769240311918381</v>
      </c>
      <c r="B291" s="30">
        <v>0</v>
      </c>
      <c r="C291" s="30">
        <v>17.079999999999998</v>
      </c>
      <c r="G291" s="18"/>
    </row>
    <row r="292" spans="1:7" x14ac:dyDescent="0.25">
      <c r="A292" s="30">
        <v>1.1691905217510572</v>
      </c>
      <c r="B292" s="30">
        <v>0</v>
      </c>
      <c r="C292" s="30">
        <v>17.079999999999998</v>
      </c>
      <c r="G292" s="18"/>
    </row>
    <row r="293" spans="1:7" x14ac:dyDescent="0.25">
      <c r="A293" s="30">
        <v>1.71291154512313</v>
      </c>
      <c r="B293" s="30">
        <v>0</v>
      </c>
      <c r="C293" s="30">
        <v>17.079999999999998</v>
      </c>
      <c r="G293" s="18"/>
    </row>
    <row r="294" spans="1:7" x14ac:dyDescent="0.25">
      <c r="A294" s="30">
        <v>7.8357675154537731E-2</v>
      </c>
      <c r="B294" s="30">
        <v>0</v>
      </c>
      <c r="C294" s="30">
        <v>17.079999999999998</v>
      </c>
      <c r="G294" s="18"/>
    </row>
    <row r="295" spans="1:7" x14ac:dyDescent="0.25">
      <c r="A295" s="30">
        <v>0.28350032541271314</v>
      </c>
      <c r="B295" s="30">
        <v>0</v>
      </c>
      <c r="C295" s="30">
        <v>17.079999999999998</v>
      </c>
      <c r="G295" s="18"/>
    </row>
    <row r="296" spans="1:7" x14ac:dyDescent="0.25">
      <c r="A296" s="30">
        <v>0.70857521036797211</v>
      </c>
      <c r="B296" s="30">
        <v>0</v>
      </c>
      <c r="C296" s="30">
        <v>29.119999999999997</v>
      </c>
      <c r="G296" s="18"/>
    </row>
    <row r="297" spans="1:7" x14ac:dyDescent="0.25">
      <c r="A297" s="30">
        <v>1.9923540623791371</v>
      </c>
      <c r="B297" s="30">
        <v>0</v>
      </c>
      <c r="C297" s="30">
        <v>29.119999999999997</v>
      </c>
      <c r="G297" s="18"/>
    </row>
    <row r="298" spans="1:7" x14ac:dyDescent="0.25">
      <c r="A298" s="30">
        <v>0.21354348685945151</v>
      </c>
      <c r="B298" s="30">
        <v>0</v>
      </c>
      <c r="C298" s="30">
        <v>29.119999999999997</v>
      </c>
      <c r="G298" s="18"/>
    </row>
    <row r="299" spans="1:7" x14ac:dyDescent="0.25">
      <c r="A299" s="30">
        <v>0.14838068685233399</v>
      </c>
      <c r="B299" s="30">
        <v>0</v>
      </c>
      <c r="C299" s="30">
        <v>29.119999999999997</v>
      </c>
      <c r="G299" s="18"/>
    </row>
    <row r="300" spans="1:7" x14ac:dyDescent="0.25">
      <c r="A300" s="30">
        <v>0.72031977457772733</v>
      </c>
      <c r="B300" s="30">
        <v>0</v>
      </c>
      <c r="C300" s="30">
        <v>29.119999999999997</v>
      </c>
      <c r="G300" s="18"/>
    </row>
    <row r="301" spans="1:7" x14ac:dyDescent="0.25">
      <c r="A301" s="30">
        <v>1.5326157722502534</v>
      </c>
      <c r="B301" s="30">
        <v>0</v>
      </c>
      <c r="C301" s="30">
        <v>29.119999999999997</v>
      </c>
      <c r="G301" s="18"/>
    </row>
    <row r="302" spans="1:7" x14ac:dyDescent="0.25">
      <c r="A302" s="30">
        <v>0.25545366995375457</v>
      </c>
      <c r="B302" s="30">
        <v>0</v>
      </c>
      <c r="C302" s="30">
        <v>29.119999999999997</v>
      </c>
      <c r="G302" s="18"/>
    </row>
    <row r="303" spans="1:7" x14ac:dyDescent="0.25">
      <c r="A303" s="30">
        <v>0.64777820800718477</v>
      </c>
      <c r="B303" s="30">
        <v>0</v>
      </c>
      <c r="C303" s="30">
        <v>29.119999999999997</v>
      </c>
      <c r="G303" s="18"/>
    </row>
    <row r="304" spans="1:7" x14ac:dyDescent="0.25">
      <c r="A304" s="30">
        <v>0.69775700952475117</v>
      </c>
      <c r="B304" s="30">
        <v>0</v>
      </c>
      <c r="C304" s="30">
        <v>29.119999999999997</v>
      </c>
      <c r="G304" s="18"/>
    </row>
    <row r="305" spans="1:7" x14ac:dyDescent="0.25">
      <c r="A305" s="30">
        <v>1.7406447442364072</v>
      </c>
      <c r="B305" s="30">
        <v>0</v>
      </c>
      <c r="C305" s="30">
        <v>29.119999999999997</v>
      </c>
      <c r="G305" s="18"/>
    </row>
    <row r="306" spans="1:7" x14ac:dyDescent="0.25">
      <c r="A306" s="30">
        <v>0.98715303664944432</v>
      </c>
      <c r="B306" s="30">
        <v>0</v>
      </c>
      <c r="C306" s="30">
        <v>29.119999999999997</v>
      </c>
      <c r="G306" s="18"/>
    </row>
    <row r="307" spans="1:7" x14ac:dyDescent="0.25">
      <c r="A307" s="30">
        <v>1.2930318674199042</v>
      </c>
      <c r="B307" s="30">
        <v>0</v>
      </c>
      <c r="C307" s="30">
        <v>29.119999999999997</v>
      </c>
      <c r="G307" s="18"/>
    </row>
    <row r="308" spans="1:7" x14ac:dyDescent="0.25">
      <c r="A308" s="30">
        <v>1.0204151018512166</v>
      </c>
      <c r="B308" s="30">
        <v>0</v>
      </c>
      <c r="C308" s="30">
        <v>29.119999999999997</v>
      </c>
      <c r="G308" s="18"/>
    </row>
    <row r="309" spans="1:7" x14ac:dyDescent="0.25">
      <c r="A309" s="30">
        <v>0.56280392424950276</v>
      </c>
      <c r="B309" s="30">
        <v>0</v>
      </c>
      <c r="C309" s="30">
        <v>29.119999999999997</v>
      </c>
      <c r="G309" s="18"/>
    </row>
    <row r="310" spans="1:7" x14ac:dyDescent="0.25">
      <c r="A310" s="30">
        <v>0.69435630160922557</v>
      </c>
      <c r="B310" s="30">
        <v>0</v>
      </c>
      <c r="C310" s="30">
        <v>29.119999999999997</v>
      </c>
      <c r="G310" s="18"/>
    </row>
    <row r="311" spans="1:7" x14ac:dyDescent="0.25">
      <c r="A311" s="30">
        <v>0.44183636355654415</v>
      </c>
      <c r="B311" s="30">
        <v>0</v>
      </c>
      <c r="C311" s="30">
        <v>29.119999999999997</v>
      </c>
      <c r="G311" s="18"/>
    </row>
    <row r="312" spans="1:7" x14ac:dyDescent="0.25">
      <c r="A312" s="30">
        <v>0.66656833587876607</v>
      </c>
      <c r="B312" s="30">
        <v>0</v>
      </c>
      <c r="C312" s="30">
        <v>29.119999999999997</v>
      </c>
      <c r="G312" s="18"/>
    </row>
    <row r="313" spans="1:7" x14ac:dyDescent="0.25">
      <c r="A313" s="30">
        <v>0.92131048068957533</v>
      </c>
      <c r="B313" s="30">
        <v>0</v>
      </c>
      <c r="C313" s="30">
        <v>20.02</v>
      </c>
      <c r="G313" s="18"/>
    </row>
    <row r="314" spans="1:7" x14ac:dyDescent="0.25">
      <c r="A314" s="30">
        <v>4.7124870640299507E-2</v>
      </c>
      <c r="B314" s="30">
        <v>0</v>
      </c>
      <c r="C314" s="30">
        <v>20.02</v>
      </c>
      <c r="G314" s="18"/>
    </row>
    <row r="315" spans="1:7" x14ac:dyDescent="0.25">
      <c r="A315" s="30">
        <v>1.2336999248435101</v>
      </c>
      <c r="B315" s="30">
        <v>0</v>
      </c>
      <c r="C315" s="30">
        <v>20.02</v>
      </c>
      <c r="G315" s="18"/>
    </row>
    <row r="316" spans="1:7" x14ac:dyDescent="0.25">
      <c r="A316" s="30">
        <v>0.21232297378497256</v>
      </c>
      <c r="B316" s="30">
        <v>0</v>
      </c>
      <c r="C316" s="30">
        <v>20.02</v>
      </c>
      <c r="G316" s="18"/>
    </row>
    <row r="317" spans="1:7" x14ac:dyDescent="0.25">
      <c r="A317" s="30">
        <v>0.53727020565985195</v>
      </c>
      <c r="B317" s="30">
        <v>0</v>
      </c>
      <c r="C317" s="30">
        <v>20.02</v>
      </c>
      <c r="G317" s="18"/>
    </row>
    <row r="318" spans="1:7" x14ac:dyDescent="0.25">
      <c r="A318" s="30">
        <v>0.8742519541351671</v>
      </c>
      <c r="B318" s="30">
        <v>0</v>
      </c>
      <c r="C318" s="30">
        <v>20.02</v>
      </c>
      <c r="G318" s="18"/>
    </row>
    <row r="319" spans="1:7" x14ac:dyDescent="0.25">
      <c r="A319" s="30">
        <v>2.3994313058026951E-2</v>
      </c>
      <c r="B319" s="30">
        <v>0</v>
      </c>
      <c r="C319" s="30">
        <v>20.02</v>
      </c>
      <c r="G319" s="18"/>
    </row>
    <row r="320" spans="1:7" x14ac:dyDescent="0.25">
      <c r="A320" s="30">
        <v>0.73773692222972076</v>
      </c>
      <c r="B320" s="30">
        <v>0</v>
      </c>
      <c r="C320" s="30">
        <v>20.02</v>
      </c>
      <c r="G320" s="18"/>
    </row>
    <row r="321" spans="1:7" x14ac:dyDescent="0.25">
      <c r="A321" s="30">
        <v>1.5075146175476044</v>
      </c>
      <c r="B321" s="30">
        <v>0</v>
      </c>
      <c r="C321" s="30">
        <v>20.02</v>
      </c>
      <c r="G321" s="18"/>
    </row>
    <row r="322" spans="1:7" x14ac:dyDescent="0.25">
      <c r="A322" s="30">
        <v>0.40540304781562286</v>
      </c>
      <c r="B322" s="30">
        <v>0</v>
      </c>
      <c r="C322" s="30">
        <v>20.02</v>
      </c>
      <c r="G322" s="18"/>
    </row>
    <row r="323" spans="1:7" x14ac:dyDescent="0.25">
      <c r="A323" s="30">
        <v>0.28287396752983557</v>
      </c>
      <c r="B323" s="30">
        <v>0</v>
      </c>
      <c r="C323" s="30">
        <v>20.02</v>
      </c>
      <c r="G323" s="18"/>
    </row>
    <row r="324" spans="1:7" x14ac:dyDescent="0.25">
      <c r="A324" s="30">
        <v>0.82346478971908788</v>
      </c>
      <c r="B324" s="30">
        <v>0</v>
      </c>
      <c r="C324" s="30">
        <v>20.02</v>
      </c>
      <c r="G324" s="18"/>
    </row>
    <row r="325" spans="1:7" x14ac:dyDescent="0.25">
      <c r="A325" s="30">
        <v>7.1449597401323131E-2</v>
      </c>
      <c r="B325" s="30">
        <v>0</v>
      </c>
      <c r="C325" s="30">
        <v>20.02</v>
      </c>
      <c r="G325" s="18"/>
    </row>
    <row r="326" spans="1:7" x14ac:dyDescent="0.25">
      <c r="A326" s="30">
        <v>0.26054830276406193</v>
      </c>
      <c r="B326" s="30">
        <v>0</v>
      </c>
      <c r="C326" s="30">
        <v>20.02</v>
      </c>
      <c r="G326" s="18"/>
    </row>
    <row r="327" spans="1:7" x14ac:dyDescent="0.25">
      <c r="A327" s="30">
        <v>0.21180131368492069</v>
      </c>
      <c r="B327" s="30">
        <v>0</v>
      </c>
      <c r="C327" s="30">
        <v>20.02</v>
      </c>
      <c r="G327" s="18"/>
    </row>
    <row r="328" spans="1:7" x14ac:dyDescent="0.25">
      <c r="A328" s="30">
        <v>0.3588788199345786</v>
      </c>
      <c r="B328" s="30">
        <v>0</v>
      </c>
      <c r="C328" s="30">
        <v>20.02</v>
      </c>
      <c r="G328" s="18"/>
    </row>
    <row r="329" spans="1:7" x14ac:dyDescent="0.25">
      <c r="A329" s="30">
        <v>0.35642793533309974</v>
      </c>
      <c r="B329" s="30">
        <v>0</v>
      </c>
      <c r="C329" s="30">
        <v>13.44</v>
      </c>
      <c r="G329" s="18"/>
    </row>
    <row r="330" spans="1:7" x14ac:dyDescent="0.25">
      <c r="A330" s="30">
        <v>0.10981060362125279</v>
      </c>
      <c r="B330" s="30">
        <v>0</v>
      </c>
      <c r="C330" s="30">
        <v>13.44</v>
      </c>
      <c r="G330" s="18"/>
    </row>
    <row r="331" spans="1:7" x14ac:dyDescent="0.25">
      <c r="A331" s="30">
        <v>0.40755023385080308</v>
      </c>
      <c r="B331" s="30">
        <v>0</v>
      </c>
      <c r="C331" s="30">
        <v>13.44</v>
      </c>
      <c r="G331" s="18"/>
    </row>
    <row r="332" spans="1:7" x14ac:dyDescent="0.25">
      <c r="A332" s="30">
        <v>1.3499165166433005</v>
      </c>
      <c r="B332" s="30">
        <v>0</v>
      </c>
      <c r="C332" s="30">
        <v>13.44</v>
      </c>
      <c r="G332" s="18"/>
    </row>
    <row r="333" spans="1:7" x14ac:dyDescent="0.25">
      <c r="A333" s="30">
        <v>0.28235223060243131</v>
      </c>
      <c r="B333" s="30">
        <v>0</v>
      </c>
      <c r="C333" s="30">
        <v>13.44</v>
      </c>
      <c r="G333" s="18"/>
    </row>
    <row r="334" spans="1:7" x14ac:dyDescent="0.25">
      <c r="A334" s="30">
        <v>0.63987513594462142</v>
      </c>
      <c r="B334" s="30">
        <v>0</v>
      </c>
      <c r="C334" s="30">
        <v>13.44</v>
      </c>
      <c r="G334" s="18"/>
    </row>
    <row r="335" spans="1:7" x14ac:dyDescent="0.25">
      <c r="A335" s="30">
        <v>1.0036997006636388</v>
      </c>
      <c r="B335" s="30">
        <v>0</v>
      </c>
      <c r="C335" s="30">
        <v>13.44</v>
      </c>
      <c r="G335" s="18"/>
    </row>
    <row r="336" spans="1:7" x14ac:dyDescent="0.25">
      <c r="A336" s="30">
        <v>0.49694227277411995</v>
      </c>
      <c r="B336" s="30">
        <v>0</v>
      </c>
      <c r="C336" s="30">
        <v>13.44</v>
      </c>
      <c r="G336" s="18"/>
    </row>
    <row r="337" spans="1:7" x14ac:dyDescent="0.25">
      <c r="A337" s="30">
        <v>1.9590345671253062</v>
      </c>
      <c r="B337" s="30">
        <v>0</v>
      </c>
      <c r="C337" s="30">
        <v>13.44</v>
      </c>
      <c r="G337" s="18"/>
    </row>
    <row r="338" spans="1:7" x14ac:dyDescent="0.25">
      <c r="A338" s="30">
        <v>1.3165788222430792</v>
      </c>
      <c r="B338" s="30">
        <v>0</v>
      </c>
      <c r="C338" s="30">
        <v>13.44</v>
      </c>
      <c r="G338" s="18"/>
    </row>
    <row r="339" spans="1:7" x14ac:dyDescent="0.25">
      <c r="A339" s="30">
        <v>2.1620509047230669</v>
      </c>
      <c r="B339" s="30">
        <v>0</v>
      </c>
      <c r="C339" s="30">
        <v>13.44</v>
      </c>
      <c r="G339" s="18"/>
    </row>
    <row r="340" spans="1:7" x14ac:dyDescent="0.25">
      <c r="A340" s="30">
        <v>0.12512075577422296</v>
      </c>
      <c r="B340" s="30">
        <v>0</v>
      </c>
      <c r="C340" s="30">
        <v>13.44</v>
      </c>
      <c r="G340" s="18"/>
    </row>
    <row r="341" spans="1:7" x14ac:dyDescent="0.25">
      <c r="A341" s="30">
        <v>1.7752823613723776</v>
      </c>
      <c r="B341" s="30">
        <v>0</v>
      </c>
      <c r="C341" s="30">
        <v>13.44</v>
      </c>
      <c r="G341" s="18"/>
    </row>
    <row r="342" spans="1:7" x14ac:dyDescent="0.25">
      <c r="A342" s="30">
        <v>0.77968431900358459</v>
      </c>
      <c r="B342" s="30">
        <v>0</v>
      </c>
      <c r="C342" s="30">
        <v>13.44</v>
      </c>
      <c r="G342" s="18"/>
    </row>
    <row r="343" spans="1:7" x14ac:dyDescent="0.25">
      <c r="A343" s="30">
        <v>0.86596031796556239</v>
      </c>
      <c r="B343" s="30">
        <v>0</v>
      </c>
      <c r="C343" s="30">
        <v>13.44</v>
      </c>
      <c r="G343" s="18"/>
    </row>
    <row r="344" spans="1:7" x14ac:dyDescent="0.25">
      <c r="A344" s="30">
        <v>1.1437978198990431</v>
      </c>
      <c r="B344" s="30">
        <v>0</v>
      </c>
      <c r="C344" s="30">
        <v>13.44</v>
      </c>
      <c r="G344" s="18"/>
    </row>
    <row r="345" spans="1:7" x14ac:dyDescent="0.25">
      <c r="A345" s="30">
        <v>1.7676709342170849</v>
      </c>
      <c r="B345" s="30">
        <v>0</v>
      </c>
      <c r="C345" s="30">
        <v>13.44</v>
      </c>
      <c r="G345" s="18"/>
    </row>
    <row r="346" spans="1:7" x14ac:dyDescent="0.25">
      <c r="A346" s="30">
        <v>0.50958914068632222</v>
      </c>
      <c r="B346" s="30">
        <v>0</v>
      </c>
      <c r="C346" s="30">
        <v>18.759999999999998</v>
      </c>
      <c r="G346" s="18"/>
    </row>
    <row r="347" spans="1:7" x14ac:dyDescent="0.25">
      <c r="A347" s="30">
        <v>0.3698575780726937</v>
      </c>
      <c r="B347" s="30">
        <v>0</v>
      </c>
      <c r="C347" s="30">
        <v>18.759999999999998</v>
      </c>
      <c r="G347" s="18"/>
    </row>
    <row r="348" spans="1:7" x14ac:dyDescent="0.25">
      <c r="A348" s="30">
        <v>0.10390995832799835</v>
      </c>
      <c r="B348" s="30">
        <v>0</v>
      </c>
      <c r="C348" s="30">
        <v>18.759999999999998</v>
      </c>
      <c r="G348" s="18"/>
    </row>
    <row r="349" spans="1:7" x14ac:dyDescent="0.25">
      <c r="A349" s="30">
        <v>0.52744596187368598</v>
      </c>
      <c r="B349" s="30">
        <v>0</v>
      </c>
      <c r="C349" s="30">
        <v>18.759999999999998</v>
      </c>
      <c r="G349" s="18"/>
    </row>
    <row r="350" spans="1:7" x14ac:dyDescent="0.25">
      <c r="A350" s="30">
        <v>5.7214184166405377E-2</v>
      </c>
      <c r="B350" s="30">
        <v>0</v>
      </c>
      <c r="C350" s="30">
        <v>18.759999999999998</v>
      </c>
      <c r="G350" s="18"/>
    </row>
    <row r="351" spans="1:7" x14ac:dyDescent="0.25">
      <c r="A351" s="30">
        <v>1.4721912584206833</v>
      </c>
      <c r="B351" s="30">
        <v>0</v>
      </c>
      <c r="C351" s="30">
        <v>18.759999999999998</v>
      </c>
      <c r="G351" s="18"/>
    </row>
    <row r="352" spans="1:7" x14ac:dyDescent="0.25">
      <c r="A352" s="30">
        <v>0.65280385391231377</v>
      </c>
      <c r="B352" s="30">
        <v>0</v>
      </c>
      <c r="C352" s="30">
        <v>18.759999999999998</v>
      </c>
      <c r="G352" s="18"/>
    </row>
    <row r="353" spans="1:7" x14ac:dyDescent="0.25">
      <c r="A353" s="30">
        <v>1.1844157669985385</v>
      </c>
      <c r="B353" s="30">
        <v>0</v>
      </c>
      <c r="C353" s="30">
        <v>18.759999999999998</v>
      </c>
      <c r="G353" s="18"/>
    </row>
    <row r="354" spans="1:7" x14ac:dyDescent="0.25">
      <c r="A354" s="30">
        <v>0.39403525723645572</v>
      </c>
      <c r="B354" s="30">
        <v>0</v>
      </c>
      <c r="C354" s="30">
        <v>18.759999999999998</v>
      </c>
      <c r="G354" s="18"/>
    </row>
    <row r="355" spans="1:7" x14ac:dyDescent="0.25">
      <c r="A355" s="30">
        <v>1.0981913509735262</v>
      </c>
      <c r="B355" s="30">
        <v>0</v>
      </c>
      <c r="C355" s="30">
        <v>18.759999999999998</v>
      </c>
      <c r="G355" s="18"/>
    </row>
    <row r="356" spans="1:7" x14ac:dyDescent="0.25">
      <c r="A356" s="30">
        <v>0.95375647834647737</v>
      </c>
      <c r="B356" s="30">
        <v>0</v>
      </c>
      <c r="C356" s="30">
        <v>18.759999999999998</v>
      </c>
      <c r="G356" s="18"/>
    </row>
    <row r="357" spans="1:7" x14ac:dyDescent="0.25">
      <c r="A357" s="30">
        <v>2.2564720977420913</v>
      </c>
      <c r="B357" s="30">
        <v>0</v>
      </c>
      <c r="C357" s="30">
        <v>18.759999999999998</v>
      </c>
      <c r="G357" s="18"/>
    </row>
    <row r="358" spans="1:7" x14ac:dyDescent="0.25">
      <c r="A358" s="30">
        <v>2.2667470882595353E-2</v>
      </c>
      <c r="B358" s="30">
        <v>0</v>
      </c>
      <c r="C358" s="30">
        <v>18.759999999999998</v>
      </c>
      <c r="G358" s="18"/>
    </row>
    <row r="359" spans="1:7" x14ac:dyDescent="0.25">
      <c r="A359" s="30">
        <v>1.197456249886077</v>
      </c>
      <c r="B359" s="30">
        <v>0</v>
      </c>
      <c r="C359" s="30">
        <v>18.759999999999998</v>
      </c>
      <c r="G359" s="18"/>
    </row>
    <row r="360" spans="1:7" x14ac:dyDescent="0.25">
      <c r="A360" s="30">
        <v>0.35244014030936655</v>
      </c>
      <c r="B360" s="30">
        <v>0</v>
      </c>
      <c r="C360" s="30">
        <v>18.759999999999998</v>
      </c>
      <c r="G360" s="18"/>
    </row>
    <row r="361" spans="1:7" x14ac:dyDescent="0.25">
      <c r="A361" s="30">
        <v>2.1023608845461728</v>
      </c>
      <c r="B361" s="30">
        <v>0</v>
      </c>
      <c r="C361" s="30">
        <v>18.759999999999998</v>
      </c>
      <c r="G361" s="18"/>
    </row>
    <row r="362" spans="1:7" x14ac:dyDescent="0.25">
      <c r="A362" s="30">
        <v>6.1347386214709164E-2</v>
      </c>
      <c r="B362" s="30">
        <v>0</v>
      </c>
      <c r="C362" s="30">
        <v>18.759999999999998</v>
      </c>
      <c r="G362" s="18"/>
    </row>
    <row r="363" spans="1:7" x14ac:dyDescent="0.25">
      <c r="A363" s="30">
        <v>0.38781669893727261</v>
      </c>
      <c r="B363" s="30">
        <v>0</v>
      </c>
      <c r="C363" s="30">
        <v>31.779999999999998</v>
      </c>
      <c r="G363" s="18"/>
    </row>
    <row r="364" spans="1:7" x14ac:dyDescent="0.25">
      <c r="A364" s="30">
        <v>0.23554316110131962</v>
      </c>
      <c r="B364" s="30">
        <v>0</v>
      </c>
      <c r="C364" s="30">
        <v>31.779999999999998</v>
      </c>
      <c r="G364" s="18"/>
    </row>
    <row r="365" spans="1:7" x14ac:dyDescent="0.25">
      <c r="A365" s="30">
        <v>0.65377868660899208</v>
      </c>
      <c r="B365" s="30">
        <v>0</v>
      </c>
      <c r="C365" s="30">
        <v>31.779999999999998</v>
      </c>
      <c r="G365" s="18"/>
    </row>
    <row r="366" spans="1:7" x14ac:dyDescent="0.25">
      <c r="A366" s="30">
        <v>0.51481313930540495</v>
      </c>
      <c r="B366" s="30">
        <v>0</v>
      </c>
      <c r="C366" s="30">
        <v>31.779999999999998</v>
      </c>
      <c r="G366" s="18"/>
    </row>
    <row r="367" spans="1:7" x14ac:dyDescent="0.25">
      <c r="A367" s="30">
        <v>1.4267842159107809</v>
      </c>
      <c r="B367" s="30">
        <v>0</v>
      </c>
      <c r="C367" s="30">
        <v>31.779999999999998</v>
      </c>
      <c r="G367" s="18"/>
    </row>
    <row r="368" spans="1:7" x14ac:dyDescent="0.25">
      <c r="A368" s="30">
        <v>0.94043738968860302</v>
      </c>
      <c r="B368" s="30">
        <v>0</v>
      </c>
      <c r="C368" s="30">
        <v>31.779999999999998</v>
      </c>
      <c r="G368" s="18"/>
    </row>
    <row r="369" spans="1:7" x14ac:dyDescent="0.25">
      <c r="A369" s="30">
        <v>0.23930217611554952</v>
      </c>
      <c r="B369" s="30">
        <v>0</v>
      </c>
      <c r="C369" s="30">
        <v>31.779999999999998</v>
      </c>
      <c r="G369" s="18"/>
    </row>
    <row r="370" spans="1:7" x14ac:dyDescent="0.25">
      <c r="A370" s="30">
        <v>0.37518676515706328</v>
      </c>
      <c r="B370" s="30">
        <v>0</v>
      </c>
      <c r="C370" s="30">
        <v>31.779999999999998</v>
      </c>
      <c r="G370" s="18"/>
    </row>
    <row r="371" spans="1:7" x14ac:dyDescent="0.25">
      <c r="A371" s="30">
        <v>0.25932580977959868</v>
      </c>
      <c r="B371" s="30">
        <v>0</v>
      </c>
      <c r="C371" s="30">
        <v>31.779999999999998</v>
      </c>
      <c r="G371" s="18"/>
    </row>
    <row r="372" spans="1:7" x14ac:dyDescent="0.25">
      <c r="A372" s="30">
        <v>1.3231294167799486</v>
      </c>
      <c r="B372" s="30">
        <v>0</v>
      </c>
      <c r="C372" s="30">
        <v>31.779999999999998</v>
      </c>
      <c r="G372" s="18"/>
    </row>
    <row r="373" spans="1:7" x14ac:dyDescent="0.25">
      <c r="A373" s="30">
        <v>0.1366372652007323</v>
      </c>
      <c r="B373" s="30">
        <v>0</v>
      </c>
      <c r="C373" s="30">
        <v>31.779999999999998</v>
      </c>
      <c r="G373" s="18"/>
    </row>
    <row r="374" spans="1:7" x14ac:dyDescent="0.25">
      <c r="A374" s="30">
        <v>0.64906382139663032</v>
      </c>
      <c r="B374" s="30">
        <v>0</v>
      </c>
      <c r="C374" s="30">
        <v>31.779999999999998</v>
      </c>
      <c r="G374" s="18"/>
    </row>
    <row r="375" spans="1:7" x14ac:dyDescent="0.25">
      <c r="A375" s="30">
        <v>1.0226821602640943</v>
      </c>
      <c r="B375" s="30">
        <v>0</v>
      </c>
      <c r="C375" s="30">
        <v>31.779999999999998</v>
      </c>
      <c r="G375" s="18"/>
    </row>
    <row r="376" spans="1:7" x14ac:dyDescent="0.25">
      <c r="A376" s="30">
        <v>0.58513684343934647</v>
      </c>
      <c r="B376" s="30">
        <v>0</v>
      </c>
      <c r="C376" s="30">
        <v>31.779999999999998</v>
      </c>
      <c r="G376" s="18"/>
    </row>
    <row r="377" spans="1:7" x14ac:dyDescent="0.25">
      <c r="A377" s="30">
        <v>1.2704445544765766</v>
      </c>
      <c r="B377" s="30">
        <v>0</v>
      </c>
      <c r="C377" s="30">
        <v>31.779999999999998</v>
      </c>
      <c r="G377" s="18"/>
    </row>
    <row r="378" spans="1:7" x14ac:dyDescent="0.25">
      <c r="A378" s="30">
        <v>0.44348711475529684</v>
      </c>
      <c r="B378" s="30">
        <v>0</v>
      </c>
      <c r="C378" s="30">
        <v>19.46</v>
      </c>
      <c r="G378" s="18"/>
    </row>
    <row r="379" spans="1:7" x14ac:dyDescent="0.25">
      <c r="A379" s="30">
        <v>0.93068611064141249</v>
      </c>
      <c r="B379" s="30">
        <v>0</v>
      </c>
      <c r="C379" s="30">
        <v>19.46</v>
      </c>
      <c r="G379" s="18"/>
    </row>
    <row r="380" spans="1:7" x14ac:dyDescent="0.25">
      <c r="A380" s="30">
        <v>0.17044409080022394</v>
      </c>
      <c r="B380" s="30">
        <v>0</v>
      </c>
      <c r="C380" s="30">
        <v>19.46</v>
      </c>
      <c r="G380" s="18"/>
    </row>
    <row r="381" spans="1:7" x14ac:dyDescent="0.25">
      <c r="A381" s="30">
        <v>0.76014819741364958</v>
      </c>
      <c r="B381" s="30">
        <v>0</v>
      </c>
      <c r="C381" s="30">
        <v>19.46</v>
      </c>
      <c r="G381" s="18"/>
    </row>
    <row r="382" spans="1:7" x14ac:dyDescent="0.25">
      <c r="A382" s="30">
        <v>0.79607650585821177</v>
      </c>
      <c r="B382" s="30">
        <v>0</v>
      </c>
      <c r="C382" s="30">
        <v>19.46</v>
      </c>
      <c r="G382" s="18"/>
    </row>
    <row r="383" spans="1:7" x14ac:dyDescent="0.25">
      <c r="A383" s="30">
        <v>1.3103160253121906</v>
      </c>
      <c r="B383" s="30">
        <v>0</v>
      </c>
      <c r="C383" s="30">
        <v>19.46</v>
      </c>
      <c r="G383" s="18"/>
    </row>
    <row r="384" spans="1:7" x14ac:dyDescent="0.25">
      <c r="A384" s="30">
        <v>0.61207990267402024</v>
      </c>
      <c r="B384" s="30">
        <v>0</v>
      </c>
      <c r="C384" s="30">
        <v>19.46</v>
      </c>
      <c r="G384" s="18"/>
    </row>
    <row r="385" spans="1:7" x14ac:dyDescent="0.25">
      <c r="A385" s="30">
        <v>1.2323993766906338</v>
      </c>
      <c r="B385" s="30">
        <v>0</v>
      </c>
      <c r="C385" s="30">
        <v>19.46</v>
      </c>
      <c r="G385" s="18"/>
    </row>
    <row r="386" spans="1:7" x14ac:dyDescent="0.25">
      <c r="A386" s="30">
        <v>1.3306993303616745</v>
      </c>
      <c r="B386" s="30">
        <v>0</v>
      </c>
      <c r="C386" s="30">
        <v>19.46</v>
      </c>
      <c r="G386" s="18"/>
    </row>
    <row r="387" spans="1:7" x14ac:dyDescent="0.25">
      <c r="A387" s="30">
        <v>1.6596210623828305</v>
      </c>
      <c r="B387" s="30">
        <v>0</v>
      </c>
      <c r="C387" s="30">
        <v>19.46</v>
      </c>
      <c r="G387" s="18"/>
    </row>
    <row r="388" spans="1:7" x14ac:dyDescent="0.25">
      <c r="A388" s="30">
        <v>1.0986443884731751</v>
      </c>
      <c r="B388" s="30">
        <v>0</v>
      </c>
      <c r="C388" s="30">
        <v>19.46</v>
      </c>
      <c r="G388" s="18"/>
    </row>
    <row r="389" spans="1:7" x14ac:dyDescent="0.25">
      <c r="A389" s="30">
        <v>0.18746679933700622</v>
      </c>
      <c r="B389" s="30">
        <v>0</v>
      </c>
      <c r="C389" s="30">
        <v>19.46</v>
      </c>
      <c r="G389" s="18"/>
    </row>
    <row r="390" spans="1:7" x14ac:dyDescent="0.25">
      <c r="A390" s="30">
        <v>0.55441652879811698</v>
      </c>
      <c r="B390" s="30">
        <v>0</v>
      </c>
      <c r="C390" s="30">
        <v>19.46</v>
      </c>
      <c r="G390" s="18"/>
    </row>
    <row r="391" spans="1:7" x14ac:dyDescent="0.25">
      <c r="A391" s="30">
        <v>2.3387265458944206</v>
      </c>
      <c r="B391" s="30">
        <v>0</v>
      </c>
      <c r="C391" s="30">
        <v>19.46</v>
      </c>
      <c r="G391" s="18"/>
    </row>
    <row r="392" spans="1:7" x14ac:dyDescent="0.25">
      <c r="A392" s="30">
        <v>1.0472720463337042</v>
      </c>
      <c r="B392" s="30">
        <v>0</v>
      </c>
      <c r="C392" s="30">
        <v>19.46</v>
      </c>
      <c r="G392" s="18"/>
    </row>
    <row r="393" spans="1:7" x14ac:dyDescent="0.25">
      <c r="A393" s="30">
        <v>1.7872108388189076</v>
      </c>
      <c r="B393" s="30">
        <v>0</v>
      </c>
      <c r="C393" s="30">
        <v>19.46</v>
      </c>
      <c r="G393" s="18"/>
    </row>
    <row r="394" spans="1:7" x14ac:dyDescent="0.25">
      <c r="A394" s="30">
        <v>0.34682927588086576</v>
      </c>
      <c r="B394" s="30">
        <v>0</v>
      </c>
      <c r="C394" s="30">
        <v>21.56</v>
      </c>
      <c r="G394" s="18"/>
    </row>
    <row r="395" spans="1:7" x14ac:dyDescent="0.25">
      <c r="A395" s="30">
        <v>1.5761259780932613</v>
      </c>
      <c r="B395" s="30">
        <v>0</v>
      </c>
      <c r="C395" s="30">
        <v>21.56</v>
      </c>
      <c r="G395" s="18"/>
    </row>
    <row r="396" spans="1:7" x14ac:dyDescent="0.25">
      <c r="A396" s="30">
        <v>0.70289332608952704</v>
      </c>
      <c r="B396" s="30">
        <v>0</v>
      </c>
      <c r="C396" s="30">
        <v>21.56</v>
      </c>
      <c r="G396" s="18"/>
    </row>
    <row r="397" spans="1:7" x14ac:dyDescent="0.25">
      <c r="A397" s="30">
        <v>1.1027827232686687</v>
      </c>
      <c r="B397" s="30">
        <v>0</v>
      </c>
      <c r="C397" s="30">
        <v>21.56</v>
      </c>
      <c r="G397" s="18"/>
    </row>
    <row r="398" spans="1:7" x14ac:dyDescent="0.25">
      <c r="A398" s="30">
        <v>0.23343766992133547</v>
      </c>
      <c r="B398" s="30">
        <v>0</v>
      </c>
      <c r="C398" s="30">
        <v>21.56</v>
      </c>
      <c r="G398" s="18"/>
    </row>
    <row r="399" spans="1:7" x14ac:dyDescent="0.25">
      <c r="A399" s="30">
        <v>2.1365928954673197</v>
      </c>
      <c r="B399" s="30">
        <v>0</v>
      </c>
      <c r="C399" s="30">
        <v>21.56</v>
      </c>
      <c r="G399" s="18"/>
    </row>
    <row r="400" spans="1:7" x14ac:dyDescent="0.25">
      <c r="A400" s="30">
        <v>0.65799428187778086</v>
      </c>
      <c r="B400" s="30">
        <v>0</v>
      </c>
      <c r="C400" s="30">
        <v>21.56</v>
      </c>
      <c r="G400" s="18"/>
    </row>
    <row r="401" spans="1:7" x14ac:dyDescent="0.25">
      <c r="A401" s="30">
        <v>0.38511653298474374</v>
      </c>
      <c r="B401" s="30">
        <v>0</v>
      </c>
      <c r="C401" s="30">
        <v>21.56</v>
      </c>
      <c r="G401" s="18"/>
    </row>
    <row r="402" spans="1:7" x14ac:dyDescent="0.25">
      <c r="A402" s="30">
        <v>0.20514444677793137</v>
      </c>
      <c r="B402" s="30">
        <v>0</v>
      </c>
      <c r="C402" s="30">
        <v>21.56</v>
      </c>
      <c r="G402" s="18"/>
    </row>
    <row r="403" spans="1:7" x14ac:dyDescent="0.25">
      <c r="A403" s="30">
        <v>2.041971041441804</v>
      </c>
      <c r="B403" s="30">
        <v>0</v>
      </c>
      <c r="C403" s="30">
        <v>21.56</v>
      </c>
      <c r="G403" s="18"/>
    </row>
    <row r="404" spans="1:7" x14ac:dyDescent="0.25">
      <c r="A404" s="30">
        <v>1.3874097118373825</v>
      </c>
      <c r="B404" s="30">
        <v>0</v>
      </c>
      <c r="C404" s="30">
        <v>21.56</v>
      </c>
      <c r="G404" s="18"/>
    </row>
    <row r="405" spans="1:7" x14ac:dyDescent="0.25">
      <c r="A405" s="30">
        <v>1.0617243032737114</v>
      </c>
      <c r="B405" s="30">
        <v>0</v>
      </c>
      <c r="C405" s="30">
        <v>21.56</v>
      </c>
      <c r="G405" s="18"/>
    </row>
    <row r="406" spans="1:7" x14ac:dyDescent="0.25">
      <c r="A406" s="30">
        <v>0.15209641265541868</v>
      </c>
      <c r="B406" s="30">
        <v>0</v>
      </c>
      <c r="C406" s="30">
        <v>21.56</v>
      </c>
      <c r="G406" s="18"/>
    </row>
    <row r="407" spans="1:7" x14ac:dyDescent="0.25">
      <c r="A407" s="30">
        <v>1.5538099479360674</v>
      </c>
      <c r="B407" s="30">
        <v>0</v>
      </c>
      <c r="C407" s="30">
        <v>21.56</v>
      </c>
      <c r="G407" s="18"/>
    </row>
    <row r="408" spans="1:7" x14ac:dyDescent="0.25">
      <c r="A408" s="30">
        <v>1.3207582306899668</v>
      </c>
      <c r="B408" s="30">
        <v>0</v>
      </c>
      <c r="C408" s="30">
        <v>21.56</v>
      </c>
      <c r="G408" s="18"/>
    </row>
    <row r="409" spans="1:7" x14ac:dyDescent="0.25">
      <c r="A409" s="30">
        <v>0.64134087407564633</v>
      </c>
      <c r="B409" s="30">
        <v>0</v>
      </c>
      <c r="C409" s="30">
        <v>21.56</v>
      </c>
      <c r="G409" s="18"/>
    </row>
    <row r="410" spans="1:7" x14ac:dyDescent="0.25">
      <c r="A410" s="30">
        <v>0.72791101111533107</v>
      </c>
      <c r="B410" s="30">
        <v>0</v>
      </c>
      <c r="C410" s="30">
        <v>21.56</v>
      </c>
      <c r="G410" s="18"/>
    </row>
    <row r="411" spans="1:7" x14ac:dyDescent="0.25">
      <c r="A411" s="30">
        <v>1.995840380652727</v>
      </c>
      <c r="B411" s="30">
        <v>0</v>
      </c>
      <c r="C411" s="30">
        <v>27.02</v>
      </c>
      <c r="G411" s="18"/>
    </row>
    <row r="412" spans="1:7" x14ac:dyDescent="0.25">
      <c r="A412" s="30">
        <v>1.0916951961056869</v>
      </c>
      <c r="B412" s="30">
        <v>0</v>
      </c>
      <c r="C412" s="30">
        <v>27.02</v>
      </c>
      <c r="G412" s="18"/>
    </row>
    <row r="413" spans="1:7" x14ac:dyDescent="0.25">
      <c r="A413" s="30">
        <v>1.0626329379825121</v>
      </c>
      <c r="B413" s="30">
        <v>0</v>
      </c>
      <c r="C413" s="30">
        <v>27.02</v>
      </c>
      <c r="G413" s="18"/>
    </row>
    <row r="414" spans="1:7" x14ac:dyDescent="0.25">
      <c r="A414" s="30">
        <v>1.389557281685224</v>
      </c>
      <c r="B414" s="30">
        <v>0</v>
      </c>
      <c r="C414" s="30">
        <v>27.02</v>
      </c>
      <c r="G414" s="18"/>
    </row>
    <row r="415" spans="1:7" x14ac:dyDescent="0.25">
      <c r="A415" s="30">
        <v>0.29379496714752884</v>
      </c>
      <c r="B415" s="30">
        <v>0</v>
      </c>
      <c r="C415" s="30">
        <v>27.02</v>
      </c>
      <c r="G415" s="18"/>
    </row>
    <row r="416" spans="1:7" x14ac:dyDescent="0.25">
      <c r="A416" s="30">
        <v>0.80828050306182786</v>
      </c>
      <c r="B416" s="30">
        <v>0</v>
      </c>
      <c r="C416" s="30">
        <v>27.02</v>
      </c>
      <c r="G416" s="18"/>
    </row>
    <row r="417" spans="1:7" x14ac:dyDescent="0.25">
      <c r="A417" s="30">
        <v>1.6590531591781563</v>
      </c>
      <c r="B417" s="30">
        <v>0</v>
      </c>
      <c r="C417" s="30">
        <v>27.02</v>
      </c>
      <c r="G417" s="18"/>
    </row>
    <row r="418" spans="1:7" x14ac:dyDescent="0.25">
      <c r="A418" s="30">
        <v>0.9258302065862406</v>
      </c>
      <c r="B418" s="30">
        <v>0</v>
      </c>
      <c r="C418" s="30">
        <v>27.02</v>
      </c>
      <c r="G418" s="18"/>
    </row>
    <row r="419" spans="1:7" x14ac:dyDescent="0.25">
      <c r="A419" s="30">
        <v>1.7091558899187524</v>
      </c>
      <c r="B419" s="30">
        <v>0</v>
      </c>
      <c r="C419" s="30">
        <v>27.02</v>
      </c>
      <c r="G419" s="18"/>
    </row>
    <row r="420" spans="1:7" x14ac:dyDescent="0.25">
      <c r="A420" s="30">
        <v>1.3698351069211356</v>
      </c>
      <c r="B420" s="30">
        <v>0</v>
      </c>
      <c r="C420" s="30">
        <v>27.02</v>
      </c>
      <c r="G420" s="18"/>
    </row>
    <row r="421" spans="1:7" x14ac:dyDescent="0.25">
      <c r="A421" s="30">
        <v>1.0813357167196995</v>
      </c>
      <c r="B421" s="30">
        <v>0</v>
      </c>
      <c r="C421" s="30">
        <v>27.02</v>
      </c>
      <c r="G421" s="18"/>
    </row>
    <row r="422" spans="1:7" x14ac:dyDescent="0.25">
      <c r="A422" s="30">
        <v>0.1074956623910918</v>
      </c>
      <c r="B422" s="30">
        <v>0</v>
      </c>
      <c r="C422" s="30">
        <v>27.02</v>
      </c>
      <c r="G422" s="18"/>
    </row>
    <row r="423" spans="1:7" x14ac:dyDescent="0.25">
      <c r="A423" s="30">
        <v>4.2470397923665269E-2</v>
      </c>
      <c r="B423" s="30">
        <v>0</v>
      </c>
      <c r="C423" s="30">
        <v>27.02</v>
      </c>
      <c r="G423" s="18"/>
    </row>
    <row r="424" spans="1:7" x14ac:dyDescent="0.25">
      <c r="A424" s="30">
        <v>0.60191602002627953</v>
      </c>
      <c r="B424" s="30">
        <v>0</v>
      </c>
      <c r="C424" s="30">
        <v>27.02</v>
      </c>
      <c r="G424" s="18"/>
    </row>
    <row r="425" spans="1:7" x14ac:dyDescent="0.25">
      <c r="A425" s="30">
        <v>1.5938810914280004</v>
      </c>
      <c r="B425" s="30">
        <v>0</v>
      </c>
      <c r="C425" s="30">
        <v>27.02</v>
      </c>
      <c r="G425" s="18"/>
    </row>
    <row r="426" spans="1:7" x14ac:dyDescent="0.25">
      <c r="A426" s="30">
        <v>0.24727088433228542</v>
      </c>
      <c r="B426" s="30">
        <v>0</v>
      </c>
      <c r="C426" s="30">
        <v>27.02</v>
      </c>
      <c r="G426" s="18"/>
    </row>
    <row r="427" spans="1:7" x14ac:dyDescent="0.25">
      <c r="A427" s="30">
        <v>2.0237088296137631</v>
      </c>
      <c r="B427" s="30">
        <v>0</v>
      </c>
      <c r="C427" s="30">
        <v>27.02</v>
      </c>
      <c r="G427" s="18"/>
    </row>
    <row r="428" spans="1:7" x14ac:dyDescent="0.25">
      <c r="A428" s="30">
        <v>0.73862147795592448</v>
      </c>
      <c r="B428" s="30">
        <v>0</v>
      </c>
      <c r="C428" s="30">
        <v>21.979999999999997</v>
      </c>
      <c r="G428" s="18"/>
    </row>
    <row r="429" spans="1:7" x14ac:dyDescent="0.25">
      <c r="A429" s="30">
        <v>0.40641166847664756</v>
      </c>
      <c r="B429" s="30">
        <v>0</v>
      </c>
      <c r="C429" s="30">
        <v>21.979999999999997</v>
      </c>
      <c r="G429" s="18"/>
    </row>
    <row r="430" spans="1:7" x14ac:dyDescent="0.25">
      <c r="A430" s="30">
        <v>0.86095487356173606</v>
      </c>
      <c r="B430" s="30">
        <v>0</v>
      </c>
      <c r="C430" s="30">
        <v>21.979999999999997</v>
      </c>
      <c r="G430" s="18"/>
    </row>
    <row r="431" spans="1:7" x14ac:dyDescent="0.25">
      <c r="A431" s="30">
        <v>1.8568986248229364</v>
      </c>
      <c r="B431" s="30">
        <v>0</v>
      </c>
      <c r="C431" s="30">
        <v>21.979999999999997</v>
      </c>
      <c r="G431" s="18"/>
    </row>
    <row r="432" spans="1:7" x14ac:dyDescent="0.25">
      <c r="A432" s="30">
        <v>7.8147730869736434E-2</v>
      </c>
      <c r="B432" s="30">
        <v>0</v>
      </c>
      <c r="C432" s="30">
        <v>21.979999999999997</v>
      </c>
      <c r="G432" s="18"/>
    </row>
    <row r="433" spans="1:7" x14ac:dyDescent="0.25">
      <c r="A433" s="30">
        <v>1.1313985541587996</v>
      </c>
      <c r="B433" s="30">
        <v>0</v>
      </c>
      <c r="C433" s="30">
        <v>21.979999999999997</v>
      </c>
      <c r="G433" s="18"/>
    </row>
    <row r="434" spans="1:7" x14ac:dyDescent="0.25">
      <c r="A434" s="30">
        <v>0.83937944862986824</v>
      </c>
      <c r="B434" s="30">
        <v>0</v>
      </c>
      <c r="C434" s="30">
        <v>21.979999999999997</v>
      </c>
      <c r="G434" s="18"/>
    </row>
    <row r="435" spans="1:7" x14ac:dyDescent="0.25">
      <c r="A435" s="30">
        <v>1.4569585002008587</v>
      </c>
      <c r="B435" s="30">
        <v>0</v>
      </c>
      <c r="C435" s="30">
        <v>21.979999999999997</v>
      </c>
      <c r="G435" s="18"/>
    </row>
    <row r="436" spans="1:7" x14ac:dyDescent="0.25">
      <c r="A436" s="30">
        <v>1.3823095025112651</v>
      </c>
      <c r="B436" s="30">
        <v>0</v>
      </c>
      <c r="C436" s="30">
        <v>21.979999999999997</v>
      </c>
      <c r="G436" s="18"/>
    </row>
    <row r="437" spans="1:7" x14ac:dyDescent="0.25">
      <c r="A437" s="30">
        <v>0.40723129613083903</v>
      </c>
      <c r="B437" s="30">
        <v>0</v>
      </c>
      <c r="C437" s="30">
        <v>21.979999999999997</v>
      </c>
      <c r="G437" s="18"/>
    </row>
    <row r="438" spans="1:7" x14ac:dyDescent="0.25">
      <c r="A438" s="30">
        <v>0.258357726554513</v>
      </c>
      <c r="B438" s="30">
        <v>0</v>
      </c>
      <c r="C438" s="30">
        <v>21.979999999999997</v>
      </c>
      <c r="G438" s="18"/>
    </row>
    <row r="439" spans="1:7" x14ac:dyDescent="0.25">
      <c r="A439" s="30">
        <v>1.8199032302497158</v>
      </c>
      <c r="B439" s="30">
        <v>0</v>
      </c>
      <c r="C439" s="30">
        <v>21.979999999999997</v>
      </c>
      <c r="G439" s="18"/>
    </row>
    <row r="440" spans="1:7" x14ac:dyDescent="0.25">
      <c r="A440" s="30">
        <v>1.6578427883285361E-2</v>
      </c>
      <c r="B440" s="30">
        <v>0</v>
      </c>
      <c r="C440" s="30">
        <v>21.979999999999997</v>
      </c>
      <c r="G440" s="18"/>
    </row>
    <row r="441" spans="1:7" x14ac:dyDescent="0.25">
      <c r="A441" s="30">
        <v>0.99517850605385871</v>
      </c>
      <c r="B441" s="30">
        <v>0</v>
      </c>
      <c r="C441" s="30">
        <v>21.979999999999997</v>
      </c>
      <c r="G441" s="18"/>
    </row>
    <row r="442" spans="1:7" x14ac:dyDescent="0.25">
      <c r="A442" s="30">
        <v>1.0336900105104472</v>
      </c>
      <c r="B442" s="30">
        <v>0</v>
      </c>
      <c r="C442" s="30">
        <v>21.979999999999997</v>
      </c>
      <c r="G442" s="18"/>
    </row>
    <row r="443" spans="1:7" x14ac:dyDescent="0.25">
      <c r="A443" s="30">
        <v>2.0240109591462669</v>
      </c>
      <c r="B443" s="30">
        <v>0</v>
      </c>
      <c r="C443" s="30">
        <v>21.979999999999997</v>
      </c>
      <c r="G443" s="18"/>
    </row>
    <row r="444" spans="1:7" x14ac:dyDescent="0.25">
      <c r="A444" s="30">
        <v>1.0186152664853201</v>
      </c>
      <c r="B444" s="30">
        <v>0</v>
      </c>
      <c r="C444" s="30">
        <v>21.979999999999997</v>
      </c>
      <c r="G444" s="18"/>
    </row>
    <row r="445" spans="1:7" x14ac:dyDescent="0.25">
      <c r="A445" s="30">
        <v>1.9269291564456252</v>
      </c>
      <c r="B445" s="30">
        <v>0</v>
      </c>
      <c r="C445" s="30">
        <v>24.22</v>
      </c>
      <c r="G445" s="18"/>
    </row>
    <row r="446" spans="1:7" x14ac:dyDescent="0.25">
      <c r="A446" s="30">
        <v>1.390234134506088</v>
      </c>
      <c r="B446" s="30">
        <v>0</v>
      </c>
      <c r="C446" s="30">
        <v>24.22</v>
      </c>
      <c r="G446" s="18"/>
    </row>
    <row r="447" spans="1:7" x14ac:dyDescent="0.25">
      <c r="A447" s="30">
        <v>1.0443651139713317</v>
      </c>
      <c r="B447" s="30">
        <v>0</v>
      </c>
      <c r="C447" s="30">
        <v>24.22</v>
      </c>
      <c r="G447" s="18"/>
    </row>
    <row r="448" spans="1:7" x14ac:dyDescent="0.25">
      <c r="A448" s="30">
        <v>1.3660208443381092</v>
      </c>
      <c r="B448" s="30">
        <v>0</v>
      </c>
      <c r="C448" s="30">
        <v>24.22</v>
      </c>
      <c r="G448" s="18"/>
    </row>
    <row r="449" spans="1:7" x14ac:dyDescent="0.25">
      <c r="A449" s="30">
        <v>0.89262694174010837</v>
      </c>
      <c r="B449" s="30">
        <v>0</v>
      </c>
      <c r="C449" s="30">
        <v>24.22</v>
      </c>
      <c r="G449" s="18"/>
    </row>
    <row r="450" spans="1:7" x14ac:dyDescent="0.25">
      <c r="A450" s="30">
        <v>6.1507690723299424E-2</v>
      </c>
      <c r="B450" s="30">
        <v>0</v>
      </c>
      <c r="C450" s="30">
        <v>24.22</v>
      </c>
      <c r="G450" s="18"/>
    </row>
    <row r="451" spans="1:7" x14ac:dyDescent="0.25">
      <c r="A451" s="30">
        <v>1.5778184487587987</v>
      </c>
      <c r="B451" s="30">
        <v>0</v>
      </c>
      <c r="C451" s="30">
        <v>24.22</v>
      </c>
      <c r="G451" s="18"/>
    </row>
    <row r="452" spans="1:7" x14ac:dyDescent="0.25">
      <c r="A452" s="30">
        <v>9.5394247000366889E-2</v>
      </c>
      <c r="B452" s="30">
        <v>0</v>
      </c>
      <c r="C452" s="30">
        <v>24.22</v>
      </c>
      <c r="G452" s="18"/>
    </row>
    <row r="453" spans="1:7" x14ac:dyDescent="0.25">
      <c r="A453" s="30">
        <v>0.31279101233538764</v>
      </c>
      <c r="B453" s="30">
        <v>0</v>
      </c>
      <c r="C453" s="30">
        <v>24.22</v>
      </c>
      <c r="G453" s="18"/>
    </row>
    <row r="454" spans="1:7" x14ac:dyDescent="0.25">
      <c r="A454" s="30">
        <v>0.84276050662554114</v>
      </c>
      <c r="B454" s="30">
        <v>0</v>
      </c>
      <c r="C454" s="30">
        <v>24.22</v>
      </c>
      <c r="G454" s="18"/>
    </row>
    <row r="455" spans="1:7" x14ac:dyDescent="0.25">
      <c r="A455" s="30">
        <v>2.3496679078390268</v>
      </c>
      <c r="B455" s="30">
        <v>0</v>
      </c>
      <c r="C455" s="30">
        <v>24.22</v>
      </c>
      <c r="G455" s="18"/>
    </row>
    <row r="456" spans="1:7" x14ac:dyDescent="0.25">
      <c r="A456" s="30">
        <v>7.8201552943920685E-2</v>
      </c>
      <c r="B456" s="30">
        <v>0</v>
      </c>
      <c r="C456" s="30">
        <v>24.22</v>
      </c>
      <c r="G456" s="18"/>
    </row>
    <row r="457" spans="1:7" x14ac:dyDescent="0.25">
      <c r="A457" s="30">
        <v>2.3193145202057117</v>
      </c>
      <c r="B457" s="30">
        <v>0</v>
      </c>
      <c r="C457" s="30">
        <v>24.22</v>
      </c>
      <c r="G457" s="18"/>
    </row>
    <row r="458" spans="1:7" x14ac:dyDescent="0.25">
      <c r="A458" s="30">
        <v>0.20920851528119738</v>
      </c>
      <c r="B458" s="30">
        <v>0</v>
      </c>
      <c r="C458" s="30">
        <v>24.22</v>
      </c>
      <c r="G458" s="18"/>
    </row>
    <row r="459" spans="1:7" x14ac:dyDescent="0.25">
      <c r="A459" s="30">
        <v>3.1472442336577977E-2</v>
      </c>
      <c r="B459" s="30">
        <v>0</v>
      </c>
      <c r="C459" s="30">
        <v>24.22</v>
      </c>
      <c r="G459" s="18"/>
    </row>
    <row r="460" spans="1:7" x14ac:dyDescent="0.25">
      <c r="A460" s="30">
        <v>1.0789295789585092</v>
      </c>
      <c r="B460" s="30">
        <v>0</v>
      </c>
      <c r="C460" s="30">
        <v>24.22</v>
      </c>
      <c r="G460" s="18"/>
    </row>
    <row r="461" spans="1:7" x14ac:dyDescent="0.25">
      <c r="A461" s="30">
        <v>1.4463798218713009</v>
      </c>
      <c r="B461" s="30">
        <v>0</v>
      </c>
      <c r="C461" s="30">
        <v>21.7</v>
      </c>
      <c r="G461" s="18"/>
    </row>
    <row r="462" spans="1:7" x14ac:dyDescent="0.25">
      <c r="A462" s="30">
        <v>7.8292941170558447E-2</v>
      </c>
      <c r="B462" s="30">
        <v>0</v>
      </c>
      <c r="C462" s="30">
        <v>21.7</v>
      </c>
      <c r="G462" s="18"/>
    </row>
    <row r="463" spans="1:7" x14ac:dyDescent="0.25">
      <c r="A463" s="30">
        <v>0.22263734766560947</v>
      </c>
      <c r="B463" s="30">
        <v>0</v>
      </c>
      <c r="C463" s="30">
        <v>21.7</v>
      </c>
      <c r="G463" s="18"/>
    </row>
    <row r="464" spans="1:7" x14ac:dyDescent="0.25">
      <c r="A464" s="30">
        <v>1.2457048919421225</v>
      </c>
      <c r="B464" s="30">
        <v>0</v>
      </c>
      <c r="C464" s="30">
        <v>21.7</v>
      </c>
      <c r="G464" s="18"/>
    </row>
    <row r="465" spans="1:7" x14ac:dyDescent="0.25">
      <c r="A465" s="30">
        <v>1.8591502975003578</v>
      </c>
      <c r="B465" s="30">
        <v>0</v>
      </c>
      <c r="C465" s="30">
        <v>21.7</v>
      </c>
      <c r="G465" s="18"/>
    </row>
    <row r="466" spans="1:7" x14ac:dyDescent="0.25">
      <c r="A466" s="30">
        <v>3.9161487879930568E-2</v>
      </c>
      <c r="B466" s="30">
        <v>0</v>
      </c>
      <c r="C466" s="30">
        <v>21.7</v>
      </c>
      <c r="G466" s="18"/>
    </row>
    <row r="467" spans="1:7" x14ac:dyDescent="0.25">
      <c r="A467" s="30">
        <v>1.1648679426789204</v>
      </c>
      <c r="B467" s="30">
        <v>0</v>
      </c>
      <c r="C467" s="30">
        <v>21.7</v>
      </c>
      <c r="G467" s="18"/>
    </row>
    <row r="468" spans="1:7" x14ac:dyDescent="0.25">
      <c r="A468" s="30">
        <v>0.26591875272028942</v>
      </c>
      <c r="B468" s="30">
        <v>0</v>
      </c>
      <c r="C468" s="30">
        <v>21.7</v>
      </c>
      <c r="G468" s="18"/>
    </row>
    <row r="469" spans="1:7" x14ac:dyDescent="0.25">
      <c r="A469" s="30">
        <v>2.1781056691705674</v>
      </c>
      <c r="B469" s="30">
        <v>0</v>
      </c>
      <c r="C469" s="30">
        <v>21.7</v>
      </c>
      <c r="G469" s="18"/>
    </row>
    <row r="470" spans="1:7" x14ac:dyDescent="0.25">
      <c r="A470" s="30">
        <v>0.66851811035958886</v>
      </c>
      <c r="B470" s="30">
        <v>0</v>
      </c>
      <c r="C470" s="30">
        <v>21.7</v>
      </c>
      <c r="G470" s="18"/>
    </row>
    <row r="471" spans="1:7" x14ac:dyDescent="0.25">
      <c r="A471" s="30">
        <v>1.306765961616446</v>
      </c>
      <c r="B471" s="30">
        <v>0</v>
      </c>
      <c r="C471" s="30">
        <v>21.7</v>
      </c>
      <c r="G471" s="18"/>
    </row>
    <row r="472" spans="1:7" x14ac:dyDescent="0.25">
      <c r="A472" s="30">
        <v>0.57766443180280669</v>
      </c>
      <c r="B472" s="30">
        <v>0</v>
      </c>
      <c r="C472" s="30">
        <v>21.7</v>
      </c>
      <c r="G472" s="18"/>
    </row>
    <row r="473" spans="1:7" x14ac:dyDescent="0.25">
      <c r="A473" s="30">
        <v>1.9059098529679628</v>
      </c>
      <c r="B473" s="30">
        <v>0</v>
      </c>
      <c r="C473" s="30">
        <v>21.7</v>
      </c>
      <c r="G473" s="18"/>
    </row>
    <row r="474" spans="1:7" x14ac:dyDescent="0.25">
      <c r="A474" s="30">
        <v>0.38504097413724481</v>
      </c>
      <c r="B474" s="30">
        <v>0</v>
      </c>
      <c r="C474" s="30">
        <v>21.7</v>
      </c>
      <c r="G474" s="18"/>
    </row>
    <row r="475" spans="1:7" x14ac:dyDescent="0.25">
      <c r="A475" s="30">
        <v>0.70986145466898987</v>
      </c>
      <c r="B475" s="30">
        <v>0</v>
      </c>
      <c r="C475" s="30">
        <v>21.7</v>
      </c>
      <c r="G475" s="18"/>
    </row>
    <row r="476" spans="1:7" x14ac:dyDescent="0.25">
      <c r="A476" s="30">
        <v>0.50898976618595859</v>
      </c>
      <c r="B476" s="30">
        <v>0</v>
      </c>
      <c r="C476" s="30">
        <v>21.7</v>
      </c>
      <c r="G476" s="18"/>
    </row>
    <row r="477" spans="1:7" x14ac:dyDescent="0.25">
      <c r="A477" s="30">
        <v>0.41417041467487048</v>
      </c>
      <c r="B477" s="30">
        <v>0</v>
      </c>
      <c r="C477" s="30">
        <v>33.74</v>
      </c>
      <c r="G477" s="18"/>
    </row>
    <row r="478" spans="1:7" x14ac:dyDescent="0.25">
      <c r="A478" s="30">
        <v>0.8127523341444336</v>
      </c>
      <c r="B478" s="30">
        <v>0</v>
      </c>
      <c r="C478" s="30">
        <v>33.74</v>
      </c>
      <c r="G478" s="18"/>
    </row>
    <row r="479" spans="1:7" x14ac:dyDescent="0.25">
      <c r="A479" s="30">
        <v>0.65520990318597028</v>
      </c>
      <c r="B479" s="30">
        <v>0</v>
      </c>
      <c r="C479" s="30">
        <v>33.74</v>
      </c>
      <c r="G479" s="18"/>
    </row>
    <row r="480" spans="1:7" x14ac:dyDescent="0.25">
      <c r="A480" s="30">
        <v>0.69568256179988519</v>
      </c>
      <c r="B480" s="30">
        <v>0</v>
      </c>
      <c r="C480" s="30">
        <v>33.74</v>
      </c>
      <c r="G480" s="18"/>
    </row>
    <row r="481" spans="1:7" x14ac:dyDescent="0.25">
      <c r="A481" s="30">
        <v>0.75101716946305708</v>
      </c>
      <c r="B481" s="30">
        <v>0</v>
      </c>
      <c r="C481" s="30">
        <v>33.74</v>
      </c>
      <c r="G481" s="18"/>
    </row>
    <row r="482" spans="1:7" x14ac:dyDescent="0.25">
      <c r="A482" s="30">
        <v>1.3380400547525619</v>
      </c>
      <c r="B482" s="30">
        <v>0</v>
      </c>
      <c r="C482" s="30">
        <v>33.74</v>
      </c>
      <c r="G482" s="18"/>
    </row>
    <row r="483" spans="1:7" x14ac:dyDescent="0.25">
      <c r="A483" s="30">
        <v>1.3643954932054503</v>
      </c>
      <c r="B483" s="30">
        <v>0</v>
      </c>
      <c r="C483" s="30">
        <v>33.74</v>
      </c>
      <c r="G483" s="18"/>
    </row>
    <row r="484" spans="1:7" x14ac:dyDescent="0.25">
      <c r="A484" s="30">
        <v>1.2800421999358105</v>
      </c>
      <c r="B484" s="30">
        <v>0</v>
      </c>
      <c r="C484" s="30">
        <v>33.74</v>
      </c>
      <c r="G484" s="18"/>
    </row>
    <row r="485" spans="1:7" x14ac:dyDescent="0.25">
      <c r="A485" s="30">
        <v>2.0539879764836142</v>
      </c>
      <c r="B485" s="30">
        <v>0</v>
      </c>
      <c r="C485" s="30">
        <v>33.74</v>
      </c>
      <c r="G485" s="18"/>
    </row>
    <row r="486" spans="1:7" x14ac:dyDescent="0.25">
      <c r="A486" s="30">
        <v>4.2329821810367818E-2</v>
      </c>
      <c r="B486" s="30">
        <v>0</v>
      </c>
      <c r="C486" s="30">
        <v>33.74</v>
      </c>
      <c r="G486" s="18"/>
    </row>
    <row r="487" spans="1:7" x14ac:dyDescent="0.25">
      <c r="A487" s="30">
        <v>2.2171342361415558</v>
      </c>
      <c r="B487" s="30">
        <v>0</v>
      </c>
      <c r="C487" s="30">
        <v>33.74</v>
      </c>
      <c r="G487" s="18"/>
    </row>
    <row r="488" spans="1:7" x14ac:dyDescent="0.25">
      <c r="A488" s="30">
        <v>0.31027216966860738</v>
      </c>
      <c r="B488" s="30">
        <v>0</v>
      </c>
      <c r="C488" s="30">
        <v>33.74</v>
      </c>
      <c r="G488" s="18"/>
    </row>
    <row r="489" spans="1:7" x14ac:dyDescent="0.25">
      <c r="A489" s="30">
        <v>2.1295414944155193</v>
      </c>
      <c r="B489" s="30">
        <v>0</v>
      </c>
      <c r="C489" s="30">
        <v>33.74</v>
      </c>
      <c r="G489" s="18"/>
    </row>
    <row r="490" spans="1:7" x14ac:dyDescent="0.25">
      <c r="A490" s="30">
        <v>1.1232658980180275</v>
      </c>
      <c r="B490" s="30">
        <v>0</v>
      </c>
      <c r="C490" s="30">
        <v>33.74</v>
      </c>
      <c r="G490" s="18"/>
    </row>
    <row r="491" spans="1:7" x14ac:dyDescent="0.25">
      <c r="A491" s="30">
        <v>1.0460143408743208</v>
      </c>
      <c r="B491" s="30">
        <v>0</v>
      </c>
      <c r="C491" s="30">
        <v>33.74</v>
      </c>
      <c r="G491" s="18"/>
    </row>
    <row r="492" spans="1:7" x14ac:dyDescent="0.25">
      <c r="A492" s="30">
        <v>1.2075830965348557</v>
      </c>
      <c r="B492" s="30">
        <v>0</v>
      </c>
      <c r="C492" s="30">
        <v>33.74</v>
      </c>
      <c r="G492" s="18"/>
    </row>
    <row r="493" spans="1:7" x14ac:dyDescent="0.25">
      <c r="A493" s="30">
        <v>1.6432837651366463</v>
      </c>
      <c r="B493" s="30">
        <v>0</v>
      </c>
      <c r="C493" s="30">
        <v>33.74</v>
      </c>
      <c r="G493" s="18"/>
    </row>
    <row r="494" spans="1:7" x14ac:dyDescent="0.25">
      <c r="A494" s="30">
        <v>0.30467203997973857</v>
      </c>
      <c r="B494" s="30">
        <v>0</v>
      </c>
      <c r="C494" s="30">
        <v>12.459999999999999</v>
      </c>
      <c r="G494" s="18"/>
    </row>
    <row r="495" spans="1:7" x14ac:dyDescent="0.25">
      <c r="A495" s="30">
        <v>0.87022577996766304</v>
      </c>
      <c r="B495" s="30">
        <v>0</v>
      </c>
      <c r="C495" s="30">
        <v>12.459999999999999</v>
      </c>
      <c r="G495" s="18"/>
    </row>
    <row r="496" spans="1:7" x14ac:dyDescent="0.25">
      <c r="A496" s="30">
        <v>1.1648345914163452</v>
      </c>
      <c r="B496" s="30">
        <v>0</v>
      </c>
      <c r="C496" s="30">
        <v>12.459999999999999</v>
      </c>
      <c r="G496" s="18"/>
    </row>
    <row r="497" spans="1:7" x14ac:dyDescent="0.25">
      <c r="A497" s="30">
        <v>1.925538537089134</v>
      </c>
      <c r="B497" s="30">
        <v>0</v>
      </c>
      <c r="C497" s="30">
        <v>12.459999999999999</v>
      </c>
      <c r="G497" s="18"/>
    </row>
    <row r="498" spans="1:7" x14ac:dyDescent="0.25">
      <c r="A498" s="30">
        <v>0.31791530960439934</v>
      </c>
      <c r="B498" s="30">
        <v>0</v>
      </c>
      <c r="C498" s="30">
        <v>12.459999999999999</v>
      </c>
      <c r="G498" s="18"/>
    </row>
    <row r="499" spans="1:7" x14ac:dyDescent="0.25">
      <c r="A499" s="30">
        <v>1.1678636739298851</v>
      </c>
      <c r="B499" s="30">
        <v>0</v>
      </c>
      <c r="C499" s="30">
        <v>12.459999999999999</v>
      </c>
      <c r="G499" s="18"/>
    </row>
    <row r="500" spans="1:7" x14ac:dyDescent="0.25">
      <c r="A500" s="30">
        <v>1.0370544204864982</v>
      </c>
      <c r="B500" s="30">
        <v>0</v>
      </c>
      <c r="C500" s="30">
        <v>12.459999999999999</v>
      </c>
      <c r="G500" s="18"/>
    </row>
    <row r="501" spans="1:7" x14ac:dyDescent="0.25">
      <c r="A501" s="30">
        <v>0.72777397166210067</v>
      </c>
      <c r="B501" s="30">
        <v>0</v>
      </c>
      <c r="C501" s="30">
        <v>12.459999999999999</v>
      </c>
      <c r="G501" s="18"/>
    </row>
    <row r="502" spans="1:7" x14ac:dyDescent="0.25">
      <c r="A502" s="30">
        <v>1.0212905291205323</v>
      </c>
      <c r="B502" s="30">
        <v>0</v>
      </c>
      <c r="C502" s="30">
        <v>12.459999999999999</v>
      </c>
      <c r="G502" s="18"/>
    </row>
    <row r="503" spans="1:7" x14ac:dyDescent="0.25">
      <c r="A503" s="30">
        <v>0.56540497572024817</v>
      </c>
      <c r="B503" s="30">
        <v>0</v>
      </c>
      <c r="C503" s="30">
        <v>12.459999999999999</v>
      </c>
      <c r="G503" s="18"/>
    </row>
    <row r="504" spans="1:7" x14ac:dyDescent="0.25">
      <c r="A504" s="30">
        <v>0.34060055917637533</v>
      </c>
      <c r="B504" s="30">
        <v>0</v>
      </c>
      <c r="C504" s="30">
        <v>12.459999999999999</v>
      </c>
      <c r="G504" s="18"/>
    </row>
    <row r="505" spans="1:7" x14ac:dyDescent="0.25">
      <c r="A505" s="30">
        <v>1.0413416964438198</v>
      </c>
      <c r="B505" s="30">
        <v>0</v>
      </c>
      <c r="C505" s="30">
        <v>12.459999999999999</v>
      </c>
      <c r="G505" s="18"/>
    </row>
    <row r="506" spans="1:7" x14ac:dyDescent="0.25">
      <c r="A506" s="30">
        <v>0.32456772070616796</v>
      </c>
      <c r="B506" s="30">
        <v>0</v>
      </c>
      <c r="C506" s="30">
        <v>12.459999999999999</v>
      </c>
      <c r="G506" s="18"/>
    </row>
    <row r="507" spans="1:7" x14ac:dyDescent="0.25">
      <c r="A507" s="30">
        <v>0.52420157468846984</v>
      </c>
      <c r="B507" s="30">
        <v>0</v>
      </c>
      <c r="C507" s="30">
        <v>12.459999999999999</v>
      </c>
      <c r="G507" s="18"/>
    </row>
    <row r="508" spans="1:7" x14ac:dyDescent="0.25">
      <c r="A508" s="30">
        <v>0.89857421994120945</v>
      </c>
      <c r="B508" s="30">
        <v>0</v>
      </c>
      <c r="C508" s="30">
        <v>12.459999999999999</v>
      </c>
      <c r="G508" s="18"/>
    </row>
    <row r="509" spans="1:7" x14ac:dyDescent="0.25">
      <c r="A509" s="30">
        <v>1.4449360382845404</v>
      </c>
      <c r="B509" s="30">
        <v>0</v>
      </c>
      <c r="C509" s="30">
        <v>12.459999999999999</v>
      </c>
      <c r="G509" s="18"/>
    </row>
    <row r="510" spans="1:7" x14ac:dyDescent="0.25">
      <c r="A510" s="30">
        <v>0.8575022906058436</v>
      </c>
      <c r="B510" s="30">
        <v>0</v>
      </c>
      <c r="C510" s="30">
        <v>15.82</v>
      </c>
      <c r="G510" s="18"/>
    </row>
    <row r="511" spans="1:7" x14ac:dyDescent="0.25">
      <c r="A511" s="30">
        <v>8.8307563588115021E-2</v>
      </c>
      <c r="B511" s="30">
        <v>0</v>
      </c>
      <c r="C511" s="30">
        <v>15.82</v>
      </c>
      <c r="G511" s="18"/>
    </row>
    <row r="512" spans="1:7" x14ac:dyDescent="0.25">
      <c r="A512" s="30">
        <v>0.20831817617072232</v>
      </c>
      <c r="B512" s="30">
        <v>0</v>
      </c>
      <c r="C512" s="30">
        <v>15.82</v>
      </c>
      <c r="G512" s="18"/>
    </row>
    <row r="513" spans="1:7" x14ac:dyDescent="0.25">
      <c r="A513" s="30">
        <v>1.3539282194742315</v>
      </c>
      <c r="B513" s="30">
        <v>0</v>
      </c>
      <c r="C513" s="30">
        <v>15.82</v>
      </c>
      <c r="G513" s="18"/>
    </row>
    <row r="514" spans="1:7" x14ac:dyDescent="0.25">
      <c r="A514" s="30">
        <v>1.3685067967482731</v>
      </c>
      <c r="B514" s="30">
        <v>0</v>
      </c>
      <c r="C514" s="30">
        <v>15.82</v>
      </c>
      <c r="G514" s="18"/>
    </row>
    <row r="515" spans="1:7" x14ac:dyDescent="0.25">
      <c r="A515" s="30">
        <v>2.3632787990673489</v>
      </c>
      <c r="B515" s="30">
        <v>0</v>
      </c>
      <c r="C515" s="30">
        <v>15.82</v>
      </c>
      <c r="G515" s="18"/>
    </row>
    <row r="516" spans="1:7" x14ac:dyDescent="0.25">
      <c r="A516" s="30">
        <v>0.52988525375285178</v>
      </c>
      <c r="B516" s="30">
        <v>0</v>
      </c>
      <c r="C516" s="30">
        <v>15.82</v>
      </c>
      <c r="G516" s="18"/>
    </row>
    <row r="517" spans="1:7" x14ac:dyDescent="0.25">
      <c r="A517" s="30">
        <v>0.77427914313981883</v>
      </c>
      <c r="B517" s="30">
        <v>0</v>
      </c>
      <c r="C517" s="30">
        <v>15.82</v>
      </c>
      <c r="G517" s="18"/>
    </row>
    <row r="518" spans="1:7" x14ac:dyDescent="0.25">
      <c r="A518" s="30">
        <v>0.327490979388048</v>
      </c>
      <c r="B518" s="30">
        <v>0</v>
      </c>
      <c r="C518" s="30">
        <v>15.82</v>
      </c>
      <c r="G518" s="18"/>
    </row>
    <row r="519" spans="1:7" x14ac:dyDescent="0.25">
      <c r="A519" s="30">
        <v>0.97664547966662629</v>
      </c>
      <c r="B519" s="30">
        <v>0</v>
      </c>
      <c r="C519" s="30">
        <v>15.82</v>
      </c>
      <c r="G519" s="18"/>
    </row>
    <row r="520" spans="1:7" x14ac:dyDescent="0.25">
      <c r="A520" s="30">
        <v>0.10816810618808803</v>
      </c>
      <c r="B520" s="30">
        <v>0</v>
      </c>
      <c r="C520" s="30">
        <v>15.82</v>
      </c>
      <c r="G520" s="18"/>
    </row>
    <row r="521" spans="1:7" x14ac:dyDescent="0.25">
      <c r="A521" s="30">
        <v>1.4349161479585626</v>
      </c>
      <c r="B521" s="30">
        <v>0</v>
      </c>
      <c r="C521" s="30">
        <v>15.82</v>
      </c>
      <c r="G521" s="18"/>
    </row>
    <row r="522" spans="1:7" x14ac:dyDescent="0.25">
      <c r="A522" s="30">
        <v>1.2307843353477277</v>
      </c>
      <c r="B522" s="30">
        <v>0</v>
      </c>
      <c r="C522" s="30">
        <v>15.82</v>
      </c>
      <c r="G522" s="18"/>
    </row>
    <row r="523" spans="1:7" x14ac:dyDescent="0.25">
      <c r="A523" s="30">
        <v>1.9398663720255152</v>
      </c>
      <c r="B523" s="30">
        <v>0</v>
      </c>
      <c r="C523" s="30">
        <v>15.82</v>
      </c>
      <c r="G523" s="18"/>
    </row>
    <row r="524" spans="1:7" x14ac:dyDescent="0.25">
      <c r="A524" s="30">
        <v>1.2015446523313755</v>
      </c>
      <c r="B524" s="30">
        <v>0</v>
      </c>
      <c r="C524" s="30">
        <v>15.82</v>
      </c>
      <c r="G524" s="18"/>
    </row>
    <row r="525" spans="1:7" x14ac:dyDescent="0.25">
      <c r="A525" s="30">
        <v>0.48938840421912067</v>
      </c>
      <c r="B525" s="30">
        <v>0</v>
      </c>
      <c r="C525" s="30">
        <v>15.82</v>
      </c>
      <c r="G525" s="18"/>
    </row>
    <row r="526" spans="1:7" x14ac:dyDescent="0.25">
      <c r="A526" s="30">
        <v>1.3485882419291801</v>
      </c>
      <c r="B526" s="30">
        <v>0</v>
      </c>
      <c r="C526" s="30">
        <v>29.119999999999997</v>
      </c>
      <c r="G526" s="18"/>
    </row>
    <row r="527" spans="1:7" x14ac:dyDescent="0.25">
      <c r="A527" s="30">
        <v>0.7849297670487646</v>
      </c>
      <c r="B527" s="30">
        <v>0</v>
      </c>
      <c r="C527" s="30">
        <v>29.119999999999997</v>
      </c>
      <c r="G527" s="18"/>
    </row>
    <row r="528" spans="1:7" x14ac:dyDescent="0.25">
      <c r="A528" s="30">
        <v>6.8633084711342079E-2</v>
      </c>
      <c r="B528" s="30">
        <v>0</v>
      </c>
      <c r="C528" s="30">
        <v>29.119999999999997</v>
      </c>
      <c r="G528" s="18"/>
    </row>
    <row r="529" spans="1:7" x14ac:dyDescent="0.25">
      <c r="A529" s="30">
        <v>1.3503466101863377</v>
      </c>
      <c r="B529" s="30">
        <v>0</v>
      </c>
      <c r="C529" s="30">
        <v>29.119999999999997</v>
      </c>
      <c r="G529" s="18"/>
    </row>
    <row r="530" spans="1:7" x14ac:dyDescent="0.25">
      <c r="A530" s="30">
        <v>0.1476753970854239</v>
      </c>
      <c r="B530" s="30">
        <v>0</v>
      </c>
      <c r="C530" s="30">
        <v>29.119999999999997</v>
      </c>
      <c r="G530" s="18"/>
    </row>
    <row r="531" spans="1:7" x14ac:dyDescent="0.25">
      <c r="A531" s="30">
        <v>2.3871289996363751</v>
      </c>
      <c r="B531" s="30">
        <v>0</v>
      </c>
      <c r="C531" s="30">
        <v>29.119999999999997</v>
      </c>
      <c r="G531" s="18"/>
    </row>
    <row r="532" spans="1:7" x14ac:dyDescent="0.25">
      <c r="A532" s="30">
        <v>0.76442081547533347</v>
      </c>
      <c r="B532" s="30">
        <v>0</v>
      </c>
      <c r="C532" s="30">
        <v>29.119999999999997</v>
      </c>
      <c r="G532" s="18"/>
    </row>
    <row r="533" spans="1:7" x14ac:dyDescent="0.25">
      <c r="A533" s="30">
        <v>1.8212970550450809</v>
      </c>
      <c r="B533" s="30">
        <v>0</v>
      </c>
      <c r="C533" s="30">
        <v>29.119999999999997</v>
      </c>
      <c r="G533" s="18"/>
    </row>
    <row r="534" spans="1:7" x14ac:dyDescent="0.25">
      <c r="A534" s="30">
        <v>0.55706135122680345</v>
      </c>
      <c r="B534" s="30">
        <v>0</v>
      </c>
      <c r="C534" s="30">
        <v>29.119999999999997</v>
      </c>
      <c r="G534" s="18"/>
    </row>
    <row r="535" spans="1:7" x14ac:dyDescent="0.25">
      <c r="A535" s="30">
        <v>1.622747711434902</v>
      </c>
      <c r="B535" s="30">
        <v>0</v>
      </c>
      <c r="C535" s="30">
        <v>29.119999999999997</v>
      </c>
      <c r="G535" s="18"/>
    </row>
    <row r="536" spans="1:7" x14ac:dyDescent="0.25">
      <c r="A536" s="30">
        <v>0.10869555868588868</v>
      </c>
      <c r="B536" s="30">
        <v>0</v>
      </c>
      <c r="C536" s="30">
        <v>29.119999999999997</v>
      </c>
      <c r="G536" s="18"/>
    </row>
    <row r="537" spans="1:7" x14ac:dyDescent="0.25">
      <c r="A537" s="30">
        <v>2.0114410921472219</v>
      </c>
      <c r="B537" s="30">
        <v>0</v>
      </c>
      <c r="C537" s="30">
        <v>29.119999999999997</v>
      </c>
      <c r="G537" s="18"/>
    </row>
    <row r="538" spans="1:7" x14ac:dyDescent="0.25">
      <c r="A538" s="30">
        <v>1.0254133837027948</v>
      </c>
      <c r="B538" s="30">
        <v>0</v>
      </c>
      <c r="C538" s="30">
        <v>29.119999999999997</v>
      </c>
      <c r="G538" s="18"/>
    </row>
    <row r="539" spans="1:7" x14ac:dyDescent="0.25">
      <c r="A539" s="30">
        <v>0.80795496250901488</v>
      </c>
      <c r="B539" s="30">
        <v>0</v>
      </c>
      <c r="C539" s="30">
        <v>29.119999999999997</v>
      </c>
      <c r="G539" s="18"/>
    </row>
    <row r="540" spans="1:7" x14ac:dyDescent="0.25">
      <c r="A540" s="30">
        <v>0.579660810404661</v>
      </c>
      <c r="B540" s="30">
        <v>0</v>
      </c>
      <c r="C540" s="30">
        <v>29.119999999999997</v>
      </c>
      <c r="G540" s="18"/>
    </row>
    <row r="541" spans="1:7" x14ac:dyDescent="0.25">
      <c r="A541" s="30">
        <v>0.15959449044836616</v>
      </c>
      <c r="B541" s="30">
        <v>0</v>
      </c>
      <c r="C541" s="30">
        <v>29.119999999999997</v>
      </c>
      <c r="G541" s="18"/>
    </row>
    <row r="542" spans="1:7" x14ac:dyDescent="0.25">
      <c r="A542" s="30">
        <v>0.16988533016364482</v>
      </c>
      <c r="B542" s="30">
        <v>0</v>
      </c>
      <c r="C542" s="30">
        <v>28</v>
      </c>
      <c r="G542" s="18"/>
    </row>
    <row r="543" spans="1:7" x14ac:dyDescent="0.25">
      <c r="A543" s="30">
        <v>1.263883926228577</v>
      </c>
      <c r="B543" s="30">
        <v>0</v>
      </c>
      <c r="C543" s="30">
        <v>28</v>
      </c>
      <c r="G543" s="18"/>
    </row>
    <row r="544" spans="1:7" x14ac:dyDescent="0.25">
      <c r="A544" s="30">
        <v>1.1009334929130612</v>
      </c>
      <c r="B544" s="30">
        <v>0</v>
      </c>
      <c r="C544" s="30">
        <v>28</v>
      </c>
      <c r="G544" s="18"/>
    </row>
    <row r="545" spans="1:7" x14ac:dyDescent="0.25">
      <c r="A545" s="30">
        <v>0.58342434422896949</v>
      </c>
      <c r="B545" s="30">
        <v>0</v>
      </c>
      <c r="C545" s="30">
        <v>28</v>
      </c>
      <c r="G545" s="18"/>
    </row>
    <row r="546" spans="1:7" x14ac:dyDescent="0.25">
      <c r="A546" s="30">
        <v>0.65693734304788354</v>
      </c>
      <c r="B546" s="30">
        <v>0</v>
      </c>
      <c r="C546" s="30">
        <v>28</v>
      </c>
      <c r="G546" s="18"/>
    </row>
    <row r="547" spans="1:7" x14ac:dyDescent="0.25">
      <c r="A547" s="30">
        <v>1.8906787113927606</v>
      </c>
      <c r="B547" s="30">
        <v>0</v>
      </c>
      <c r="C547" s="30">
        <v>28</v>
      </c>
      <c r="G547" s="18"/>
    </row>
    <row r="548" spans="1:7" x14ac:dyDescent="0.25">
      <c r="A548" s="30">
        <v>0.5875009224315767</v>
      </c>
      <c r="B548" s="30">
        <v>0</v>
      </c>
      <c r="C548" s="30">
        <v>28</v>
      </c>
      <c r="G548" s="18"/>
    </row>
    <row r="549" spans="1:7" x14ac:dyDescent="0.25">
      <c r="A549" s="30">
        <v>1.4121443646349756</v>
      </c>
      <c r="B549" s="30">
        <v>0</v>
      </c>
      <c r="C549" s="30">
        <v>28</v>
      </c>
      <c r="G549" s="18"/>
    </row>
    <row r="550" spans="1:7" x14ac:dyDescent="0.25">
      <c r="A550" s="30">
        <v>0.11068671255522629</v>
      </c>
      <c r="B550" s="30">
        <v>0</v>
      </c>
      <c r="C550" s="30">
        <v>28</v>
      </c>
      <c r="G550" s="18"/>
    </row>
    <row r="551" spans="1:7" x14ac:dyDescent="0.25">
      <c r="A551" s="30">
        <v>1.0364120431015271</v>
      </c>
      <c r="B551" s="30">
        <v>0</v>
      </c>
      <c r="C551" s="30">
        <v>28</v>
      </c>
      <c r="G551" s="18"/>
    </row>
    <row r="552" spans="1:7" x14ac:dyDescent="0.25">
      <c r="A552" s="30">
        <v>1.1007544674120777</v>
      </c>
      <c r="B552" s="30">
        <v>0</v>
      </c>
      <c r="C552" s="30">
        <v>28</v>
      </c>
      <c r="G552" s="18"/>
    </row>
    <row r="553" spans="1:7" x14ac:dyDescent="0.25">
      <c r="A553" s="30">
        <v>0.23081368707959332</v>
      </c>
      <c r="B553" s="30">
        <v>0</v>
      </c>
      <c r="C553" s="30">
        <v>28</v>
      </c>
      <c r="G553" s="18"/>
    </row>
    <row r="554" spans="1:7" x14ac:dyDescent="0.25">
      <c r="A554" s="30">
        <v>0.67900584649420015</v>
      </c>
      <c r="B554" s="30">
        <v>0</v>
      </c>
      <c r="C554" s="30">
        <v>28</v>
      </c>
      <c r="G554" s="18"/>
    </row>
    <row r="555" spans="1:7" x14ac:dyDescent="0.25">
      <c r="A555" s="30">
        <v>0.90528930807370589</v>
      </c>
      <c r="B555" s="30">
        <v>0</v>
      </c>
      <c r="C555" s="30">
        <v>28</v>
      </c>
      <c r="G555" s="18"/>
    </row>
    <row r="556" spans="1:7" x14ac:dyDescent="0.25">
      <c r="A556" s="30">
        <v>1.1511024407601713</v>
      </c>
      <c r="B556" s="30">
        <v>0</v>
      </c>
      <c r="C556" s="30">
        <v>28</v>
      </c>
      <c r="G556" s="18"/>
    </row>
    <row r="557" spans="1:7" x14ac:dyDescent="0.25">
      <c r="A557" s="30">
        <v>0.42575609755693583</v>
      </c>
      <c r="B557" s="30">
        <v>0</v>
      </c>
      <c r="C557" s="30">
        <v>28</v>
      </c>
      <c r="G557" s="18"/>
    </row>
    <row r="558" spans="1:7" x14ac:dyDescent="0.25">
      <c r="A558" s="30">
        <v>1.1304467172462844</v>
      </c>
      <c r="B558" s="30">
        <v>0</v>
      </c>
      <c r="C558" s="30">
        <v>12.879999999999999</v>
      </c>
      <c r="G558" s="18"/>
    </row>
    <row r="559" spans="1:7" x14ac:dyDescent="0.25">
      <c r="A559" s="30">
        <v>9.9389100438775732E-2</v>
      </c>
      <c r="B559" s="30">
        <v>0</v>
      </c>
      <c r="C559" s="30">
        <v>12.879999999999999</v>
      </c>
      <c r="G559" s="18"/>
    </row>
    <row r="560" spans="1:7" x14ac:dyDescent="0.25">
      <c r="A560" s="30">
        <v>0.7317878555104923</v>
      </c>
      <c r="B560" s="30">
        <v>0</v>
      </c>
      <c r="C560" s="30">
        <v>12.879999999999999</v>
      </c>
      <c r="G560" s="18"/>
    </row>
    <row r="561" spans="1:7" x14ac:dyDescent="0.25">
      <c r="A561" s="30">
        <v>0.82113632829614736</v>
      </c>
      <c r="B561" s="30">
        <v>0</v>
      </c>
      <c r="C561" s="30">
        <v>12.879999999999999</v>
      </c>
      <c r="G561" s="18"/>
    </row>
    <row r="562" spans="1:7" x14ac:dyDescent="0.25">
      <c r="A562" s="30">
        <v>1.3637378246476939</v>
      </c>
      <c r="B562" s="30">
        <v>0</v>
      </c>
      <c r="C562" s="30">
        <v>12.879999999999999</v>
      </c>
      <c r="G562" s="18"/>
    </row>
    <row r="563" spans="1:7" x14ac:dyDescent="0.25">
      <c r="A563" s="30">
        <v>1.0591455647062822</v>
      </c>
      <c r="B563" s="30">
        <v>0</v>
      </c>
      <c r="C563" s="30">
        <v>12.879999999999999</v>
      </c>
      <c r="G563" s="18"/>
    </row>
    <row r="564" spans="1:7" x14ac:dyDescent="0.25">
      <c r="A564" s="30">
        <v>1.3345858336970609</v>
      </c>
      <c r="B564" s="30">
        <v>0</v>
      </c>
      <c r="C564" s="30">
        <v>12.879999999999999</v>
      </c>
      <c r="G564" s="18"/>
    </row>
    <row r="565" spans="1:7" x14ac:dyDescent="0.25">
      <c r="A565" s="30">
        <v>0.42457007912580347</v>
      </c>
      <c r="B565" s="30">
        <v>0</v>
      </c>
      <c r="C565" s="30">
        <v>12.879999999999999</v>
      </c>
      <c r="G565" s="18"/>
    </row>
    <row r="566" spans="1:7" x14ac:dyDescent="0.25">
      <c r="A566" s="30">
        <v>1.064183513522559</v>
      </c>
      <c r="B566" s="30">
        <v>0</v>
      </c>
      <c r="C566" s="30">
        <v>12.879999999999999</v>
      </c>
      <c r="G566" s="18"/>
    </row>
    <row r="567" spans="1:7" x14ac:dyDescent="0.25">
      <c r="A567" s="30">
        <v>1.4933801228210133</v>
      </c>
      <c r="B567" s="30">
        <v>0</v>
      </c>
      <c r="C567" s="30">
        <v>12.879999999999999</v>
      </c>
      <c r="G567" s="18"/>
    </row>
    <row r="568" spans="1:7" x14ac:dyDescent="0.25">
      <c r="A568" s="30">
        <v>0.26622033883710994</v>
      </c>
      <c r="B568" s="30">
        <v>0</v>
      </c>
      <c r="C568" s="30">
        <v>12.879999999999999</v>
      </c>
      <c r="G568" s="18"/>
    </row>
    <row r="569" spans="1:7" x14ac:dyDescent="0.25">
      <c r="A569" s="30">
        <v>1.8651609462712901</v>
      </c>
      <c r="B569" s="30">
        <v>0</v>
      </c>
      <c r="C569" s="30">
        <v>12.879999999999999</v>
      </c>
      <c r="G569" s="18"/>
    </row>
    <row r="570" spans="1:7" x14ac:dyDescent="0.25">
      <c r="A570" s="30">
        <v>0.18168467931639046</v>
      </c>
      <c r="B570" s="30">
        <v>0</v>
      </c>
      <c r="C570" s="30">
        <v>12.879999999999999</v>
      </c>
      <c r="G570" s="18"/>
    </row>
    <row r="571" spans="1:7" x14ac:dyDescent="0.25">
      <c r="A571" s="30">
        <v>1.771400147617836</v>
      </c>
      <c r="B571" s="30">
        <v>0</v>
      </c>
      <c r="C571" s="30">
        <v>12.879999999999999</v>
      </c>
      <c r="G571" s="18"/>
    </row>
    <row r="572" spans="1:7" x14ac:dyDescent="0.25">
      <c r="A572" s="30">
        <v>0.34750609854843395</v>
      </c>
      <c r="B572" s="30">
        <v>0</v>
      </c>
      <c r="C572" s="30">
        <v>12.879999999999999</v>
      </c>
      <c r="G572" s="18"/>
    </row>
    <row r="573" spans="1:7" x14ac:dyDescent="0.25">
      <c r="A573" s="30">
        <v>1.2042067437199699</v>
      </c>
      <c r="B573" s="30">
        <v>0</v>
      </c>
      <c r="C573" s="30">
        <v>10.5</v>
      </c>
      <c r="G573" s="18"/>
    </row>
    <row r="574" spans="1:7" x14ac:dyDescent="0.25">
      <c r="A574" s="30">
        <v>1.1533427364561017</v>
      </c>
      <c r="B574" s="30">
        <v>0</v>
      </c>
      <c r="C574" s="30">
        <v>10.5</v>
      </c>
      <c r="G574" s="18"/>
    </row>
    <row r="575" spans="1:7" x14ac:dyDescent="0.25">
      <c r="A575" s="30">
        <v>1.3709993134492269</v>
      </c>
      <c r="B575" s="30">
        <v>0</v>
      </c>
      <c r="C575" s="30">
        <v>10.5</v>
      </c>
      <c r="G575" s="18"/>
    </row>
    <row r="576" spans="1:7" x14ac:dyDescent="0.25">
      <c r="A576" s="30">
        <v>6.6741609818936801E-2</v>
      </c>
      <c r="B576" s="30">
        <v>0</v>
      </c>
      <c r="C576" s="30">
        <v>10.5</v>
      </c>
      <c r="G576" s="18"/>
    </row>
    <row r="577" spans="1:7" x14ac:dyDescent="0.25">
      <c r="A577" s="30">
        <v>2.1730347803386953</v>
      </c>
      <c r="B577" s="30">
        <v>0</v>
      </c>
      <c r="C577" s="30">
        <v>10.5</v>
      </c>
      <c r="G577" s="18"/>
    </row>
    <row r="578" spans="1:7" x14ac:dyDescent="0.25">
      <c r="A578" s="30">
        <v>0.78968033940225157</v>
      </c>
      <c r="B578" s="30">
        <v>0</v>
      </c>
      <c r="C578" s="30">
        <v>10.5</v>
      </c>
      <c r="G578" s="18"/>
    </row>
    <row r="579" spans="1:7" x14ac:dyDescent="0.25">
      <c r="A579" s="30">
        <v>1.4656645521621177</v>
      </c>
      <c r="B579" s="30">
        <v>0</v>
      </c>
      <c r="C579" s="30">
        <v>10.5</v>
      </c>
      <c r="G579" s="18"/>
    </row>
    <row r="580" spans="1:7" x14ac:dyDescent="0.25">
      <c r="A580" s="30">
        <v>1.079917357204641</v>
      </c>
      <c r="B580" s="30">
        <v>0</v>
      </c>
      <c r="C580" s="30">
        <v>10.5</v>
      </c>
      <c r="G580" s="18"/>
    </row>
    <row r="581" spans="1:7" x14ac:dyDescent="0.25">
      <c r="A581" s="30">
        <v>2.0698941990038846</v>
      </c>
      <c r="B581" s="30">
        <v>0</v>
      </c>
      <c r="C581" s="30">
        <v>10.5</v>
      </c>
      <c r="G581" s="18"/>
    </row>
    <row r="582" spans="1:7" x14ac:dyDescent="0.25">
      <c r="A582" s="30">
        <v>0.94666825890533413</v>
      </c>
      <c r="B582" s="30">
        <v>0</v>
      </c>
      <c r="C582" s="30">
        <v>10.5</v>
      </c>
      <c r="G582" s="18"/>
    </row>
    <row r="583" spans="1:7" x14ac:dyDescent="0.25">
      <c r="A583" s="30">
        <v>1.188863379241889E-2</v>
      </c>
      <c r="B583" s="30">
        <v>0</v>
      </c>
      <c r="C583" s="30">
        <v>10.5</v>
      </c>
      <c r="G583" s="18"/>
    </row>
    <row r="584" spans="1:7" x14ac:dyDescent="0.25">
      <c r="A584" s="30">
        <v>0.56936648290592873</v>
      </c>
      <c r="B584" s="30">
        <v>0</v>
      </c>
      <c r="C584" s="30">
        <v>10.5</v>
      </c>
      <c r="G584" s="18"/>
    </row>
    <row r="585" spans="1:7" x14ac:dyDescent="0.25">
      <c r="A585" s="30">
        <v>2.1833742354160135</v>
      </c>
      <c r="B585" s="30">
        <v>0</v>
      </c>
      <c r="C585" s="30">
        <v>10.5</v>
      </c>
      <c r="G585" s="18"/>
    </row>
    <row r="586" spans="1:7" x14ac:dyDescent="0.25">
      <c r="A586" s="30">
        <v>1.1971553087511049</v>
      </c>
      <c r="B586" s="30">
        <v>0</v>
      </c>
      <c r="C586" s="30">
        <v>10.5</v>
      </c>
      <c r="G586" s="18"/>
    </row>
    <row r="587" spans="1:7" x14ac:dyDescent="0.25">
      <c r="A587" s="30">
        <v>0.81961246560943513</v>
      </c>
      <c r="B587" s="30">
        <v>0</v>
      </c>
      <c r="C587" s="30">
        <v>10.5</v>
      </c>
      <c r="G587" s="18"/>
    </row>
    <row r="588" spans="1:7" x14ac:dyDescent="0.25">
      <c r="A588" s="30">
        <v>0.371667635500809</v>
      </c>
      <c r="B588" s="30">
        <v>0</v>
      </c>
      <c r="C588" s="30">
        <v>10.5</v>
      </c>
      <c r="G588" s="18"/>
    </row>
    <row r="589" spans="1:7" x14ac:dyDescent="0.25">
      <c r="A589" s="30">
        <v>1.5582174137003786</v>
      </c>
      <c r="B589" s="30">
        <v>0</v>
      </c>
      <c r="C589" s="30">
        <v>10.5</v>
      </c>
      <c r="G589" s="18"/>
    </row>
    <row r="590" spans="1:7" x14ac:dyDescent="0.25">
      <c r="A590" s="30">
        <v>0.5435506330236658</v>
      </c>
      <c r="B590" s="30">
        <v>0</v>
      </c>
      <c r="C590" s="30">
        <v>20.02</v>
      </c>
      <c r="G590" s="18"/>
    </row>
    <row r="591" spans="1:7" x14ac:dyDescent="0.25">
      <c r="A591" s="30">
        <v>2.3471541004628032</v>
      </c>
      <c r="B591" s="30">
        <v>0</v>
      </c>
      <c r="C591" s="30">
        <v>20.02</v>
      </c>
      <c r="G591" s="18"/>
    </row>
    <row r="592" spans="1:7" x14ac:dyDescent="0.25">
      <c r="A592" s="30">
        <v>0.67481398898813549</v>
      </c>
      <c r="B592" s="30">
        <v>0</v>
      </c>
      <c r="C592" s="30">
        <v>20.02</v>
      </c>
      <c r="G592" s="18"/>
    </row>
    <row r="593" spans="1:7" x14ac:dyDescent="0.25">
      <c r="A593" s="30">
        <v>1.7225763594097099</v>
      </c>
      <c r="B593" s="30">
        <v>0</v>
      </c>
      <c r="C593" s="30">
        <v>20.02</v>
      </c>
      <c r="G593" s="18"/>
    </row>
    <row r="594" spans="1:7" x14ac:dyDescent="0.25">
      <c r="A594" s="30">
        <v>0.72286919024779961</v>
      </c>
      <c r="B594" s="30">
        <v>0</v>
      </c>
      <c r="C594" s="30">
        <v>20.02</v>
      </c>
      <c r="G594" s="18"/>
    </row>
    <row r="595" spans="1:7" x14ac:dyDescent="0.25">
      <c r="A595" s="30">
        <v>2.2955031502668866</v>
      </c>
      <c r="B595" s="30">
        <v>0</v>
      </c>
      <c r="C595" s="30">
        <v>20.02</v>
      </c>
      <c r="G595" s="18"/>
    </row>
    <row r="596" spans="1:7" x14ac:dyDescent="0.25">
      <c r="A596" s="30">
        <v>0.10217836337232766</v>
      </c>
      <c r="B596" s="30">
        <v>0</v>
      </c>
      <c r="C596" s="30">
        <v>20.02</v>
      </c>
      <c r="G596" s="18"/>
    </row>
    <row r="597" spans="1:7" x14ac:dyDescent="0.25">
      <c r="A597" s="30">
        <v>1.9440020894787036</v>
      </c>
      <c r="B597" s="30">
        <v>0</v>
      </c>
      <c r="C597" s="30">
        <v>20.02</v>
      </c>
      <c r="G597" s="18"/>
    </row>
    <row r="598" spans="1:7" x14ac:dyDescent="0.25">
      <c r="A598" s="30">
        <v>0.74205238508715909</v>
      </c>
      <c r="B598" s="30">
        <v>0</v>
      </c>
      <c r="C598" s="30">
        <v>20.02</v>
      </c>
      <c r="G598" s="18"/>
    </row>
    <row r="599" spans="1:7" x14ac:dyDescent="0.25">
      <c r="A599" s="30">
        <v>2.0200621642271108</v>
      </c>
      <c r="B599" s="30">
        <v>0</v>
      </c>
      <c r="C599" s="30">
        <v>20.02</v>
      </c>
      <c r="G599" s="18"/>
    </row>
    <row r="600" spans="1:7" x14ac:dyDescent="0.25">
      <c r="A600" s="30">
        <v>0.98834062934981293</v>
      </c>
      <c r="B600" s="30">
        <v>0</v>
      </c>
      <c r="C600" s="30">
        <v>20.02</v>
      </c>
      <c r="G600" s="18"/>
    </row>
    <row r="601" spans="1:7" x14ac:dyDescent="0.25">
      <c r="A601" s="30">
        <v>2.2378488473909157</v>
      </c>
      <c r="B601" s="30">
        <v>0</v>
      </c>
      <c r="C601" s="30">
        <v>20.02</v>
      </c>
      <c r="G601" s="18"/>
    </row>
    <row r="602" spans="1:7" x14ac:dyDescent="0.25">
      <c r="A602" s="30">
        <v>0.67361770335341764</v>
      </c>
      <c r="B602" s="30">
        <v>0</v>
      </c>
      <c r="C602" s="30">
        <v>20.02</v>
      </c>
      <c r="G602" s="18"/>
    </row>
    <row r="603" spans="1:7" x14ac:dyDescent="0.25">
      <c r="A603" s="30">
        <v>0.27049082934944152</v>
      </c>
      <c r="B603" s="30">
        <v>0</v>
      </c>
      <c r="C603" s="30">
        <v>20.02</v>
      </c>
      <c r="G603" s="18"/>
    </row>
    <row r="604" spans="1:7" x14ac:dyDescent="0.25">
      <c r="A604" s="30">
        <v>0.33884139222279802</v>
      </c>
      <c r="B604" s="30">
        <v>0</v>
      </c>
      <c r="C604" s="30">
        <v>20.02</v>
      </c>
      <c r="G604" s="18"/>
    </row>
    <row r="605" spans="1:7" x14ac:dyDescent="0.25">
      <c r="A605" s="30">
        <v>1.8832949103884453</v>
      </c>
      <c r="B605" s="30">
        <v>0</v>
      </c>
      <c r="C605" s="30">
        <v>20.02</v>
      </c>
      <c r="G605" s="18"/>
    </row>
    <row r="606" spans="1:7" x14ac:dyDescent="0.25">
      <c r="A606" s="30">
        <v>1.0602981854042914</v>
      </c>
      <c r="B606" s="30">
        <v>0</v>
      </c>
      <c r="C606" s="30">
        <v>15.12</v>
      </c>
      <c r="G606" s="18"/>
    </row>
    <row r="607" spans="1:7" x14ac:dyDescent="0.25">
      <c r="A607" s="30">
        <v>1.957361148451082</v>
      </c>
      <c r="B607" s="30">
        <v>0</v>
      </c>
      <c r="C607" s="30">
        <v>15.12</v>
      </c>
      <c r="G607" s="18"/>
    </row>
    <row r="608" spans="1:7" x14ac:dyDescent="0.25">
      <c r="A608" s="30">
        <v>0.91452397658703544</v>
      </c>
      <c r="B608" s="30">
        <v>0</v>
      </c>
      <c r="C608" s="30">
        <v>15.12</v>
      </c>
      <c r="G608" s="18"/>
    </row>
    <row r="609" spans="1:7" x14ac:dyDescent="0.25">
      <c r="A609" s="30">
        <v>1.949596940716533</v>
      </c>
      <c r="B609" s="30">
        <v>0</v>
      </c>
      <c r="C609" s="30">
        <v>15.12</v>
      </c>
      <c r="G609" s="18"/>
    </row>
    <row r="610" spans="1:7" x14ac:dyDescent="0.25">
      <c r="A610" s="30">
        <v>0.3152061411959341</v>
      </c>
      <c r="B610" s="30">
        <v>0</v>
      </c>
      <c r="C610" s="30">
        <v>15.12</v>
      </c>
      <c r="G610" s="18"/>
    </row>
    <row r="611" spans="1:7" x14ac:dyDescent="0.25">
      <c r="A611" s="30">
        <v>1.5195705256829126</v>
      </c>
      <c r="B611" s="30">
        <v>0</v>
      </c>
      <c r="C611" s="30">
        <v>15.12</v>
      </c>
      <c r="G611" s="18"/>
    </row>
    <row r="612" spans="1:7" x14ac:dyDescent="0.25">
      <c r="A612" s="30">
        <v>0.23637303079394661</v>
      </c>
      <c r="B612" s="30">
        <v>0</v>
      </c>
      <c r="C612" s="30">
        <v>15.12</v>
      </c>
      <c r="G612" s="18"/>
    </row>
    <row r="613" spans="1:7" x14ac:dyDescent="0.25">
      <c r="A613" s="30">
        <v>2.2496940384338444</v>
      </c>
      <c r="B613" s="30">
        <v>0</v>
      </c>
      <c r="C613" s="30">
        <v>15.12</v>
      </c>
      <c r="G613" s="18"/>
    </row>
    <row r="614" spans="1:7" x14ac:dyDescent="0.25">
      <c r="A614" s="30">
        <v>0.44635616897969888</v>
      </c>
      <c r="B614" s="30">
        <v>0</v>
      </c>
      <c r="C614" s="30">
        <v>15.12</v>
      </c>
      <c r="G614" s="18"/>
    </row>
    <row r="615" spans="1:7" x14ac:dyDescent="0.25">
      <c r="A615" s="30">
        <v>0.20648188268456388</v>
      </c>
      <c r="B615" s="30">
        <v>0</v>
      </c>
      <c r="C615" s="30">
        <v>15.12</v>
      </c>
      <c r="G615" s="18"/>
    </row>
    <row r="616" spans="1:7" x14ac:dyDescent="0.25">
      <c r="A616" s="30">
        <v>0.23454086401754934</v>
      </c>
      <c r="B616" s="30">
        <v>0</v>
      </c>
      <c r="C616" s="30">
        <v>15.12</v>
      </c>
      <c r="G616" s="18"/>
    </row>
    <row r="617" spans="1:7" x14ac:dyDescent="0.25">
      <c r="A617" s="30">
        <v>1.6743340813007002</v>
      </c>
      <c r="B617" s="30">
        <v>0</v>
      </c>
      <c r="C617" s="30">
        <v>15.12</v>
      </c>
      <c r="G617" s="18"/>
    </row>
    <row r="618" spans="1:7" x14ac:dyDescent="0.25">
      <c r="A618" s="30">
        <v>0.63392645679556914</v>
      </c>
      <c r="B618" s="30">
        <v>0</v>
      </c>
      <c r="C618" s="30">
        <v>15.12</v>
      </c>
      <c r="G618" s="18"/>
    </row>
    <row r="619" spans="1:7" x14ac:dyDescent="0.25">
      <c r="A619" s="30">
        <v>8.4543760274557483E-2</v>
      </c>
      <c r="B619" s="30">
        <v>0</v>
      </c>
      <c r="C619" s="30">
        <v>15.12</v>
      </c>
      <c r="G619" s="18"/>
    </row>
    <row r="620" spans="1:7" x14ac:dyDescent="0.25">
      <c r="A620" s="30">
        <v>0.59007466591003921</v>
      </c>
      <c r="B620" s="30">
        <v>0</v>
      </c>
      <c r="C620" s="30">
        <v>15.12</v>
      </c>
      <c r="G620" s="18"/>
    </row>
    <row r="621" spans="1:7" x14ac:dyDescent="0.25">
      <c r="A621" s="30">
        <v>0.23529531273351684</v>
      </c>
      <c r="B621" s="30">
        <v>0</v>
      </c>
      <c r="C621" s="30">
        <v>15.12</v>
      </c>
      <c r="G621" s="18"/>
    </row>
    <row r="622" spans="1:7" x14ac:dyDescent="0.25">
      <c r="A622" s="30">
        <v>0.47760715478781801</v>
      </c>
      <c r="B622" s="30">
        <v>0</v>
      </c>
      <c r="C622" s="30">
        <v>17.079999999999998</v>
      </c>
      <c r="G622" s="18"/>
    </row>
    <row r="623" spans="1:7" x14ac:dyDescent="0.25">
      <c r="A623" s="30">
        <v>0.52496081725823251</v>
      </c>
      <c r="B623" s="30">
        <v>0</v>
      </c>
      <c r="C623" s="30">
        <v>17.079999999999998</v>
      </c>
      <c r="G623" s="18"/>
    </row>
    <row r="624" spans="1:7" x14ac:dyDescent="0.25">
      <c r="A624" s="30">
        <v>1.1581282288782559</v>
      </c>
      <c r="B624" s="30">
        <v>0</v>
      </c>
      <c r="C624" s="30">
        <v>17.079999999999998</v>
      </c>
      <c r="G624" s="18"/>
    </row>
    <row r="625" spans="1:7" x14ac:dyDescent="0.25">
      <c r="A625" s="30">
        <v>0.68277916760992508</v>
      </c>
      <c r="B625" s="30">
        <v>0</v>
      </c>
      <c r="C625" s="30">
        <v>17.079999999999998</v>
      </c>
      <c r="G625" s="18"/>
    </row>
    <row r="626" spans="1:7" x14ac:dyDescent="0.25">
      <c r="A626" s="30">
        <v>1.2359331155829423</v>
      </c>
      <c r="B626" s="30">
        <v>0</v>
      </c>
      <c r="C626" s="30">
        <v>17.079999999999998</v>
      </c>
      <c r="G626" s="18"/>
    </row>
    <row r="627" spans="1:7" x14ac:dyDescent="0.25">
      <c r="A627" s="30">
        <v>2.3615100359459609</v>
      </c>
      <c r="B627" s="30">
        <v>0</v>
      </c>
      <c r="C627" s="30">
        <v>17.079999999999998</v>
      </c>
      <c r="G627" s="18"/>
    </row>
    <row r="628" spans="1:7" x14ac:dyDescent="0.25">
      <c r="A628" s="30">
        <v>0.24985994036953302</v>
      </c>
      <c r="B628" s="30">
        <v>0</v>
      </c>
      <c r="C628" s="30">
        <v>17.079999999999998</v>
      </c>
      <c r="G628" s="18"/>
    </row>
    <row r="629" spans="1:7" x14ac:dyDescent="0.25">
      <c r="A629" s="30">
        <v>0.12064583308573287</v>
      </c>
      <c r="B629" s="30">
        <v>0</v>
      </c>
      <c r="C629" s="30">
        <v>17.079999999999998</v>
      </c>
      <c r="G629" s="18"/>
    </row>
    <row r="630" spans="1:7" x14ac:dyDescent="0.25">
      <c r="A630" s="30">
        <v>0.68783914096029819</v>
      </c>
      <c r="B630" s="30">
        <v>0</v>
      </c>
      <c r="C630" s="30">
        <v>17.079999999999998</v>
      </c>
      <c r="G630" s="18"/>
    </row>
    <row r="631" spans="1:7" x14ac:dyDescent="0.25">
      <c r="A631" s="30">
        <v>0.49483795156923616</v>
      </c>
      <c r="B631" s="30">
        <v>0</v>
      </c>
      <c r="C631" s="30">
        <v>17.079999999999998</v>
      </c>
      <c r="G631" s="18"/>
    </row>
    <row r="632" spans="1:7" x14ac:dyDescent="0.25">
      <c r="A632" s="30">
        <v>0.20202489991230355</v>
      </c>
      <c r="B632" s="30">
        <v>0</v>
      </c>
      <c r="C632" s="30">
        <v>17.079999999999998</v>
      </c>
      <c r="G632" s="18"/>
    </row>
    <row r="633" spans="1:7" x14ac:dyDescent="0.25">
      <c r="A633" s="30">
        <v>0.44996102888719597</v>
      </c>
      <c r="B633" s="30">
        <v>0</v>
      </c>
      <c r="C633" s="30">
        <v>17.079999999999998</v>
      </c>
      <c r="G633" s="18"/>
    </row>
    <row r="634" spans="1:7" x14ac:dyDescent="0.25">
      <c r="A634" s="30">
        <v>1.074792013540129</v>
      </c>
      <c r="B634" s="30">
        <v>0</v>
      </c>
      <c r="C634" s="30">
        <v>17.079999999999998</v>
      </c>
      <c r="G634" s="18"/>
    </row>
    <row r="635" spans="1:7" x14ac:dyDescent="0.25">
      <c r="A635" s="30">
        <v>1.3181959877389566</v>
      </c>
      <c r="B635" s="30">
        <v>0</v>
      </c>
      <c r="C635" s="30">
        <v>17.079999999999998</v>
      </c>
      <c r="G635" s="18"/>
    </row>
    <row r="636" spans="1:7" x14ac:dyDescent="0.25">
      <c r="A636" s="30">
        <v>0.55502285515951966</v>
      </c>
      <c r="B636" s="30">
        <v>0</v>
      </c>
      <c r="C636" s="30">
        <v>17.079999999999998</v>
      </c>
      <c r="G636" s="18"/>
    </row>
    <row r="637" spans="1:7" x14ac:dyDescent="0.25">
      <c r="A637" s="30">
        <v>1.181566183417043</v>
      </c>
      <c r="B637" s="30">
        <v>0</v>
      </c>
      <c r="C637" s="30">
        <v>17.079999999999998</v>
      </c>
      <c r="G637" s="18"/>
    </row>
    <row r="638" spans="1:7" x14ac:dyDescent="0.25">
      <c r="A638" s="30">
        <v>0.27318990408807142</v>
      </c>
      <c r="B638" s="30">
        <v>0</v>
      </c>
      <c r="C638" s="30">
        <v>15.26</v>
      </c>
      <c r="G638" s="18"/>
    </row>
    <row r="639" spans="1:7" x14ac:dyDescent="0.25">
      <c r="A639" s="30">
        <v>0.93607569930993595</v>
      </c>
      <c r="B639" s="30">
        <v>0</v>
      </c>
      <c r="C639" s="30">
        <v>15.26</v>
      </c>
      <c r="G639" s="18"/>
    </row>
    <row r="640" spans="1:7" x14ac:dyDescent="0.25">
      <c r="A640" s="30">
        <v>0.89618363034089155</v>
      </c>
      <c r="B640" s="30">
        <v>0</v>
      </c>
      <c r="C640" s="30">
        <v>15.26</v>
      </c>
      <c r="G640" s="18"/>
    </row>
    <row r="641" spans="1:7" x14ac:dyDescent="0.25">
      <c r="A641" s="30">
        <v>0.48994773348008164</v>
      </c>
      <c r="B641" s="30">
        <v>0</v>
      </c>
      <c r="C641" s="30">
        <v>15.26</v>
      </c>
      <c r="G641" s="18"/>
    </row>
    <row r="642" spans="1:7" x14ac:dyDescent="0.25">
      <c r="A642" s="30">
        <v>0.43293693083157692</v>
      </c>
      <c r="B642" s="30">
        <v>0</v>
      </c>
      <c r="C642" s="30">
        <v>15.26</v>
      </c>
      <c r="G642" s="18"/>
    </row>
    <row r="643" spans="1:7" x14ac:dyDescent="0.25">
      <c r="A643" s="30">
        <v>2.0586532810329135</v>
      </c>
      <c r="B643" s="30">
        <v>0</v>
      </c>
      <c r="C643" s="30">
        <v>15.26</v>
      </c>
      <c r="G643" s="18"/>
    </row>
    <row r="644" spans="1:7" x14ac:dyDescent="0.25">
      <c r="A644" s="30">
        <v>0.76760896988735139</v>
      </c>
      <c r="B644" s="30">
        <v>0</v>
      </c>
      <c r="C644" s="30">
        <v>15.26</v>
      </c>
      <c r="G644" s="18"/>
    </row>
    <row r="645" spans="1:7" x14ac:dyDescent="0.25">
      <c r="A645" s="30">
        <v>0.70900905477587917</v>
      </c>
      <c r="B645" s="30">
        <v>0</v>
      </c>
      <c r="C645" s="30">
        <v>15.26</v>
      </c>
      <c r="G645" s="18"/>
    </row>
    <row r="646" spans="1:7" x14ac:dyDescent="0.25">
      <c r="A646" s="30">
        <v>0.40484613885928289</v>
      </c>
      <c r="B646" s="30">
        <v>0</v>
      </c>
      <c r="C646" s="30">
        <v>15.26</v>
      </c>
      <c r="G646" s="18"/>
    </row>
    <row r="647" spans="1:7" x14ac:dyDescent="0.25">
      <c r="A647" s="30">
        <v>1.5541069250871569</v>
      </c>
      <c r="B647" s="30">
        <v>0</v>
      </c>
      <c r="C647" s="30">
        <v>15.26</v>
      </c>
      <c r="G647" s="18"/>
    </row>
    <row r="648" spans="1:7" x14ac:dyDescent="0.25">
      <c r="A648" s="30">
        <v>0.9019904457501241</v>
      </c>
      <c r="B648" s="30">
        <v>0</v>
      </c>
      <c r="C648" s="30">
        <v>15.26</v>
      </c>
      <c r="G648" s="18"/>
    </row>
    <row r="649" spans="1:7" x14ac:dyDescent="0.25">
      <c r="A649" s="30">
        <v>0.43977576371513782</v>
      </c>
      <c r="B649" s="30">
        <v>0</v>
      </c>
      <c r="C649" s="30">
        <v>15.26</v>
      </c>
      <c r="G649" s="18"/>
    </row>
    <row r="650" spans="1:7" x14ac:dyDescent="0.25">
      <c r="A650" s="30">
        <v>0.72187351192602545</v>
      </c>
      <c r="B650" s="30">
        <v>0</v>
      </c>
      <c r="C650" s="30">
        <v>15.26</v>
      </c>
      <c r="G650" s="18"/>
    </row>
    <row r="651" spans="1:7" x14ac:dyDescent="0.25">
      <c r="A651" s="30">
        <v>0.26687328886440148</v>
      </c>
      <c r="B651" s="30">
        <v>0</v>
      </c>
      <c r="C651" s="30">
        <v>15.26</v>
      </c>
      <c r="G651" s="18"/>
    </row>
    <row r="652" spans="1:7" x14ac:dyDescent="0.25">
      <c r="A652" s="30">
        <v>0.33588242486668951</v>
      </c>
      <c r="B652" s="30">
        <v>0</v>
      </c>
      <c r="C652" s="30">
        <v>15.26</v>
      </c>
      <c r="G652" s="18"/>
    </row>
    <row r="653" spans="1:7" x14ac:dyDescent="0.25">
      <c r="A653" s="30">
        <v>1.2361439376385577</v>
      </c>
      <c r="B653" s="30">
        <v>0</v>
      </c>
      <c r="C653" s="30">
        <v>15.26</v>
      </c>
      <c r="G653" s="18"/>
    </row>
    <row r="654" spans="1:7" x14ac:dyDescent="0.25">
      <c r="A654" s="30">
        <v>0.24647996195075367</v>
      </c>
      <c r="B654" s="30">
        <v>0</v>
      </c>
      <c r="C654" s="30">
        <v>15.26</v>
      </c>
      <c r="G654" s="18"/>
    </row>
    <row r="655" spans="1:7" x14ac:dyDescent="0.25">
      <c r="A655" s="30">
        <v>1.7799874742153345</v>
      </c>
      <c r="B655" s="30">
        <v>0</v>
      </c>
      <c r="C655" s="30">
        <v>33.18</v>
      </c>
      <c r="G655" s="18"/>
    </row>
    <row r="656" spans="1:7" x14ac:dyDescent="0.25">
      <c r="A656" s="30">
        <v>0.86505405824313653</v>
      </c>
      <c r="B656" s="30">
        <v>0</v>
      </c>
      <c r="C656" s="30">
        <v>33.18</v>
      </c>
      <c r="G656" s="18"/>
    </row>
    <row r="657" spans="1:7" x14ac:dyDescent="0.25">
      <c r="A657" s="30">
        <v>1.4113126839549384</v>
      </c>
      <c r="B657" s="30">
        <v>0</v>
      </c>
      <c r="C657" s="30">
        <v>33.18</v>
      </c>
      <c r="G657" s="18"/>
    </row>
    <row r="658" spans="1:7" x14ac:dyDescent="0.25">
      <c r="A658" s="30">
        <v>1.3676003834042043</v>
      </c>
      <c r="B658" s="30">
        <v>0</v>
      </c>
      <c r="C658" s="30">
        <v>33.18</v>
      </c>
      <c r="G658" s="18"/>
    </row>
    <row r="659" spans="1:7" x14ac:dyDescent="0.25">
      <c r="A659" s="30">
        <v>2.8384857369621395E-2</v>
      </c>
      <c r="B659" s="30">
        <v>0</v>
      </c>
      <c r="C659" s="30">
        <v>33.18</v>
      </c>
      <c r="G659" s="18"/>
    </row>
    <row r="660" spans="1:7" x14ac:dyDescent="0.25">
      <c r="A660" s="30">
        <v>0.6455926966798653</v>
      </c>
      <c r="B660" s="30">
        <v>0</v>
      </c>
      <c r="C660" s="30">
        <v>33.18</v>
      </c>
      <c r="G660" s="18"/>
    </row>
    <row r="661" spans="1:7" x14ac:dyDescent="0.25">
      <c r="A661" s="30">
        <v>1.6593142347394529</v>
      </c>
      <c r="B661" s="30">
        <v>0</v>
      </c>
      <c r="C661" s="30">
        <v>33.18</v>
      </c>
      <c r="G661" s="18"/>
    </row>
    <row r="662" spans="1:7" x14ac:dyDescent="0.25">
      <c r="A662" s="30">
        <v>1.192395677576839</v>
      </c>
      <c r="B662" s="30">
        <v>0</v>
      </c>
      <c r="C662" s="30">
        <v>33.18</v>
      </c>
      <c r="G662" s="18"/>
    </row>
    <row r="663" spans="1:7" x14ac:dyDescent="0.25">
      <c r="A663" s="30">
        <v>0.47462281357685104</v>
      </c>
      <c r="B663" s="30">
        <v>0</v>
      </c>
      <c r="C663" s="30">
        <v>33.18</v>
      </c>
      <c r="G663" s="18"/>
    </row>
    <row r="664" spans="1:7" x14ac:dyDescent="0.25">
      <c r="A664" s="30">
        <v>0.85494826267479562</v>
      </c>
      <c r="B664" s="30">
        <v>0</v>
      </c>
      <c r="C664" s="30">
        <v>33.18</v>
      </c>
      <c r="G664" s="18"/>
    </row>
    <row r="665" spans="1:7" x14ac:dyDescent="0.25">
      <c r="A665" s="30">
        <v>1.9877841305315136</v>
      </c>
      <c r="B665" s="30">
        <v>0</v>
      </c>
      <c r="C665" s="30">
        <v>33.18</v>
      </c>
      <c r="G665" s="18"/>
    </row>
    <row r="666" spans="1:7" x14ac:dyDescent="0.25">
      <c r="A666" s="30">
        <v>0.1678354537385805</v>
      </c>
      <c r="B666" s="30">
        <v>0</v>
      </c>
      <c r="C666" s="30">
        <v>33.18</v>
      </c>
      <c r="G666" s="18"/>
    </row>
    <row r="667" spans="1:7" x14ac:dyDescent="0.25">
      <c r="A667" s="30">
        <v>1.5011664153295174</v>
      </c>
      <c r="B667" s="30">
        <v>0</v>
      </c>
      <c r="C667" s="30">
        <v>33.18</v>
      </c>
      <c r="G667" s="18"/>
    </row>
    <row r="668" spans="1:7" x14ac:dyDescent="0.25">
      <c r="A668" s="30">
        <v>0.60789505677548916</v>
      </c>
      <c r="B668" s="30">
        <v>0</v>
      </c>
      <c r="C668" s="30">
        <v>33.18</v>
      </c>
      <c r="G668" s="18"/>
    </row>
    <row r="669" spans="1:7" x14ac:dyDescent="0.25">
      <c r="A669" s="30">
        <v>1.855257648551969</v>
      </c>
      <c r="B669" s="30">
        <v>0</v>
      </c>
      <c r="C669" s="30">
        <v>33.18</v>
      </c>
      <c r="G669" s="18"/>
    </row>
    <row r="670" spans="1:7" x14ac:dyDescent="0.25">
      <c r="A670" s="30">
        <v>0.85269770006038714</v>
      </c>
      <c r="B670" s="30">
        <v>0</v>
      </c>
      <c r="C670" s="30">
        <v>33.18</v>
      </c>
      <c r="G670" s="18"/>
    </row>
    <row r="671" spans="1:7" x14ac:dyDescent="0.25">
      <c r="A671" s="30">
        <v>1.6658050053589839</v>
      </c>
      <c r="B671" s="30">
        <v>0</v>
      </c>
      <c r="C671" s="30">
        <v>18.479999999999997</v>
      </c>
      <c r="G671" s="18"/>
    </row>
    <row r="672" spans="1:7" x14ac:dyDescent="0.25">
      <c r="A672" s="30">
        <v>1.3489652513475043</v>
      </c>
      <c r="B672" s="30">
        <v>0</v>
      </c>
      <c r="C672" s="30">
        <v>18.479999999999997</v>
      </c>
      <c r="G672" s="18"/>
    </row>
    <row r="673" spans="1:7" x14ac:dyDescent="0.25">
      <c r="A673" s="30">
        <v>1.1012364430684349</v>
      </c>
      <c r="B673" s="30">
        <v>0</v>
      </c>
      <c r="C673" s="30">
        <v>18.479999999999997</v>
      </c>
      <c r="G673" s="18"/>
    </row>
    <row r="674" spans="1:7" x14ac:dyDescent="0.25">
      <c r="A674" s="30">
        <v>0.64189327402803431</v>
      </c>
      <c r="B674" s="30">
        <v>0</v>
      </c>
      <c r="C674" s="30">
        <v>18.479999999999997</v>
      </c>
      <c r="G674" s="18"/>
    </row>
    <row r="675" spans="1:7" x14ac:dyDescent="0.25">
      <c r="A675" s="30">
        <v>6.5966973532639542E-2</v>
      </c>
      <c r="B675" s="30">
        <v>0</v>
      </c>
      <c r="C675" s="30">
        <v>18.479999999999997</v>
      </c>
      <c r="G675" s="18"/>
    </row>
    <row r="676" spans="1:7" x14ac:dyDescent="0.25">
      <c r="A676" s="30">
        <v>0.87812445211739742</v>
      </c>
      <c r="B676" s="30">
        <v>0</v>
      </c>
      <c r="C676" s="30">
        <v>18.479999999999997</v>
      </c>
      <c r="G676" s="18"/>
    </row>
    <row r="677" spans="1:7" x14ac:dyDescent="0.25">
      <c r="A677" s="30">
        <v>1.9987039531407895</v>
      </c>
      <c r="B677" s="30">
        <v>0</v>
      </c>
      <c r="C677" s="30">
        <v>18.479999999999997</v>
      </c>
      <c r="G677" s="18"/>
    </row>
    <row r="678" spans="1:7" x14ac:dyDescent="0.25">
      <c r="A678" s="30">
        <v>0.56009573383306255</v>
      </c>
      <c r="B678" s="30">
        <v>0</v>
      </c>
      <c r="C678" s="30">
        <v>18.479999999999997</v>
      </c>
      <c r="G678" s="18"/>
    </row>
    <row r="679" spans="1:7" x14ac:dyDescent="0.25">
      <c r="A679" s="30">
        <v>0.51622891269934201</v>
      </c>
      <c r="B679" s="30">
        <v>0</v>
      </c>
      <c r="C679" s="30">
        <v>18.479999999999997</v>
      </c>
      <c r="G679" s="18"/>
    </row>
    <row r="680" spans="1:7" x14ac:dyDescent="0.25">
      <c r="A680" s="30">
        <v>0.28651600000560046</v>
      </c>
      <c r="B680" s="30">
        <v>0</v>
      </c>
      <c r="C680" s="30">
        <v>18.479999999999997</v>
      </c>
      <c r="G680" s="18"/>
    </row>
    <row r="681" spans="1:7" x14ac:dyDescent="0.25">
      <c r="A681" s="30">
        <v>2.3540246034081909</v>
      </c>
      <c r="B681" s="30">
        <v>0</v>
      </c>
      <c r="C681" s="30">
        <v>18.479999999999997</v>
      </c>
      <c r="G681" s="18"/>
    </row>
    <row r="682" spans="1:7" x14ac:dyDescent="0.25">
      <c r="A682" s="30">
        <v>0.99683473757873409</v>
      </c>
      <c r="B682" s="30">
        <v>0</v>
      </c>
      <c r="C682" s="30">
        <v>18.479999999999997</v>
      </c>
      <c r="G682" s="18"/>
    </row>
    <row r="683" spans="1:7" x14ac:dyDescent="0.25">
      <c r="A683" s="30">
        <v>1.4565621105460893</v>
      </c>
      <c r="B683" s="30">
        <v>0</v>
      </c>
      <c r="C683" s="30">
        <v>18.479999999999997</v>
      </c>
      <c r="G683" s="18"/>
    </row>
    <row r="684" spans="1:7" x14ac:dyDescent="0.25">
      <c r="A684" s="30">
        <v>1.0573802854420393</v>
      </c>
      <c r="B684" s="30">
        <v>0</v>
      </c>
      <c r="C684" s="30">
        <v>18.479999999999997</v>
      </c>
      <c r="G684" s="18"/>
    </row>
    <row r="685" spans="1:7" x14ac:dyDescent="0.25">
      <c r="A685" s="30">
        <v>0.5567297595781624</v>
      </c>
      <c r="B685" s="30">
        <v>0</v>
      </c>
      <c r="C685" s="30">
        <v>18.479999999999997</v>
      </c>
      <c r="G685" s="18"/>
    </row>
    <row r="686" spans="1:7" x14ac:dyDescent="0.25">
      <c r="A686" s="30">
        <v>0.31590757972122374</v>
      </c>
      <c r="B686" s="30">
        <v>0</v>
      </c>
      <c r="C686" s="30">
        <v>18.479999999999997</v>
      </c>
      <c r="G686" s="18"/>
    </row>
    <row r="687" spans="1:7" x14ac:dyDescent="0.25">
      <c r="A687" s="30">
        <v>1.1306258336062576</v>
      </c>
      <c r="B687" s="30">
        <v>0</v>
      </c>
      <c r="C687" s="30">
        <v>18.479999999999997</v>
      </c>
      <c r="G687" s="18"/>
    </row>
    <row r="688" spans="1:7" x14ac:dyDescent="0.25">
      <c r="A688" s="30">
        <v>0.32419077492466292</v>
      </c>
      <c r="B688" s="30">
        <v>0</v>
      </c>
      <c r="C688" s="30">
        <v>14.7</v>
      </c>
      <c r="G688" s="18"/>
    </row>
    <row r="689" spans="1:7" x14ac:dyDescent="0.25">
      <c r="A689" s="30">
        <v>0.16653987727882003</v>
      </c>
      <c r="B689" s="30">
        <v>0</v>
      </c>
      <c r="C689" s="30">
        <v>14.7</v>
      </c>
      <c r="G689" s="18"/>
    </row>
    <row r="690" spans="1:7" x14ac:dyDescent="0.25">
      <c r="A690" s="30">
        <v>1.0268566181170999</v>
      </c>
      <c r="B690" s="30">
        <v>0</v>
      </c>
      <c r="C690" s="30">
        <v>14.7</v>
      </c>
      <c r="G690" s="18"/>
    </row>
    <row r="691" spans="1:7" x14ac:dyDescent="0.25">
      <c r="A691" s="30">
        <v>1.6404689773652001</v>
      </c>
      <c r="B691" s="30">
        <v>0</v>
      </c>
      <c r="C691" s="30">
        <v>14.7</v>
      </c>
      <c r="G691" s="18"/>
    </row>
    <row r="692" spans="1:7" x14ac:dyDescent="0.25">
      <c r="A692" s="30">
        <v>0.50573743693731177</v>
      </c>
      <c r="B692" s="30">
        <v>0</v>
      </c>
      <c r="C692" s="30">
        <v>14.7</v>
      </c>
      <c r="G692" s="18"/>
    </row>
    <row r="693" spans="1:7" x14ac:dyDescent="0.25">
      <c r="A693" s="30">
        <v>1.8935600840149625</v>
      </c>
      <c r="B693" s="30">
        <v>0</v>
      </c>
      <c r="C693" s="30">
        <v>14.7</v>
      </c>
      <c r="G693" s="18"/>
    </row>
    <row r="694" spans="1:7" x14ac:dyDescent="0.25">
      <c r="A694" s="30">
        <v>0.5902776181157432</v>
      </c>
      <c r="B694" s="30">
        <v>0</v>
      </c>
      <c r="C694" s="30">
        <v>14.7</v>
      </c>
      <c r="G694" s="18"/>
    </row>
    <row r="695" spans="1:7" x14ac:dyDescent="0.25">
      <c r="A695" s="30">
        <v>2.1442095473222524</v>
      </c>
      <c r="B695" s="30">
        <v>0</v>
      </c>
      <c r="C695" s="30">
        <v>14.7</v>
      </c>
      <c r="G695" s="18"/>
    </row>
    <row r="696" spans="1:7" x14ac:dyDescent="0.25">
      <c r="A696" s="30">
        <v>1.1619944505747335</v>
      </c>
      <c r="B696" s="30">
        <v>0</v>
      </c>
      <c r="C696" s="30">
        <v>14.7</v>
      </c>
      <c r="G696" s="18"/>
    </row>
    <row r="697" spans="1:7" x14ac:dyDescent="0.25">
      <c r="A697" s="30">
        <v>1.2082514499237795</v>
      </c>
      <c r="B697" s="30">
        <v>0</v>
      </c>
      <c r="C697" s="30">
        <v>14.7</v>
      </c>
      <c r="G697" s="18"/>
    </row>
    <row r="698" spans="1:7" x14ac:dyDescent="0.25">
      <c r="A698" s="30">
        <v>0.20441283264278393</v>
      </c>
      <c r="B698" s="30">
        <v>0</v>
      </c>
      <c r="C698" s="30">
        <v>14.7</v>
      </c>
      <c r="G698" s="18"/>
    </row>
    <row r="699" spans="1:7" x14ac:dyDescent="0.25">
      <c r="A699" s="30">
        <v>0.67187305324056013</v>
      </c>
      <c r="B699" s="30">
        <v>0</v>
      </c>
      <c r="C699" s="30">
        <v>14.7</v>
      </c>
      <c r="G699" s="18"/>
    </row>
    <row r="700" spans="1:7" x14ac:dyDescent="0.25">
      <c r="A700" s="30">
        <v>0.6005698869970425</v>
      </c>
      <c r="B700" s="30">
        <v>0</v>
      </c>
      <c r="C700" s="30">
        <v>14.7</v>
      </c>
      <c r="G700" s="18"/>
    </row>
    <row r="701" spans="1:7" x14ac:dyDescent="0.25">
      <c r="A701" s="30">
        <v>1.1043786381065701</v>
      </c>
      <c r="B701" s="30">
        <v>0</v>
      </c>
      <c r="C701" s="30">
        <v>14.7</v>
      </c>
      <c r="G701" s="18"/>
    </row>
    <row r="702" spans="1:7" x14ac:dyDescent="0.25">
      <c r="A702" s="30">
        <v>0.92444775326410844</v>
      </c>
      <c r="B702" s="30">
        <v>0</v>
      </c>
      <c r="C702" s="30">
        <v>14.7</v>
      </c>
      <c r="G702" s="18"/>
    </row>
    <row r="703" spans="1:7" x14ac:dyDescent="0.25">
      <c r="A703" s="30">
        <v>1.3788455560067252</v>
      </c>
      <c r="B703" s="30">
        <v>0</v>
      </c>
      <c r="C703" s="30">
        <v>13.299999999999999</v>
      </c>
      <c r="G703" s="18"/>
    </row>
    <row r="704" spans="1:7" x14ac:dyDescent="0.25">
      <c r="A704" s="30">
        <v>0.46440522229803866</v>
      </c>
      <c r="B704" s="30">
        <v>0</v>
      </c>
      <c r="C704" s="30">
        <v>13.299999999999999</v>
      </c>
      <c r="G704" s="18"/>
    </row>
    <row r="705" spans="1:7" x14ac:dyDescent="0.25">
      <c r="A705" s="30">
        <v>0.3226171822139734</v>
      </c>
      <c r="B705" s="30">
        <v>0</v>
      </c>
      <c r="C705" s="30">
        <v>13.299999999999999</v>
      </c>
      <c r="G705" s="18"/>
    </row>
    <row r="706" spans="1:7" x14ac:dyDescent="0.25">
      <c r="A706" s="30">
        <v>0.90357381002667148</v>
      </c>
      <c r="B706" s="30">
        <v>0</v>
      </c>
      <c r="C706" s="30">
        <v>13.299999999999999</v>
      </c>
      <c r="G706" s="18"/>
    </row>
    <row r="707" spans="1:7" x14ac:dyDescent="0.25">
      <c r="A707" s="30">
        <v>1.0483729530871453</v>
      </c>
      <c r="B707" s="30">
        <v>0</v>
      </c>
      <c r="C707" s="30">
        <v>13.299999999999999</v>
      </c>
      <c r="G707" s="18"/>
    </row>
    <row r="708" spans="1:7" x14ac:dyDescent="0.25">
      <c r="A708" s="30">
        <v>1.0958059775390878</v>
      </c>
      <c r="B708" s="30">
        <v>0</v>
      </c>
      <c r="C708" s="30">
        <v>13.299999999999999</v>
      </c>
      <c r="G708" s="18"/>
    </row>
    <row r="709" spans="1:7" x14ac:dyDescent="0.25">
      <c r="A709" s="30">
        <v>2.2176145098379827</v>
      </c>
      <c r="B709" s="30">
        <v>0</v>
      </c>
      <c r="C709" s="30">
        <v>13.299999999999999</v>
      </c>
      <c r="G709" s="18"/>
    </row>
    <row r="710" spans="1:7" x14ac:dyDescent="0.25">
      <c r="A710" s="30">
        <v>0.86467224438236578</v>
      </c>
      <c r="B710" s="30">
        <v>0</v>
      </c>
      <c r="C710" s="30">
        <v>13.299999999999999</v>
      </c>
      <c r="G710" s="18"/>
    </row>
    <row r="711" spans="1:7" x14ac:dyDescent="0.25">
      <c r="A711" s="30">
        <v>1.3610080555203112</v>
      </c>
      <c r="B711" s="30">
        <v>0</v>
      </c>
      <c r="C711" s="30">
        <v>13.299999999999999</v>
      </c>
      <c r="G711" s="18"/>
    </row>
    <row r="712" spans="1:7" x14ac:dyDescent="0.25">
      <c r="A712" s="30">
        <v>0.58850856189546197</v>
      </c>
      <c r="B712" s="30">
        <v>0</v>
      </c>
      <c r="C712" s="30">
        <v>13.299999999999999</v>
      </c>
      <c r="G712" s="18"/>
    </row>
    <row r="713" spans="1:7" x14ac:dyDescent="0.25">
      <c r="A713" s="30">
        <v>0.65173643533985781</v>
      </c>
      <c r="B713" s="30">
        <v>0</v>
      </c>
      <c r="C713" s="30">
        <v>13.299999999999999</v>
      </c>
      <c r="G713" s="18"/>
    </row>
    <row r="714" spans="1:7" x14ac:dyDescent="0.25">
      <c r="A714" s="30">
        <v>0.42206223472450571</v>
      </c>
      <c r="B714" s="30">
        <v>0</v>
      </c>
      <c r="C714" s="30">
        <v>13.299999999999999</v>
      </c>
      <c r="G714" s="18"/>
    </row>
    <row r="715" spans="1:7" x14ac:dyDescent="0.25">
      <c r="A715" s="30">
        <v>0.40575101547442427</v>
      </c>
      <c r="B715" s="30">
        <v>0</v>
      </c>
      <c r="C715" s="30">
        <v>13.299999999999999</v>
      </c>
      <c r="G715" s="18"/>
    </row>
    <row r="716" spans="1:7" x14ac:dyDescent="0.25">
      <c r="A716" s="30">
        <v>0.55119951952514146</v>
      </c>
      <c r="B716" s="30">
        <v>0</v>
      </c>
      <c r="C716" s="30">
        <v>13.299999999999999</v>
      </c>
      <c r="G716" s="18"/>
    </row>
    <row r="717" spans="1:7" x14ac:dyDescent="0.25">
      <c r="A717" s="30">
        <v>1.7770709163558975</v>
      </c>
      <c r="B717" s="30">
        <v>0</v>
      </c>
      <c r="C717" s="30">
        <v>13.299999999999999</v>
      </c>
      <c r="G717" s="18"/>
    </row>
    <row r="718" spans="1:7" x14ac:dyDescent="0.25">
      <c r="A718" s="30">
        <v>0.39640981835846861</v>
      </c>
      <c r="B718" s="30">
        <v>0</v>
      </c>
      <c r="C718" s="30">
        <v>13.299999999999999</v>
      </c>
      <c r="G718" s="18"/>
    </row>
    <row r="719" spans="1:7" x14ac:dyDescent="0.25">
      <c r="A719" s="30">
        <v>1.4777007454374498</v>
      </c>
      <c r="B719" s="30">
        <v>0</v>
      </c>
      <c r="C719" s="30">
        <v>13.299999999999999</v>
      </c>
      <c r="G719" s="18"/>
    </row>
    <row r="720" spans="1:7" x14ac:dyDescent="0.25">
      <c r="A720" s="30">
        <v>1.1874796152279674</v>
      </c>
      <c r="B720" s="30">
        <v>0</v>
      </c>
      <c r="C720" s="30">
        <v>22.259999999999998</v>
      </c>
      <c r="G720" s="18"/>
    </row>
    <row r="721" spans="1:7" x14ac:dyDescent="0.25">
      <c r="A721" s="30">
        <v>1.285778440033438</v>
      </c>
      <c r="B721" s="30">
        <v>0</v>
      </c>
      <c r="C721" s="30">
        <v>22.259999999999998</v>
      </c>
      <c r="G721" s="18"/>
    </row>
    <row r="722" spans="1:7" x14ac:dyDescent="0.25">
      <c r="A722" s="30">
        <v>1.2864201234570978</v>
      </c>
      <c r="B722" s="30">
        <v>0</v>
      </c>
      <c r="C722" s="30">
        <v>22.259999999999998</v>
      </c>
      <c r="G722" s="18"/>
    </row>
    <row r="723" spans="1:7" x14ac:dyDescent="0.25">
      <c r="A723" s="30">
        <v>1.5677843630620019</v>
      </c>
      <c r="B723" s="30">
        <v>0</v>
      </c>
      <c r="C723" s="30">
        <v>22.259999999999998</v>
      </c>
      <c r="G723" s="18"/>
    </row>
    <row r="724" spans="1:7" x14ac:dyDescent="0.25">
      <c r="A724" s="30">
        <v>0.2323624094091834</v>
      </c>
      <c r="B724" s="30">
        <v>0</v>
      </c>
      <c r="C724" s="30">
        <v>22.259999999999998</v>
      </c>
      <c r="G724" s="18"/>
    </row>
    <row r="725" spans="1:7" x14ac:dyDescent="0.25">
      <c r="A725" s="30">
        <v>1.4059886279794767</v>
      </c>
      <c r="B725" s="30">
        <v>0</v>
      </c>
      <c r="C725" s="30">
        <v>22.259999999999998</v>
      </c>
      <c r="G725" s="18"/>
    </row>
    <row r="726" spans="1:7" x14ac:dyDescent="0.25">
      <c r="A726" s="30">
        <v>5.7248546298837313E-2</v>
      </c>
      <c r="B726" s="30">
        <v>0</v>
      </c>
      <c r="C726" s="30">
        <v>22.259999999999998</v>
      </c>
      <c r="G726" s="18"/>
    </row>
    <row r="727" spans="1:7" x14ac:dyDescent="0.25">
      <c r="A727" s="30">
        <v>1.2942908433443274</v>
      </c>
      <c r="B727" s="30">
        <v>0</v>
      </c>
      <c r="C727" s="30">
        <v>22.259999999999998</v>
      </c>
      <c r="G727" s="18"/>
    </row>
    <row r="728" spans="1:7" x14ac:dyDescent="0.25">
      <c r="A728" s="30">
        <v>0.80573204670744436</v>
      </c>
      <c r="B728" s="30">
        <v>0</v>
      </c>
      <c r="C728" s="30">
        <v>22.259999999999998</v>
      </c>
      <c r="G728" s="18"/>
    </row>
    <row r="729" spans="1:7" x14ac:dyDescent="0.25">
      <c r="A729" s="30">
        <v>0.64610507864501954</v>
      </c>
      <c r="B729" s="30">
        <v>0</v>
      </c>
      <c r="C729" s="30">
        <v>22.259999999999998</v>
      </c>
      <c r="G729" s="18"/>
    </row>
    <row r="730" spans="1:7" x14ac:dyDescent="0.25">
      <c r="A730" s="30">
        <v>1.0354470645792371</v>
      </c>
      <c r="B730" s="30">
        <v>0</v>
      </c>
      <c r="C730" s="30">
        <v>22.259999999999998</v>
      </c>
      <c r="G730" s="18"/>
    </row>
    <row r="731" spans="1:7" x14ac:dyDescent="0.25">
      <c r="A731" s="30">
        <v>1.2737582794431823E-2</v>
      </c>
      <c r="B731" s="30">
        <v>0</v>
      </c>
      <c r="C731" s="30">
        <v>22.259999999999998</v>
      </c>
      <c r="G731" s="18"/>
    </row>
    <row r="732" spans="1:7" x14ac:dyDescent="0.25">
      <c r="A732" s="30">
        <v>0.65674329878848903</v>
      </c>
      <c r="B732" s="30">
        <v>0</v>
      </c>
      <c r="C732" s="30">
        <v>22.259999999999998</v>
      </c>
      <c r="G732" s="18"/>
    </row>
    <row r="733" spans="1:7" x14ac:dyDescent="0.25">
      <c r="A733" s="30">
        <v>0.740248887754822</v>
      </c>
      <c r="B733" s="30">
        <v>0</v>
      </c>
      <c r="C733" s="30">
        <v>22.259999999999998</v>
      </c>
      <c r="G733" s="18"/>
    </row>
    <row r="734" spans="1:7" x14ac:dyDescent="0.25">
      <c r="A734" s="30">
        <v>9.1995516938238084E-2</v>
      </c>
      <c r="B734" s="30">
        <v>0</v>
      </c>
      <c r="C734" s="30">
        <v>22.259999999999998</v>
      </c>
      <c r="G734" s="18"/>
    </row>
    <row r="735" spans="1:7" x14ac:dyDescent="0.25">
      <c r="A735" s="30">
        <v>2.1144138954756819</v>
      </c>
      <c r="B735" s="30">
        <v>0</v>
      </c>
      <c r="C735" s="30">
        <v>22.259999999999998</v>
      </c>
      <c r="G735" s="18"/>
    </row>
    <row r="736" spans="1:7" x14ac:dyDescent="0.25">
      <c r="A736" s="30">
        <v>0.85506752834112343</v>
      </c>
      <c r="B736" s="30">
        <v>0</v>
      </c>
      <c r="C736" s="30">
        <v>13.579999999999998</v>
      </c>
      <c r="G736" s="18"/>
    </row>
    <row r="737" spans="1:7" x14ac:dyDescent="0.25">
      <c r="A737" s="30">
        <v>0.44241090920798581</v>
      </c>
      <c r="B737" s="30">
        <v>0</v>
      </c>
      <c r="C737" s="30">
        <v>13.579999999999998</v>
      </c>
      <c r="G737" s="18"/>
    </row>
    <row r="738" spans="1:7" x14ac:dyDescent="0.25">
      <c r="A738" s="30">
        <v>0.25936308301177896</v>
      </c>
      <c r="B738" s="30">
        <v>0</v>
      </c>
      <c r="C738" s="30">
        <v>13.579999999999998</v>
      </c>
      <c r="G738" s="18"/>
    </row>
    <row r="739" spans="1:7" x14ac:dyDescent="0.25">
      <c r="A739" s="30">
        <v>0.7597295393754826</v>
      </c>
      <c r="B739" s="30">
        <v>0</v>
      </c>
      <c r="C739" s="30">
        <v>13.579999999999998</v>
      </c>
      <c r="G739" s="18"/>
    </row>
    <row r="740" spans="1:7" x14ac:dyDescent="0.25">
      <c r="A740" s="30">
        <v>0.13362785552096526</v>
      </c>
      <c r="B740" s="30">
        <v>0</v>
      </c>
      <c r="C740" s="30">
        <v>13.579999999999998</v>
      </c>
      <c r="G740" s="18"/>
    </row>
    <row r="741" spans="1:7" x14ac:dyDescent="0.25">
      <c r="A741" s="30">
        <v>1.6897364667497949</v>
      </c>
      <c r="B741" s="30">
        <v>0</v>
      </c>
      <c r="C741" s="30">
        <v>13.579999999999998</v>
      </c>
      <c r="G741" s="18"/>
    </row>
    <row r="742" spans="1:7" x14ac:dyDescent="0.25">
      <c r="A742" s="30">
        <v>0.2921480343829771</v>
      </c>
      <c r="B742" s="30">
        <v>0</v>
      </c>
      <c r="C742" s="30">
        <v>13.579999999999998</v>
      </c>
      <c r="G742" s="18"/>
    </row>
    <row r="743" spans="1:7" x14ac:dyDescent="0.25">
      <c r="A743" s="30">
        <v>0.21858470383042761</v>
      </c>
      <c r="B743" s="30">
        <v>0</v>
      </c>
      <c r="C743" s="30">
        <v>13.579999999999998</v>
      </c>
      <c r="G743" s="18"/>
    </row>
    <row r="744" spans="1:7" x14ac:dyDescent="0.25">
      <c r="A744" s="30">
        <v>0.37674201983925137</v>
      </c>
      <c r="B744" s="30">
        <v>0</v>
      </c>
      <c r="C744" s="30">
        <v>13.579999999999998</v>
      </c>
      <c r="G744" s="18"/>
    </row>
    <row r="745" spans="1:7" x14ac:dyDescent="0.25">
      <c r="A745" s="30">
        <v>1.6867448214759981</v>
      </c>
      <c r="B745" s="30">
        <v>0</v>
      </c>
      <c r="C745" s="30">
        <v>13.579999999999998</v>
      </c>
      <c r="G745" s="18"/>
    </row>
    <row r="746" spans="1:7" x14ac:dyDescent="0.25">
      <c r="A746" s="30">
        <v>1.2848509926133365</v>
      </c>
      <c r="B746" s="30">
        <v>0</v>
      </c>
      <c r="C746" s="30">
        <v>13.579999999999998</v>
      </c>
      <c r="G746" s="18"/>
    </row>
    <row r="747" spans="1:7" x14ac:dyDescent="0.25">
      <c r="A747" s="30">
        <v>0.58364610566652564</v>
      </c>
      <c r="B747" s="30">
        <v>0</v>
      </c>
      <c r="C747" s="30">
        <v>13.579999999999998</v>
      </c>
      <c r="G747" s="18"/>
    </row>
    <row r="748" spans="1:7" x14ac:dyDescent="0.25">
      <c r="A748" s="30">
        <v>0.81663162999901062</v>
      </c>
      <c r="B748" s="30">
        <v>0</v>
      </c>
      <c r="C748" s="30">
        <v>13.579999999999998</v>
      </c>
      <c r="G748" s="18"/>
    </row>
    <row r="749" spans="1:7" x14ac:dyDescent="0.25">
      <c r="A749" s="30">
        <v>0.12404809959378067</v>
      </c>
      <c r="B749" s="30">
        <v>0</v>
      </c>
      <c r="C749" s="30">
        <v>13.579999999999998</v>
      </c>
      <c r="G749" s="18"/>
    </row>
    <row r="750" spans="1:7" x14ac:dyDescent="0.25">
      <c r="A750" s="30">
        <v>0.58084670658141813</v>
      </c>
      <c r="B750" s="30">
        <v>0</v>
      </c>
      <c r="C750" s="30">
        <v>13.579999999999998</v>
      </c>
      <c r="G750" s="18"/>
    </row>
    <row r="751" spans="1:7" x14ac:dyDescent="0.25">
      <c r="A751" s="30">
        <v>2.0543866077084774</v>
      </c>
      <c r="B751" s="30">
        <v>0</v>
      </c>
      <c r="C751" s="30">
        <v>13.579999999999998</v>
      </c>
      <c r="G751" s="18"/>
    </row>
    <row r="752" spans="1:7" x14ac:dyDescent="0.25">
      <c r="A752" s="30">
        <v>0.92922510565146688</v>
      </c>
      <c r="B752" s="30">
        <v>0</v>
      </c>
      <c r="C752" s="30">
        <v>11.620000000000001</v>
      </c>
      <c r="G752" s="18"/>
    </row>
    <row r="753" spans="1:7" x14ac:dyDescent="0.25">
      <c r="A753" s="30">
        <v>1.0127676730615751</v>
      </c>
      <c r="B753" s="30">
        <v>0</v>
      </c>
      <c r="C753" s="30">
        <v>11.620000000000001</v>
      </c>
      <c r="G753" s="18"/>
    </row>
    <row r="754" spans="1:7" x14ac:dyDescent="0.25">
      <c r="A754" s="30">
        <v>1.2179250166807334</v>
      </c>
      <c r="B754" s="30">
        <v>0</v>
      </c>
      <c r="C754" s="30">
        <v>11.620000000000001</v>
      </c>
      <c r="G754" s="18"/>
    </row>
    <row r="755" spans="1:7" x14ac:dyDescent="0.25">
      <c r="A755" s="30">
        <v>1.2935467154072533</v>
      </c>
      <c r="B755" s="30">
        <v>0</v>
      </c>
      <c r="C755" s="30">
        <v>11.620000000000001</v>
      </c>
      <c r="G755" s="18"/>
    </row>
    <row r="756" spans="1:7" x14ac:dyDescent="0.25">
      <c r="A756" s="30">
        <v>0.47530883130155088</v>
      </c>
      <c r="B756" s="30">
        <v>0</v>
      </c>
      <c r="C756" s="30">
        <v>11.620000000000001</v>
      </c>
      <c r="G756" s="18"/>
    </row>
    <row r="757" spans="1:7" x14ac:dyDescent="0.25">
      <c r="A757" s="30">
        <v>0.96672282080158067</v>
      </c>
      <c r="B757" s="30">
        <v>0</v>
      </c>
      <c r="C757" s="30">
        <v>11.620000000000001</v>
      </c>
      <c r="G757" s="18"/>
    </row>
    <row r="758" spans="1:7" x14ac:dyDescent="0.25">
      <c r="A758" s="30">
        <v>0.50683324166172572</v>
      </c>
      <c r="B758" s="30">
        <v>0</v>
      </c>
      <c r="C758" s="30">
        <v>11.620000000000001</v>
      </c>
      <c r="G758" s="18"/>
    </row>
    <row r="759" spans="1:7" x14ac:dyDescent="0.25">
      <c r="A759" s="30">
        <v>0.40028961407055019</v>
      </c>
      <c r="B759" s="30">
        <v>0</v>
      </c>
      <c r="C759" s="30">
        <v>11.620000000000001</v>
      </c>
      <c r="G759" s="18"/>
    </row>
    <row r="760" spans="1:7" x14ac:dyDescent="0.25">
      <c r="A760" s="30">
        <v>0.79562022380228314</v>
      </c>
      <c r="B760" s="30">
        <v>0</v>
      </c>
      <c r="C760" s="30">
        <v>11.620000000000001</v>
      </c>
      <c r="G760" s="18"/>
    </row>
    <row r="761" spans="1:7" x14ac:dyDescent="0.25">
      <c r="A761" s="30">
        <v>1.6453383805933313</v>
      </c>
      <c r="B761" s="30">
        <v>0</v>
      </c>
      <c r="C761" s="30">
        <v>11.620000000000001</v>
      </c>
      <c r="G761" s="18"/>
    </row>
    <row r="762" spans="1:7" x14ac:dyDescent="0.25">
      <c r="A762" s="30">
        <v>1.3692201264848123</v>
      </c>
      <c r="B762" s="30">
        <v>0</v>
      </c>
      <c r="C762" s="30">
        <v>11.620000000000001</v>
      </c>
      <c r="G762" s="18"/>
    </row>
    <row r="763" spans="1:7" x14ac:dyDescent="0.25">
      <c r="A763" s="30">
        <v>0.32739382079329948</v>
      </c>
      <c r="B763" s="30">
        <v>0</v>
      </c>
      <c r="C763" s="30">
        <v>11.620000000000001</v>
      </c>
      <c r="G763" s="18"/>
    </row>
    <row r="764" spans="1:7" x14ac:dyDescent="0.25">
      <c r="A764" s="30">
        <v>0.18919421495215533</v>
      </c>
      <c r="B764" s="30">
        <v>0</v>
      </c>
      <c r="C764" s="30">
        <v>11.620000000000001</v>
      </c>
      <c r="G764" s="18"/>
    </row>
    <row r="765" spans="1:7" x14ac:dyDescent="0.25">
      <c r="A765" s="30">
        <v>1.1767178379353158</v>
      </c>
      <c r="B765" s="30">
        <v>0</v>
      </c>
      <c r="C765" s="30">
        <v>11.620000000000001</v>
      </c>
      <c r="G765" s="18"/>
    </row>
    <row r="766" spans="1:7" x14ac:dyDescent="0.25">
      <c r="A766" s="30">
        <v>1.141231865386463</v>
      </c>
      <c r="B766" s="30">
        <v>0</v>
      </c>
      <c r="C766" s="30">
        <v>11.620000000000001</v>
      </c>
      <c r="G766" s="18"/>
    </row>
    <row r="767" spans="1:7" x14ac:dyDescent="0.25">
      <c r="A767" s="30">
        <v>0.72659912597173737</v>
      </c>
      <c r="B767" s="30">
        <v>0</v>
      </c>
      <c r="C767" s="30">
        <v>11.620000000000001</v>
      </c>
      <c r="G767" s="18"/>
    </row>
    <row r="768" spans="1:7" x14ac:dyDescent="0.25">
      <c r="A768" s="30">
        <v>1.0384549192676542</v>
      </c>
      <c r="B768" s="30">
        <v>0</v>
      </c>
      <c r="C768" s="30">
        <v>24.919999999999998</v>
      </c>
      <c r="G768" s="18"/>
    </row>
    <row r="769" spans="1:7" x14ac:dyDescent="0.25">
      <c r="A769" s="30">
        <v>1.2313377269637189</v>
      </c>
      <c r="B769" s="30">
        <v>0</v>
      </c>
      <c r="C769" s="30">
        <v>24.919999999999998</v>
      </c>
      <c r="G769" s="18"/>
    </row>
    <row r="770" spans="1:7" x14ac:dyDescent="0.25">
      <c r="A770" s="30">
        <v>0.1294762105968561</v>
      </c>
      <c r="B770" s="30">
        <v>0</v>
      </c>
      <c r="C770" s="30">
        <v>24.919999999999998</v>
      </c>
      <c r="G770" s="18"/>
    </row>
    <row r="771" spans="1:7" x14ac:dyDescent="0.25">
      <c r="A771" s="30">
        <v>0.40791694487420188</v>
      </c>
      <c r="B771" s="30">
        <v>0</v>
      </c>
      <c r="C771" s="30">
        <v>24.919999999999998</v>
      </c>
      <c r="G771" s="18"/>
    </row>
    <row r="772" spans="1:7" x14ac:dyDescent="0.25">
      <c r="A772" s="30">
        <v>0.36261147835282881</v>
      </c>
      <c r="B772" s="30">
        <v>0</v>
      </c>
      <c r="C772" s="30">
        <v>24.919999999999998</v>
      </c>
      <c r="G772" s="18"/>
    </row>
    <row r="773" spans="1:7" x14ac:dyDescent="0.25">
      <c r="A773" s="30">
        <v>0.13184391785175276</v>
      </c>
      <c r="B773" s="30">
        <v>0</v>
      </c>
      <c r="C773" s="30">
        <v>24.919999999999998</v>
      </c>
      <c r="G773" s="18"/>
    </row>
    <row r="774" spans="1:7" x14ac:dyDescent="0.25">
      <c r="A774" s="30">
        <v>0.5907144275524403</v>
      </c>
      <c r="B774" s="30">
        <v>0</v>
      </c>
      <c r="C774" s="30">
        <v>24.919999999999998</v>
      </c>
      <c r="G774" s="18"/>
    </row>
    <row r="775" spans="1:7" x14ac:dyDescent="0.25">
      <c r="A775" s="30">
        <v>1.6338582134375457</v>
      </c>
      <c r="B775" s="30">
        <v>0</v>
      </c>
      <c r="C775" s="30">
        <v>24.919999999999998</v>
      </c>
      <c r="G775" s="18"/>
    </row>
    <row r="776" spans="1:7" x14ac:dyDescent="0.25">
      <c r="A776" s="30">
        <v>0.53987148369564297</v>
      </c>
      <c r="B776" s="30">
        <v>0</v>
      </c>
      <c r="C776" s="30">
        <v>24.919999999999998</v>
      </c>
      <c r="G776" s="18"/>
    </row>
    <row r="777" spans="1:7" x14ac:dyDescent="0.25">
      <c r="A777" s="30">
        <v>0.1178478707184805</v>
      </c>
      <c r="B777" s="30">
        <v>0</v>
      </c>
      <c r="C777" s="30">
        <v>24.919999999999998</v>
      </c>
      <c r="G777" s="18"/>
    </row>
    <row r="778" spans="1:7" x14ac:dyDescent="0.25">
      <c r="A778" s="30">
        <v>0.34140267924818585</v>
      </c>
      <c r="B778" s="30">
        <v>0</v>
      </c>
      <c r="C778" s="30">
        <v>24.919999999999998</v>
      </c>
      <c r="G778" s="18"/>
    </row>
    <row r="779" spans="1:7" x14ac:dyDescent="0.25">
      <c r="A779" s="30">
        <v>0.49024566729063634</v>
      </c>
      <c r="B779" s="30">
        <v>0</v>
      </c>
      <c r="C779" s="30">
        <v>24.919999999999998</v>
      </c>
      <c r="G779" s="18"/>
    </row>
    <row r="780" spans="1:7" x14ac:dyDescent="0.25">
      <c r="A780" s="30">
        <v>0.88908450790528859</v>
      </c>
      <c r="B780" s="30">
        <v>0</v>
      </c>
      <c r="C780" s="30">
        <v>24.919999999999998</v>
      </c>
      <c r="G780" s="18"/>
    </row>
    <row r="781" spans="1:7" x14ac:dyDescent="0.25">
      <c r="A781" s="30">
        <v>0.80874519827925884</v>
      </c>
      <c r="B781" s="30">
        <v>0</v>
      </c>
      <c r="C781" s="30">
        <v>24.919999999999998</v>
      </c>
      <c r="G781" s="18"/>
    </row>
    <row r="782" spans="1:7" x14ac:dyDescent="0.25">
      <c r="A782" s="30">
        <v>0.28019929314668668</v>
      </c>
      <c r="B782" s="30">
        <v>0</v>
      </c>
      <c r="C782" s="30">
        <v>24.919999999999998</v>
      </c>
      <c r="G782" s="18"/>
    </row>
    <row r="783" spans="1:7" x14ac:dyDescent="0.25">
      <c r="A783" s="30">
        <v>2.6264949963974882E-2</v>
      </c>
      <c r="B783" s="30">
        <v>0</v>
      </c>
      <c r="C783" s="30">
        <v>20.02</v>
      </c>
      <c r="G783" s="18"/>
    </row>
    <row r="784" spans="1:7" x14ac:dyDescent="0.25">
      <c r="A784" s="30">
        <v>0.26008252216084993</v>
      </c>
      <c r="B784" s="30">
        <v>0</v>
      </c>
      <c r="C784" s="30">
        <v>20.02</v>
      </c>
      <c r="G784" s="18"/>
    </row>
    <row r="785" spans="1:7" x14ac:dyDescent="0.25">
      <c r="A785" s="30">
        <v>2.3140569986275841</v>
      </c>
      <c r="B785" s="30">
        <v>0</v>
      </c>
      <c r="C785" s="30">
        <v>20.02</v>
      </c>
      <c r="G785" s="18"/>
    </row>
    <row r="786" spans="1:7" x14ac:dyDescent="0.25">
      <c r="A786" s="30">
        <v>0.91061458620305125</v>
      </c>
      <c r="B786" s="30">
        <v>0</v>
      </c>
      <c r="C786" s="30">
        <v>20.02</v>
      </c>
      <c r="G786" s="18"/>
    </row>
    <row r="787" spans="1:7" x14ac:dyDescent="0.25">
      <c r="A787" s="30">
        <v>0.24469477108424212</v>
      </c>
      <c r="B787" s="30">
        <v>0</v>
      </c>
      <c r="C787" s="30">
        <v>20.02</v>
      </c>
      <c r="G787" s="18"/>
    </row>
    <row r="788" spans="1:7" x14ac:dyDescent="0.25">
      <c r="A788" s="30">
        <v>0.97554005088881568</v>
      </c>
      <c r="B788" s="30">
        <v>0</v>
      </c>
      <c r="C788" s="30">
        <v>20.02</v>
      </c>
      <c r="G788" s="18"/>
    </row>
    <row r="789" spans="1:7" x14ac:dyDescent="0.25">
      <c r="A789" s="30">
        <v>1.9379546846662936</v>
      </c>
      <c r="B789" s="30">
        <v>0</v>
      </c>
      <c r="C789" s="30">
        <v>20.02</v>
      </c>
      <c r="G789" s="18"/>
    </row>
    <row r="790" spans="1:7" x14ac:dyDescent="0.25">
      <c r="A790" s="30">
        <v>0.69474177204198206</v>
      </c>
      <c r="B790" s="30">
        <v>0</v>
      </c>
      <c r="C790" s="30">
        <v>20.02</v>
      </c>
      <c r="G790" s="18"/>
    </row>
    <row r="791" spans="1:7" x14ac:dyDescent="0.25">
      <c r="A791" s="30">
        <v>2.3028694574629354</v>
      </c>
      <c r="B791" s="30">
        <v>0</v>
      </c>
      <c r="C791" s="30">
        <v>20.02</v>
      </c>
      <c r="G791" s="18"/>
    </row>
    <row r="792" spans="1:7" x14ac:dyDescent="0.25">
      <c r="A792" s="30">
        <v>0.48292019943541342</v>
      </c>
      <c r="B792" s="30">
        <v>0</v>
      </c>
      <c r="C792" s="30">
        <v>20.02</v>
      </c>
      <c r="G792" s="18"/>
    </row>
    <row r="793" spans="1:7" x14ac:dyDescent="0.25">
      <c r="A793" s="30">
        <v>0.23684466172355229</v>
      </c>
      <c r="B793" s="30">
        <v>0</v>
      </c>
      <c r="C793" s="30">
        <v>20.02</v>
      </c>
      <c r="G793" s="18"/>
    </row>
    <row r="794" spans="1:7" x14ac:dyDescent="0.25">
      <c r="A794" s="30">
        <v>0.29958140080141177</v>
      </c>
      <c r="B794" s="30">
        <v>0</v>
      </c>
      <c r="C794" s="30">
        <v>20.02</v>
      </c>
      <c r="G794" s="18"/>
    </row>
    <row r="795" spans="1:7" x14ac:dyDescent="0.25">
      <c r="A795" s="30">
        <v>0.72282774789346038</v>
      </c>
      <c r="B795" s="30">
        <v>0</v>
      </c>
      <c r="C795" s="30">
        <v>20.02</v>
      </c>
      <c r="G795" s="18"/>
    </row>
    <row r="796" spans="1:7" x14ac:dyDescent="0.25">
      <c r="A796" s="30">
        <v>0.35490968723181177</v>
      </c>
      <c r="B796" s="30">
        <v>0</v>
      </c>
      <c r="C796" s="30">
        <v>20.02</v>
      </c>
      <c r="G796" s="18"/>
    </row>
    <row r="797" spans="1:7" x14ac:dyDescent="0.25">
      <c r="A797" s="30">
        <v>1.5248555671142157</v>
      </c>
      <c r="B797" s="30">
        <v>0</v>
      </c>
      <c r="C797" s="30">
        <v>20.02</v>
      </c>
      <c r="G797" s="18"/>
    </row>
    <row r="798" spans="1:7" x14ac:dyDescent="0.25">
      <c r="A798" s="30">
        <v>0.84701381338554138</v>
      </c>
      <c r="B798" s="30">
        <v>0</v>
      </c>
      <c r="C798" s="30">
        <v>20.02</v>
      </c>
      <c r="G798" s="18"/>
    </row>
    <row r="799" spans="1:7" x14ac:dyDescent="0.25">
      <c r="A799" s="30">
        <v>2.0386809733874878</v>
      </c>
      <c r="B799" s="30">
        <v>0</v>
      </c>
      <c r="C799" s="30">
        <v>10.78</v>
      </c>
      <c r="G799" s="18"/>
    </row>
    <row r="800" spans="1:7" x14ac:dyDescent="0.25">
      <c r="A800" s="30">
        <v>0.36782913475063389</v>
      </c>
      <c r="B800" s="30">
        <v>0</v>
      </c>
      <c r="C800" s="30">
        <v>10.78</v>
      </c>
      <c r="G800" s="18"/>
    </row>
    <row r="801" spans="1:7" x14ac:dyDescent="0.25">
      <c r="A801" s="30">
        <v>5.4824827087145422E-2</v>
      </c>
      <c r="B801" s="30">
        <v>0</v>
      </c>
      <c r="C801" s="30">
        <v>10.78</v>
      </c>
      <c r="G801" s="18"/>
    </row>
    <row r="802" spans="1:7" x14ac:dyDescent="0.25">
      <c r="A802" s="30">
        <v>1.1177139498594553</v>
      </c>
      <c r="B802" s="30">
        <v>0</v>
      </c>
      <c r="C802" s="30">
        <v>10.78</v>
      </c>
      <c r="G802" s="18"/>
    </row>
    <row r="803" spans="1:7" x14ac:dyDescent="0.25">
      <c r="A803" s="30">
        <v>0.27958099289514554</v>
      </c>
      <c r="B803" s="30">
        <v>0</v>
      </c>
      <c r="C803" s="30">
        <v>10.78</v>
      </c>
      <c r="G803" s="18"/>
    </row>
    <row r="804" spans="1:7" x14ac:dyDescent="0.25">
      <c r="A804" s="30">
        <v>1.0280180987816343</v>
      </c>
      <c r="B804" s="30">
        <v>0</v>
      </c>
      <c r="C804" s="30">
        <v>10.78</v>
      </c>
      <c r="G804" s="18"/>
    </row>
    <row r="805" spans="1:7" x14ac:dyDescent="0.25">
      <c r="A805" s="30">
        <v>0.18474908802157985</v>
      </c>
      <c r="B805" s="30">
        <v>0</v>
      </c>
      <c r="C805" s="30">
        <v>10.78</v>
      </c>
      <c r="G805" s="18"/>
    </row>
    <row r="806" spans="1:7" x14ac:dyDescent="0.25">
      <c r="A806" s="30">
        <v>0.40734823510833629</v>
      </c>
      <c r="B806" s="30">
        <v>0</v>
      </c>
      <c r="C806" s="30">
        <v>10.78</v>
      </c>
      <c r="G806" s="18"/>
    </row>
    <row r="807" spans="1:7" x14ac:dyDescent="0.25">
      <c r="A807" s="30">
        <v>0.95415446549585459</v>
      </c>
      <c r="B807" s="30">
        <v>0</v>
      </c>
      <c r="C807" s="30">
        <v>10.78</v>
      </c>
      <c r="G807" s="18"/>
    </row>
    <row r="808" spans="1:7" x14ac:dyDescent="0.25">
      <c r="A808" s="30">
        <v>1.3940689916087901</v>
      </c>
      <c r="B808" s="30">
        <v>0</v>
      </c>
      <c r="C808" s="30">
        <v>10.78</v>
      </c>
      <c r="G808" s="18"/>
    </row>
    <row r="809" spans="1:7" x14ac:dyDescent="0.25">
      <c r="A809" s="30">
        <v>0.33915381799903493</v>
      </c>
      <c r="B809" s="30">
        <v>0</v>
      </c>
      <c r="C809" s="30">
        <v>10.78</v>
      </c>
      <c r="G809" s="18"/>
    </row>
    <row r="810" spans="1:7" x14ac:dyDescent="0.25">
      <c r="A810" s="30">
        <v>1.3982748777650504</v>
      </c>
      <c r="B810" s="30">
        <v>0</v>
      </c>
      <c r="C810" s="30">
        <v>10.78</v>
      </c>
      <c r="G810" s="18"/>
    </row>
    <row r="811" spans="1:7" x14ac:dyDescent="0.25">
      <c r="A811" s="30">
        <v>0.31900015665273801</v>
      </c>
      <c r="B811" s="30">
        <v>0</v>
      </c>
      <c r="C811" s="30">
        <v>10.78</v>
      </c>
      <c r="G811" s="18"/>
    </row>
    <row r="812" spans="1:7" x14ac:dyDescent="0.25">
      <c r="A812" s="30">
        <v>1.2476652388381753</v>
      </c>
      <c r="B812" s="30">
        <v>0</v>
      </c>
      <c r="C812" s="30">
        <v>10.78</v>
      </c>
      <c r="G812" s="18"/>
    </row>
    <row r="813" spans="1:7" x14ac:dyDescent="0.25">
      <c r="A813" s="30">
        <v>1.7129714665989368</v>
      </c>
      <c r="B813" s="30">
        <v>0</v>
      </c>
      <c r="C813" s="30">
        <v>10.78</v>
      </c>
      <c r="G813" s="18"/>
    </row>
    <row r="814" spans="1:7" x14ac:dyDescent="0.25">
      <c r="A814" s="30">
        <v>0.97866352070105245</v>
      </c>
      <c r="B814" s="30">
        <v>0</v>
      </c>
      <c r="C814" s="30">
        <v>10.78</v>
      </c>
      <c r="G814" s="18"/>
    </row>
    <row r="815" spans="1:7" x14ac:dyDescent="0.25">
      <c r="A815" s="30">
        <v>6.4156335972280237E-2</v>
      </c>
      <c r="B815" s="30">
        <v>0</v>
      </c>
      <c r="C815" s="30">
        <v>10.78</v>
      </c>
      <c r="G815" s="18"/>
    </row>
    <row r="816" spans="1:7" x14ac:dyDescent="0.25">
      <c r="A816" s="30">
        <v>6.9411723879647197E-2</v>
      </c>
      <c r="B816" s="30">
        <v>0</v>
      </c>
      <c r="C816" s="30">
        <v>20.58</v>
      </c>
      <c r="G816" s="18"/>
    </row>
    <row r="817" spans="1:7" x14ac:dyDescent="0.25">
      <c r="A817" s="30">
        <v>1.5957543897750379</v>
      </c>
      <c r="B817" s="30">
        <v>0</v>
      </c>
      <c r="C817" s="30">
        <v>20.58</v>
      </c>
      <c r="G817" s="18"/>
    </row>
    <row r="818" spans="1:7" x14ac:dyDescent="0.25">
      <c r="A818" s="30">
        <v>1.2589570825664143</v>
      </c>
      <c r="B818" s="30">
        <v>0</v>
      </c>
      <c r="C818" s="30">
        <v>20.58</v>
      </c>
      <c r="G818" s="18"/>
    </row>
    <row r="819" spans="1:7" x14ac:dyDescent="0.25">
      <c r="A819" s="30">
        <v>0.70599846601745775</v>
      </c>
      <c r="B819" s="30">
        <v>0</v>
      </c>
      <c r="C819" s="30">
        <v>20.58</v>
      </c>
      <c r="G819" s="18"/>
    </row>
    <row r="820" spans="1:7" x14ac:dyDescent="0.25">
      <c r="A820" s="30">
        <v>0.29839817324606005</v>
      </c>
      <c r="B820" s="30">
        <v>0</v>
      </c>
      <c r="C820" s="30">
        <v>20.58</v>
      </c>
      <c r="G820" s="18"/>
    </row>
    <row r="821" spans="1:7" x14ac:dyDescent="0.25">
      <c r="A821" s="30">
        <v>0.28355980049697649</v>
      </c>
      <c r="B821" s="30">
        <v>0</v>
      </c>
      <c r="C821" s="30">
        <v>20.58</v>
      </c>
      <c r="G821" s="18"/>
    </row>
    <row r="822" spans="1:7" x14ac:dyDescent="0.25">
      <c r="A822" s="30">
        <v>0.6393747730290199</v>
      </c>
      <c r="B822" s="30">
        <v>0</v>
      </c>
      <c r="C822" s="30">
        <v>20.58</v>
      </c>
      <c r="G822" s="18"/>
    </row>
    <row r="823" spans="1:7" x14ac:dyDescent="0.25">
      <c r="A823" s="30">
        <v>0.28609093870473234</v>
      </c>
      <c r="B823" s="30">
        <v>0</v>
      </c>
      <c r="C823" s="30">
        <v>20.58</v>
      </c>
      <c r="G823" s="18"/>
    </row>
    <row r="824" spans="1:7" x14ac:dyDescent="0.25">
      <c r="A824" s="30">
        <v>0.39741774533424362</v>
      </c>
      <c r="B824" s="30">
        <v>0</v>
      </c>
      <c r="C824" s="30">
        <v>20.58</v>
      </c>
      <c r="G824" s="18"/>
    </row>
    <row r="825" spans="1:7" x14ac:dyDescent="0.25">
      <c r="A825" s="30">
        <v>1.3734003285726957</v>
      </c>
      <c r="B825" s="30">
        <v>0</v>
      </c>
      <c r="C825" s="30">
        <v>20.58</v>
      </c>
      <c r="G825" s="18"/>
    </row>
    <row r="826" spans="1:7" x14ac:dyDescent="0.25">
      <c r="A826" s="30">
        <v>0.41265348299606408</v>
      </c>
      <c r="B826" s="30">
        <v>0</v>
      </c>
      <c r="C826" s="30">
        <v>20.58</v>
      </c>
      <c r="G826" s="18"/>
    </row>
    <row r="827" spans="1:7" x14ac:dyDescent="0.25">
      <c r="A827" s="30">
        <v>0.28423801241020075</v>
      </c>
      <c r="B827" s="30">
        <v>0</v>
      </c>
      <c r="C827" s="30">
        <v>20.58</v>
      </c>
      <c r="G827" s="18"/>
    </row>
    <row r="828" spans="1:7" x14ac:dyDescent="0.25">
      <c r="A828" s="30">
        <v>0.59789357704260016</v>
      </c>
      <c r="B828" s="30">
        <v>0</v>
      </c>
      <c r="C828" s="30">
        <v>20.58</v>
      </c>
      <c r="G828" s="18"/>
    </row>
    <row r="829" spans="1:7" x14ac:dyDescent="0.25">
      <c r="A829" s="30">
        <v>0.2407911034378718</v>
      </c>
      <c r="B829" s="30">
        <v>0</v>
      </c>
      <c r="C829" s="30">
        <v>20.58</v>
      </c>
      <c r="G829" s="18"/>
    </row>
    <row r="830" spans="1:7" x14ac:dyDescent="0.25">
      <c r="A830" s="30">
        <v>0.31468286174399995</v>
      </c>
      <c r="B830" s="30">
        <v>0</v>
      </c>
      <c r="C830" s="30">
        <v>20.58</v>
      </c>
      <c r="G830" s="18"/>
    </row>
    <row r="831" spans="1:7" x14ac:dyDescent="0.25">
      <c r="A831" s="30">
        <v>1.053060232715507</v>
      </c>
      <c r="B831" s="30">
        <v>0</v>
      </c>
      <c r="C831" s="30">
        <v>20.58</v>
      </c>
      <c r="G831" s="18"/>
    </row>
    <row r="832" spans="1:7" x14ac:dyDescent="0.25">
      <c r="A832" s="30">
        <v>1.0064524492835458E-2</v>
      </c>
      <c r="B832" s="30">
        <v>0</v>
      </c>
      <c r="C832" s="30">
        <v>30.799999999999997</v>
      </c>
      <c r="G832" s="18"/>
    </row>
    <row r="833" spans="1:7" x14ac:dyDescent="0.25">
      <c r="A833" s="30">
        <v>2.3591433155604964</v>
      </c>
      <c r="B833" s="30">
        <v>0</v>
      </c>
      <c r="C833" s="30">
        <v>30.799999999999997</v>
      </c>
      <c r="G833" s="18"/>
    </row>
    <row r="834" spans="1:7" x14ac:dyDescent="0.25">
      <c r="A834" s="30">
        <v>1.0052304089264001</v>
      </c>
      <c r="B834" s="30">
        <v>0</v>
      </c>
      <c r="C834" s="30">
        <v>30.799999999999997</v>
      </c>
      <c r="G834" s="18"/>
    </row>
    <row r="835" spans="1:7" x14ac:dyDescent="0.25">
      <c r="A835" s="30">
        <v>0.48541303984919759</v>
      </c>
      <c r="B835" s="30">
        <v>0</v>
      </c>
      <c r="C835" s="30">
        <v>30.799999999999997</v>
      </c>
      <c r="G835" s="18"/>
    </row>
    <row r="836" spans="1:7" x14ac:dyDescent="0.25">
      <c r="A836" s="30">
        <v>0.32784005751374579</v>
      </c>
      <c r="B836" s="30">
        <v>0</v>
      </c>
      <c r="C836" s="30">
        <v>30.799999999999997</v>
      </c>
      <c r="G836" s="18"/>
    </row>
    <row r="837" spans="1:7" x14ac:dyDescent="0.25">
      <c r="A837" s="30">
        <v>2.0798108017657206</v>
      </c>
      <c r="B837" s="30">
        <v>0</v>
      </c>
      <c r="C837" s="30">
        <v>30.799999999999997</v>
      </c>
      <c r="G837" s="18"/>
    </row>
    <row r="838" spans="1:7" x14ac:dyDescent="0.25">
      <c r="A838" s="30">
        <v>1.3340663512562663</v>
      </c>
      <c r="B838" s="30">
        <v>0</v>
      </c>
      <c r="C838" s="30">
        <v>30.799999999999997</v>
      </c>
      <c r="G838" s="18"/>
    </row>
    <row r="839" spans="1:7" x14ac:dyDescent="0.25">
      <c r="A839" s="30">
        <v>1.5264560275095167</v>
      </c>
      <c r="B839" s="30">
        <v>0</v>
      </c>
      <c r="C839" s="30">
        <v>30.799999999999997</v>
      </c>
      <c r="G839" s="18"/>
    </row>
    <row r="840" spans="1:7" x14ac:dyDescent="0.25">
      <c r="A840" s="30">
        <v>0.78573620231347219</v>
      </c>
      <c r="B840" s="30">
        <v>0</v>
      </c>
      <c r="C840" s="30">
        <v>30.799999999999997</v>
      </c>
      <c r="G840" s="18"/>
    </row>
    <row r="841" spans="1:7" x14ac:dyDescent="0.25">
      <c r="A841" s="30">
        <v>0.42692461212245314</v>
      </c>
      <c r="B841" s="30">
        <v>0</v>
      </c>
      <c r="C841" s="30">
        <v>30.799999999999997</v>
      </c>
      <c r="G841" s="18"/>
    </row>
    <row r="842" spans="1:7" x14ac:dyDescent="0.25">
      <c r="A842" s="30">
        <v>6.992359410955222E-2</v>
      </c>
      <c r="B842" s="30">
        <v>0</v>
      </c>
      <c r="C842" s="30">
        <v>30.799999999999997</v>
      </c>
      <c r="G842" s="18"/>
    </row>
    <row r="843" spans="1:7" x14ac:dyDescent="0.25">
      <c r="A843" s="30">
        <v>2.1356819711771937</v>
      </c>
      <c r="B843" s="30">
        <v>0</v>
      </c>
      <c r="C843" s="30">
        <v>30.799999999999997</v>
      </c>
      <c r="G843" s="18"/>
    </row>
    <row r="844" spans="1:7" x14ac:dyDescent="0.25">
      <c r="A844" s="30">
        <v>0.50770807290649711</v>
      </c>
      <c r="B844" s="30">
        <v>0</v>
      </c>
      <c r="C844" s="30">
        <v>30.799999999999997</v>
      </c>
      <c r="G844" s="18"/>
    </row>
    <row r="845" spans="1:7" x14ac:dyDescent="0.25">
      <c r="A845" s="30">
        <v>2.133580024460243</v>
      </c>
      <c r="B845" s="30">
        <v>0</v>
      </c>
      <c r="C845" s="30">
        <v>30.799999999999997</v>
      </c>
      <c r="G845" s="18"/>
    </row>
    <row r="846" spans="1:7" x14ac:dyDescent="0.25">
      <c r="A846" s="30">
        <v>0.16803684892498102</v>
      </c>
      <c r="B846" s="30">
        <v>0</v>
      </c>
      <c r="C846" s="30">
        <v>30.799999999999997</v>
      </c>
      <c r="G846" s="18"/>
    </row>
    <row r="847" spans="1:7" x14ac:dyDescent="0.25">
      <c r="A847" s="30">
        <v>0.12057048696488906</v>
      </c>
      <c r="B847" s="30">
        <v>0</v>
      </c>
      <c r="C847" s="30">
        <v>30.799999999999997</v>
      </c>
      <c r="G847" s="18"/>
    </row>
    <row r="848" spans="1:7" x14ac:dyDescent="0.25">
      <c r="A848" s="30">
        <v>1.2185005284971582</v>
      </c>
      <c r="B848" s="30">
        <v>0</v>
      </c>
      <c r="C848" s="30">
        <v>30.799999999999997</v>
      </c>
      <c r="G848" s="18"/>
    </row>
    <row r="849" spans="1:7" x14ac:dyDescent="0.25">
      <c r="A849" s="30">
        <v>0.81368363949957201</v>
      </c>
      <c r="B849" s="30">
        <v>0</v>
      </c>
      <c r="C849" s="30">
        <v>20.439999999999998</v>
      </c>
      <c r="G849" s="18"/>
    </row>
    <row r="850" spans="1:7" x14ac:dyDescent="0.25">
      <c r="A850" s="30">
        <v>0.19369063065643286</v>
      </c>
      <c r="B850" s="30">
        <v>0</v>
      </c>
      <c r="C850" s="30">
        <v>20.439999999999998</v>
      </c>
      <c r="G850" s="18"/>
    </row>
    <row r="851" spans="1:7" x14ac:dyDescent="0.25">
      <c r="A851" s="30">
        <v>1.9657906765856723</v>
      </c>
      <c r="B851" s="30">
        <v>0</v>
      </c>
      <c r="C851" s="30">
        <v>20.439999999999998</v>
      </c>
      <c r="G851" s="18"/>
    </row>
    <row r="852" spans="1:7" x14ac:dyDescent="0.25">
      <c r="A852" s="30">
        <v>0.3997396635565954</v>
      </c>
      <c r="B852" s="30">
        <v>0</v>
      </c>
      <c r="C852" s="30">
        <v>20.439999999999998</v>
      </c>
      <c r="G852" s="18"/>
    </row>
    <row r="853" spans="1:7" x14ac:dyDescent="0.25">
      <c r="A853" s="30">
        <v>2.2953201583508154</v>
      </c>
      <c r="B853" s="30">
        <v>0</v>
      </c>
      <c r="C853" s="30">
        <v>20.439999999999998</v>
      </c>
      <c r="G853" s="18"/>
    </row>
    <row r="854" spans="1:7" x14ac:dyDescent="0.25">
      <c r="A854" s="30">
        <v>0.31808185941399653</v>
      </c>
      <c r="B854" s="30">
        <v>0</v>
      </c>
      <c r="C854" s="30">
        <v>20.439999999999998</v>
      </c>
      <c r="G854" s="18"/>
    </row>
    <row r="855" spans="1:7" x14ac:dyDescent="0.25">
      <c r="A855" s="30">
        <v>2.0430590521886147</v>
      </c>
      <c r="B855" s="30">
        <v>0</v>
      </c>
      <c r="C855" s="30">
        <v>20.439999999999998</v>
      </c>
      <c r="G855" s="18"/>
    </row>
    <row r="856" spans="1:7" x14ac:dyDescent="0.25">
      <c r="A856" s="30">
        <v>0.48946372127314525</v>
      </c>
      <c r="B856" s="30">
        <v>0</v>
      </c>
      <c r="C856" s="30">
        <v>20.439999999999998</v>
      </c>
      <c r="G856" s="18"/>
    </row>
    <row r="857" spans="1:7" x14ac:dyDescent="0.25">
      <c r="A857" s="30">
        <v>1.0021158882007621</v>
      </c>
      <c r="B857" s="30">
        <v>0</v>
      </c>
      <c r="C857" s="30">
        <v>20.439999999999998</v>
      </c>
      <c r="G857" s="18"/>
    </row>
    <row r="858" spans="1:7" x14ac:dyDescent="0.25">
      <c r="A858" s="30">
        <v>0.56851735976553652</v>
      </c>
      <c r="B858" s="30">
        <v>0</v>
      </c>
      <c r="C858" s="30">
        <v>20.439999999999998</v>
      </c>
      <c r="G858" s="18"/>
    </row>
    <row r="859" spans="1:7" x14ac:dyDescent="0.25">
      <c r="A859" s="30">
        <v>2.2437668894733904</v>
      </c>
      <c r="B859" s="30">
        <v>0</v>
      </c>
      <c r="C859" s="30">
        <v>20.439999999999998</v>
      </c>
      <c r="G859" s="18"/>
    </row>
    <row r="860" spans="1:7" x14ac:dyDescent="0.25">
      <c r="A860" s="30">
        <v>0.20159751803668846</v>
      </c>
      <c r="B860" s="30">
        <v>0</v>
      </c>
      <c r="C860" s="30">
        <v>20.439999999999998</v>
      </c>
      <c r="G860" s="18"/>
    </row>
    <row r="861" spans="1:7" x14ac:dyDescent="0.25">
      <c r="A861" s="30">
        <v>2.2833996335059479</v>
      </c>
      <c r="B861" s="30">
        <v>0</v>
      </c>
      <c r="C861" s="30">
        <v>20.439999999999998</v>
      </c>
      <c r="G861" s="18"/>
    </row>
    <row r="862" spans="1:7" x14ac:dyDescent="0.25">
      <c r="A862" s="30">
        <v>1.1353444057762849</v>
      </c>
      <c r="B862" s="30">
        <v>0</v>
      </c>
      <c r="C862" s="30">
        <v>20.439999999999998</v>
      </c>
      <c r="G862" s="18"/>
    </row>
    <row r="863" spans="1:7" x14ac:dyDescent="0.25">
      <c r="A863" s="30">
        <v>1.2756685530285015</v>
      </c>
      <c r="B863" s="30">
        <v>0</v>
      </c>
      <c r="C863" s="30">
        <v>20.439999999999998</v>
      </c>
      <c r="G863" s="18"/>
    </row>
    <row r="864" spans="1:7" x14ac:dyDescent="0.25">
      <c r="A864" s="30">
        <v>0.18195972841530034</v>
      </c>
      <c r="B864" s="30">
        <v>0</v>
      </c>
      <c r="C864" s="30">
        <v>23.799999999999997</v>
      </c>
      <c r="G864" s="18"/>
    </row>
    <row r="865" spans="1:7" x14ac:dyDescent="0.25">
      <c r="A865" s="30">
        <v>0.14431105023655083</v>
      </c>
      <c r="B865" s="30">
        <v>0</v>
      </c>
      <c r="C865" s="30">
        <v>23.799999999999997</v>
      </c>
      <c r="G865" s="18"/>
    </row>
    <row r="866" spans="1:7" x14ac:dyDescent="0.25">
      <c r="A866" s="30">
        <v>0.3679239607139963</v>
      </c>
      <c r="B866" s="30">
        <v>0</v>
      </c>
      <c r="C866" s="30">
        <v>23.799999999999997</v>
      </c>
      <c r="G866" s="18"/>
    </row>
    <row r="867" spans="1:7" x14ac:dyDescent="0.25">
      <c r="A867" s="30">
        <v>1.1656051448450786</v>
      </c>
      <c r="B867" s="30">
        <v>0</v>
      </c>
      <c r="C867" s="30">
        <v>23.799999999999997</v>
      </c>
      <c r="G867" s="18"/>
    </row>
    <row r="868" spans="1:7" x14ac:dyDescent="0.25">
      <c r="A868" s="30">
        <v>0.59182261562368033</v>
      </c>
      <c r="B868" s="30">
        <v>0</v>
      </c>
      <c r="C868" s="30">
        <v>23.799999999999997</v>
      </c>
      <c r="G868" s="18"/>
    </row>
    <row r="869" spans="1:7" x14ac:dyDescent="0.25">
      <c r="A869" s="30">
        <v>0.72710384711938492</v>
      </c>
      <c r="B869" s="30">
        <v>0</v>
      </c>
      <c r="C869" s="30">
        <v>23.799999999999997</v>
      </c>
      <c r="G869" s="18"/>
    </row>
    <row r="870" spans="1:7" x14ac:dyDescent="0.25">
      <c r="A870" s="30">
        <v>0.12395840778768334</v>
      </c>
      <c r="B870" s="30">
        <v>0</v>
      </c>
      <c r="C870" s="30">
        <v>23.799999999999997</v>
      </c>
      <c r="G870" s="18"/>
    </row>
    <row r="871" spans="1:7" x14ac:dyDescent="0.25">
      <c r="A871" s="30">
        <v>1.2895982100031849</v>
      </c>
      <c r="B871" s="30">
        <v>0</v>
      </c>
      <c r="C871" s="30">
        <v>23.799999999999997</v>
      </c>
      <c r="G871" s="18"/>
    </row>
    <row r="872" spans="1:7" x14ac:dyDescent="0.25">
      <c r="A872" s="30">
        <v>1.0148420475253785</v>
      </c>
      <c r="B872" s="30">
        <v>0</v>
      </c>
      <c r="C872" s="30">
        <v>23.799999999999997</v>
      </c>
      <c r="G872" s="18"/>
    </row>
    <row r="873" spans="1:7" x14ac:dyDescent="0.25">
      <c r="A873" s="30">
        <v>2.3351805368811194</v>
      </c>
      <c r="B873" s="30">
        <v>0</v>
      </c>
      <c r="C873" s="30">
        <v>23.799999999999997</v>
      </c>
      <c r="G873" s="18"/>
    </row>
    <row r="874" spans="1:7" x14ac:dyDescent="0.25">
      <c r="A874" s="30">
        <v>0.69905857704104934</v>
      </c>
      <c r="B874" s="30">
        <v>0</v>
      </c>
      <c r="C874" s="30">
        <v>23.799999999999997</v>
      </c>
      <c r="G874" s="18"/>
    </row>
    <row r="875" spans="1:7" x14ac:dyDescent="0.25">
      <c r="A875" s="30">
        <v>1.7392914548566096</v>
      </c>
      <c r="B875" s="30">
        <v>0</v>
      </c>
      <c r="C875" s="30">
        <v>23.799999999999997</v>
      </c>
      <c r="G875" s="18"/>
    </row>
    <row r="876" spans="1:7" x14ac:dyDescent="0.25">
      <c r="A876" s="30">
        <v>1.3274692187819572</v>
      </c>
      <c r="B876" s="30">
        <v>0</v>
      </c>
      <c r="C876" s="30">
        <v>23.799999999999997</v>
      </c>
      <c r="G876" s="18"/>
    </row>
    <row r="877" spans="1:7" x14ac:dyDescent="0.25">
      <c r="A877" s="30">
        <v>1.0358221797025622</v>
      </c>
      <c r="B877" s="30">
        <v>0</v>
      </c>
      <c r="C877" s="30">
        <v>23.799999999999997</v>
      </c>
      <c r="G877" s="18"/>
    </row>
    <row r="878" spans="1:7" x14ac:dyDescent="0.25">
      <c r="A878" s="30">
        <v>0.29566324213622436</v>
      </c>
      <c r="B878" s="30">
        <v>0</v>
      </c>
      <c r="C878" s="30">
        <v>23.799999999999997</v>
      </c>
      <c r="G878" s="18"/>
    </row>
    <row r="879" spans="1:7" x14ac:dyDescent="0.25">
      <c r="A879" s="30">
        <v>0.34525594016921907</v>
      </c>
      <c r="B879" s="30">
        <v>0</v>
      </c>
      <c r="C879" s="30">
        <v>23.799999999999997</v>
      </c>
      <c r="G879" s="18"/>
    </row>
    <row r="880" spans="1:7" x14ac:dyDescent="0.25">
      <c r="A880" s="30">
        <v>1.3607465468483848</v>
      </c>
      <c r="B880" s="30">
        <v>0</v>
      </c>
      <c r="C880" s="30">
        <v>37.94</v>
      </c>
      <c r="G880" s="18"/>
    </row>
    <row r="881" spans="1:7" x14ac:dyDescent="0.25">
      <c r="A881" s="30">
        <v>1.4760123487748813</v>
      </c>
      <c r="B881" s="30">
        <v>0</v>
      </c>
      <c r="C881" s="30">
        <v>37.94</v>
      </c>
      <c r="G881" s="18"/>
    </row>
    <row r="882" spans="1:7" x14ac:dyDescent="0.25">
      <c r="A882" s="30">
        <v>0.49470630975476981</v>
      </c>
      <c r="B882" s="30">
        <v>0</v>
      </c>
      <c r="C882" s="30">
        <v>37.94</v>
      </c>
      <c r="G882" s="18"/>
    </row>
    <row r="883" spans="1:7" x14ac:dyDescent="0.25">
      <c r="A883" s="30">
        <v>0.42729114194147544</v>
      </c>
      <c r="B883" s="30">
        <v>0</v>
      </c>
      <c r="C883" s="30">
        <v>37.94</v>
      </c>
      <c r="G883" s="18"/>
    </row>
    <row r="884" spans="1:7" x14ac:dyDescent="0.25">
      <c r="A884" s="30">
        <v>0.66045655406051129</v>
      </c>
      <c r="B884" s="30">
        <v>0</v>
      </c>
      <c r="C884" s="30">
        <v>37.94</v>
      </c>
      <c r="G884" s="18"/>
    </row>
    <row r="885" spans="1:7" x14ac:dyDescent="0.25">
      <c r="A885" s="30">
        <v>1.8423868364989435</v>
      </c>
      <c r="B885" s="30">
        <v>0</v>
      </c>
      <c r="C885" s="30">
        <v>37.94</v>
      </c>
      <c r="G885" s="18"/>
    </row>
    <row r="886" spans="1:7" x14ac:dyDescent="0.25">
      <c r="A886" s="30">
        <v>1.133715605051079</v>
      </c>
      <c r="B886" s="30">
        <v>0</v>
      </c>
      <c r="C886" s="30">
        <v>37.94</v>
      </c>
      <c r="G886" s="18"/>
    </row>
    <row r="887" spans="1:7" x14ac:dyDescent="0.25">
      <c r="A887" s="30">
        <v>1.0391028975599019</v>
      </c>
      <c r="B887" s="30">
        <v>0</v>
      </c>
      <c r="C887" s="30">
        <v>37.94</v>
      </c>
      <c r="G887" s="18"/>
    </row>
    <row r="888" spans="1:7" x14ac:dyDescent="0.25">
      <c r="A888" s="30">
        <v>0.80451401458249039</v>
      </c>
      <c r="B888" s="30">
        <v>0</v>
      </c>
      <c r="C888" s="30">
        <v>37.94</v>
      </c>
      <c r="G888" s="18"/>
    </row>
    <row r="889" spans="1:7" x14ac:dyDescent="0.25">
      <c r="A889" s="30">
        <v>0.10922332257096219</v>
      </c>
      <c r="B889" s="30">
        <v>0</v>
      </c>
      <c r="C889" s="30">
        <v>37.94</v>
      </c>
      <c r="G889" s="18"/>
    </row>
    <row r="890" spans="1:7" x14ac:dyDescent="0.25">
      <c r="A890" s="30">
        <v>1.2833592928780051</v>
      </c>
      <c r="B890" s="30">
        <v>0</v>
      </c>
      <c r="C890" s="30">
        <v>37.94</v>
      </c>
      <c r="G890" s="18"/>
    </row>
    <row r="891" spans="1:7" x14ac:dyDescent="0.25">
      <c r="A891" s="30">
        <v>2.1552376295772357</v>
      </c>
      <c r="B891" s="30">
        <v>0</v>
      </c>
      <c r="C891" s="30">
        <v>37.94</v>
      </c>
      <c r="G891" s="18"/>
    </row>
    <row r="892" spans="1:7" x14ac:dyDescent="0.25">
      <c r="A892" s="30">
        <v>0.61677527835447266</v>
      </c>
      <c r="B892" s="30">
        <v>0</v>
      </c>
      <c r="C892" s="30">
        <v>37.94</v>
      </c>
      <c r="G892" s="18"/>
    </row>
    <row r="893" spans="1:7" x14ac:dyDescent="0.25">
      <c r="A893" s="30">
        <v>2.2093183259235376</v>
      </c>
      <c r="B893" s="30">
        <v>0</v>
      </c>
      <c r="C893" s="30">
        <v>37.94</v>
      </c>
      <c r="G893" s="18"/>
    </row>
    <row r="894" spans="1:7" x14ac:dyDescent="0.25">
      <c r="A894" s="30">
        <v>0.4928472963938294</v>
      </c>
      <c r="B894" s="30">
        <v>0</v>
      </c>
      <c r="C894" s="30">
        <v>37.94</v>
      </c>
      <c r="G894" s="18"/>
    </row>
    <row r="895" spans="1:7" x14ac:dyDescent="0.25">
      <c r="A895" s="30">
        <v>0.85857388663201362</v>
      </c>
      <c r="B895" s="30">
        <v>0</v>
      </c>
      <c r="C895" s="30">
        <v>37.94</v>
      </c>
      <c r="G895" s="18"/>
    </row>
    <row r="896" spans="1:7" x14ac:dyDescent="0.25">
      <c r="A896" s="30">
        <v>0.91998701921869319</v>
      </c>
      <c r="B896" s="30">
        <v>0</v>
      </c>
      <c r="C896" s="30">
        <v>39.619999999999997</v>
      </c>
      <c r="G896" s="18"/>
    </row>
    <row r="897" spans="1:7" x14ac:dyDescent="0.25">
      <c r="A897" s="30">
        <v>1.4023733054771319</v>
      </c>
      <c r="B897" s="30">
        <v>0</v>
      </c>
      <c r="C897" s="30">
        <v>39.619999999999997</v>
      </c>
      <c r="G897" s="18"/>
    </row>
    <row r="898" spans="1:7" x14ac:dyDescent="0.25">
      <c r="A898" s="30">
        <v>0.23292252975854871</v>
      </c>
      <c r="B898" s="30">
        <v>0</v>
      </c>
      <c r="C898" s="30">
        <v>39.619999999999997</v>
      </c>
      <c r="G898" s="18"/>
    </row>
    <row r="899" spans="1:7" x14ac:dyDescent="0.25">
      <c r="A899" s="30">
        <v>1.5425764031702229</v>
      </c>
      <c r="B899" s="30">
        <v>0</v>
      </c>
      <c r="C899" s="30">
        <v>39.619999999999997</v>
      </c>
      <c r="G899" s="18"/>
    </row>
    <row r="900" spans="1:7" x14ac:dyDescent="0.25">
      <c r="A900" s="30">
        <v>0.77094643215827929</v>
      </c>
      <c r="B900" s="30">
        <v>0</v>
      </c>
      <c r="C900" s="30">
        <v>39.619999999999997</v>
      </c>
      <c r="G900" s="18"/>
    </row>
    <row r="901" spans="1:7" x14ac:dyDescent="0.25">
      <c r="A901" s="30">
        <v>1.9567369282226132</v>
      </c>
      <c r="B901" s="30">
        <v>0</v>
      </c>
      <c r="C901" s="30">
        <v>39.619999999999997</v>
      </c>
      <c r="G901" s="18"/>
    </row>
    <row r="902" spans="1:7" x14ac:dyDescent="0.25">
      <c r="A902" s="30">
        <v>1.136652487708609</v>
      </c>
      <c r="B902" s="30">
        <v>0</v>
      </c>
      <c r="C902" s="30">
        <v>39.619999999999997</v>
      </c>
      <c r="G902" s="18"/>
    </row>
    <row r="903" spans="1:7" x14ac:dyDescent="0.25">
      <c r="A903" s="30">
        <v>1.0792080372955017</v>
      </c>
      <c r="B903" s="30">
        <v>0</v>
      </c>
      <c r="C903" s="30">
        <v>39.619999999999997</v>
      </c>
      <c r="G903" s="18"/>
    </row>
    <row r="904" spans="1:7" x14ac:dyDescent="0.25">
      <c r="A904" s="30">
        <v>1.1853583296146637</v>
      </c>
      <c r="B904" s="30">
        <v>0</v>
      </c>
      <c r="C904" s="30">
        <v>39.619999999999997</v>
      </c>
      <c r="G904" s="18"/>
    </row>
    <row r="905" spans="1:7" x14ac:dyDescent="0.25">
      <c r="A905" s="30">
        <v>1.0337238711349912</v>
      </c>
      <c r="B905" s="30">
        <v>0</v>
      </c>
      <c r="C905" s="30">
        <v>39.619999999999997</v>
      </c>
      <c r="G905" s="18"/>
    </row>
    <row r="906" spans="1:7" x14ac:dyDescent="0.25">
      <c r="A906" s="30">
        <v>9.6324597273044071E-2</v>
      </c>
      <c r="B906" s="30">
        <v>0</v>
      </c>
      <c r="C906" s="30">
        <v>39.619999999999997</v>
      </c>
      <c r="G906" s="18"/>
    </row>
    <row r="907" spans="1:7" x14ac:dyDescent="0.25">
      <c r="A907" s="30">
        <v>1.9718508924698757</v>
      </c>
      <c r="B907" s="30">
        <v>0</v>
      </c>
      <c r="C907" s="30">
        <v>39.619999999999997</v>
      </c>
      <c r="G907" s="18"/>
    </row>
    <row r="908" spans="1:7" x14ac:dyDescent="0.25">
      <c r="A908" s="30">
        <v>0.10947077230234259</v>
      </c>
      <c r="B908" s="30">
        <v>0</v>
      </c>
      <c r="C908" s="30">
        <v>39.619999999999997</v>
      </c>
      <c r="G908" s="18"/>
    </row>
    <row r="909" spans="1:7" x14ac:dyDescent="0.25">
      <c r="A909" s="30">
        <v>1.311922776490178</v>
      </c>
      <c r="B909" s="30">
        <v>0</v>
      </c>
      <c r="C909" s="30">
        <v>39.619999999999997</v>
      </c>
      <c r="G909" s="18"/>
    </row>
    <row r="910" spans="1:7" x14ac:dyDescent="0.25">
      <c r="A910" s="30">
        <v>0.77224954551352731</v>
      </c>
      <c r="B910" s="30">
        <v>0</v>
      </c>
      <c r="C910" s="30">
        <v>39.619999999999997</v>
      </c>
      <c r="G910" s="18"/>
    </row>
    <row r="911" spans="1:7" x14ac:dyDescent="0.25">
      <c r="A911" s="30">
        <v>1.3096678078743467</v>
      </c>
      <c r="B911" s="30">
        <v>0</v>
      </c>
      <c r="C911" s="30">
        <v>39.619999999999997</v>
      </c>
      <c r="G911" s="18"/>
    </row>
    <row r="912" spans="1:7" x14ac:dyDescent="0.25">
      <c r="A912" s="30">
        <v>1.3655007700044457</v>
      </c>
      <c r="B912" s="30">
        <v>0</v>
      </c>
      <c r="C912" s="30">
        <v>39.619999999999997</v>
      </c>
      <c r="G912" s="18"/>
    </row>
    <row r="913" spans="1:7" x14ac:dyDescent="0.25">
      <c r="A913" s="30">
        <v>0.1367053139661234</v>
      </c>
      <c r="B913" s="30">
        <v>0</v>
      </c>
      <c r="C913" s="30">
        <v>32.199999999999996</v>
      </c>
      <c r="G913" s="18"/>
    </row>
    <row r="914" spans="1:7" x14ac:dyDescent="0.25">
      <c r="A914" s="30">
        <v>0.55327775422008907</v>
      </c>
      <c r="B914" s="30">
        <v>0</v>
      </c>
      <c r="C914" s="30">
        <v>32.199999999999996</v>
      </c>
      <c r="G914" s="18"/>
    </row>
    <row r="915" spans="1:7" x14ac:dyDescent="0.25">
      <c r="A915" s="30">
        <v>1.0922839191593323</v>
      </c>
      <c r="B915" s="30">
        <v>0</v>
      </c>
      <c r="C915" s="30">
        <v>32.199999999999996</v>
      </c>
      <c r="G915" s="18"/>
    </row>
    <row r="916" spans="1:7" x14ac:dyDescent="0.25">
      <c r="A916" s="30">
        <v>0.64857219916217956</v>
      </c>
      <c r="B916" s="30">
        <v>0</v>
      </c>
      <c r="C916" s="30">
        <v>32.199999999999996</v>
      </c>
      <c r="G916" s="18"/>
    </row>
    <row r="917" spans="1:7" x14ac:dyDescent="0.25">
      <c r="A917" s="30">
        <v>1.9673378278166904</v>
      </c>
      <c r="B917" s="30">
        <v>0</v>
      </c>
      <c r="C917" s="30">
        <v>32.199999999999996</v>
      </c>
      <c r="G917" s="18"/>
    </row>
    <row r="918" spans="1:7" x14ac:dyDescent="0.25">
      <c r="A918" s="30">
        <v>1.1069155202741974</v>
      </c>
      <c r="B918" s="30">
        <v>0</v>
      </c>
      <c r="C918" s="30">
        <v>32.199999999999996</v>
      </c>
      <c r="G918" s="18"/>
    </row>
    <row r="919" spans="1:7" x14ac:dyDescent="0.25">
      <c r="A919" s="30">
        <v>1.3745556660765734</v>
      </c>
      <c r="B919" s="30">
        <v>0</v>
      </c>
      <c r="C919" s="30">
        <v>32.199999999999996</v>
      </c>
      <c r="G919" s="18"/>
    </row>
    <row r="920" spans="1:7" x14ac:dyDescent="0.25">
      <c r="A920" s="30">
        <v>1.2285351603268448</v>
      </c>
      <c r="B920" s="30">
        <v>0</v>
      </c>
      <c r="C920" s="30">
        <v>32.199999999999996</v>
      </c>
      <c r="G920" s="18"/>
    </row>
    <row r="921" spans="1:7" x14ac:dyDescent="0.25">
      <c r="A921" s="30">
        <v>1.8054781428861921</v>
      </c>
      <c r="B921" s="30">
        <v>0</v>
      </c>
      <c r="C921" s="30">
        <v>32.199999999999996</v>
      </c>
      <c r="G921" s="18"/>
    </row>
    <row r="922" spans="1:7" x14ac:dyDescent="0.25">
      <c r="A922" s="30">
        <v>0.10557600152677324</v>
      </c>
      <c r="B922" s="30">
        <v>0</v>
      </c>
      <c r="C922" s="30">
        <v>32.199999999999996</v>
      </c>
      <c r="G922" s="18"/>
    </row>
    <row r="923" spans="1:7" x14ac:dyDescent="0.25">
      <c r="A923" s="30">
        <v>0.1774461038970773</v>
      </c>
      <c r="B923" s="30">
        <v>0</v>
      </c>
      <c r="C923" s="30">
        <v>32.199999999999996</v>
      </c>
      <c r="G923" s="18"/>
    </row>
    <row r="924" spans="1:7" x14ac:dyDescent="0.25">
      <c r="A924" s="30">
        <v>0.9547466709403295</v>
      </c>
      <c r="B924" s="30">
        <v>0</v>
      </c>
      <c r="C924" s="30">
        <v>32.199999999999996</v>
      </c>
      <c r="G924" s="18"/>
    </row>
    <row r="925" spans="1:7" x14ac:dyDescent="0.25">
      <c r="A925" s="30">
        <v>1.5983253787986371</v>
      </c>
      <c r="B925" s="30">
        <v>0</v>
      </c>
      <c r="C925" s="30">
        <v>32.199999999999996</v>
      </c>
      <c r="G925" s="18"/>
    </row>
    <row r="926" spans="1:7" x14ac:dyDescent="0.25">
      <c r="A926" s="30">
        <v>0.97661847434962079</v>
      </c>
      <c r="B926" s="30">
        <v>0</v>
      </c>
      <c r="C926" s="30">
        <v>32.199999999999996</v>
      </c>
      <c r="G926" s="18"/>
    </row>
    <row r="927" spans="1:7" x14ac:dyDescent="0.25">
      <c r="A927" s="30">
        <v>1.326696733951112</v>
      </c>
      <c r="B927" s="30">
        <v>0</v>
      </c>
      <c r="C927" s="30">
        <v>32.199999999999996</v>
      </c>
      <c r="G927" s="18"/>
    </row>
    <row r="928" spans="1:7" x14ac:dyDescent="0.25">
      <c r="A928" s="30">
        <v>0.64218025321380567</v>
      </c>
      <c r="B928" s="30">
        <v>0</v>
      </c>
      <c r="C928" s="30">
        <v>32.199999999999996</v>
      </c>
      <c r="G928" s="18"/>
    </row>
    <row r="929" spans="1:7" x14ac:dyDescent="0.25">
      <c r="A929" s="30">
        <v>0.77274054870071074</v>
      </c>
      <c r="B929" s="30">
        <v>0</v>
      </c>
      <c r="C929" s="30">
        <v>32.199999999999996</v>
      </c>
      <c r="G929" s="18"/>
    </row>
    <row r="930" spans="1:7" x14ac:dyDescent="0.25">
      <c r="A930" s="30">
        <v>0.72495782397751818</v>
      </c>
      <c r="B930" s="30">
        <v>0</v>
      </c>
      <c r="C930" s="30">
        <v>27.859999999999996</v>
      </c>
      <c r="G930" s="18"/>
    </row>
    <row r="931" spans="1:7" x14ac:dyDescent="0.25">
      <c r="A931" s="30">
        <v>1.7342567176253438</v>
      </c>
      <c r="B931" s="30">
        <v>0</v>
      </c>
      <c r="C931" s="30">
        <v>27.859999999999996</v>
      </c>
      <c r="G931" s="18"/>
    </row>
    <row r="932" spans="1:7" x14ac:dyDescent="0.25">
      <c r="A932" s="30">
        <v>1.3577686498981609</v>
      </c>
      <c r="B932" s="30">
        <v>0</v>
      </c>
      <c r="C932" s="30">
        <v>27.859999999999996</v>
      </c>
      <c r="G932" s="18"/>
    </row>
    <row r="933" spans="1:7" x14ac:dyDescent="0.25">
      <c r="A933" s="30">
        <v>2.3261414435648748</v>
      </c>
      <c r="B933" s="30">
        <v>0</v>
      </c>
      <c r="C933" s="30">
        <v>27.859999999999996</v>
      </c>
      <c r="G933" s="18"/>
    </row>
    <row r="934" spans="1:7" x14ac:dyDescent="0.25">
      <c r="A934" s="30">
        <v>0.74608343660510823</v>
      </c>
      <c r="B934" s="30">
        <v>0</v>
      </c>
      <c r="C934" s="30">
        <v>27.859999999999996</v>
      </c>
      <c r="G934" s="18"/>
    </row>
    <row r="935" spans="1:7" x14ac:dyDescent="0.25">
      <c r="A935" s="30">
        <v>1.2557261871050183</v>
      </c>
      <c r="B935" s="30">
        <v>0</v>
      </c>
      <c r="C935" s="30">
        <v>27.859999999999996</v>
      </c>
      <c r="G935" s="18"/>
    </row>
    <row r="936" spans="1:7" x14ac:dyDescent="0.25">
      <c r="A936" s="30">
        <v>0.41710454122423374</v>
      </c>
      <c r="B936" s="30">
        <v>0</v>
      </c>
      <c r="C936" s="30">
        <v>27.859999999999996</v>
      </c>
      <c r="G936" s="18"/>
    </row>
    <row r="937" spans="1:7" x14ac:dyDescent="0.25">
      <c r="A937" s="30">
        <v>0.10524169681429933</v>
      </c>
      <c r="B937" s="30">
        <v>0</v>
      </c>
      <c r="C937" s="30">
        <v>27.859999999999996</v>
      </c>
      <c r="G937" s="18"/>
    </row>
    <row r="938" spans="1:7" x14ac:dyDescent="0.25">
      <c r="A938" s="30">
        <v>1.3913008001452236</v>
      </c>
      <c r="B938" s="30">
        <v>0</v>
      </c>
      <c r="C938" s="30">
        <v>27.859999999999996</v>
      </c>
      <c r="G938" s="18"/>
    </row>
    <row r="939" spans="1:7" x14ac:dyDescent="0.25">
      <c r="A939" s="30">
        <v>1.8845297754029691</v>
      </c>
      <c r="B939" s="30">
        <v>0</v>
      </c>
      <c r="C939" s="30">
        <v>27.859999999999996</v>
      </c>
      <c r="G939" s="18"/>
    </row>
    <row r="940" spans="1:7" x14ac:dyDescent="0.25">
      <c r="A940" s="30">
        <v>0.87162101858901353</v>
      </c>
      <c r="B940" s="30">
        <v>0</v>
      </c>
      <c r="C940" s="30">
        <v>27.859999999999996</v>
      </c>
      <c r="G940" s="18"/>
    </row>
    <row r="941" spans="1:7" x14ac:dyDescent="0.25">
      <c r="A941" s="30">
        <v>1.8300487425735952</v>
      </c>
      <c r="B941" s="30">
        <v>0</v>
      </c>
      <c r="C941" s="30">
        <v>27.859999999999996</v>
      </c>
      <c r="G941" s="18"/>
    </row>
    <row r="942" spans="1:7" x14ac:dyDescent="0.25">
      <c r="A942" s="30">
        <v>1.0772805299545705</v>
      </c>
      <c r="B942" s="30">
        <v>0</v>
      </c>
      <c r="C942" s="30">
        <v>27.859999999999996</v>
      </c>
      <c r="G942" s="18"/>
    </row>
    <row r="943" spans="1:7" x14ac:dyDescent="0.25">
      <c r="A943" s="30">
        <v>2.3883455117853947</v>
      </c>
      <c r="B943" s="30">
        <v>0</v>
      </c>
      <c r="C943" s="30">
        <v>27.859999999999996</v>
      </c>
      <c r="G943" s="18"/>
    </row>
    <row r="944" spans="1:7" x14ac:dyDescent="0.25">
      <c r="A944" s="30">
        <v>0.21831791843905712</v>
      </c>
      <c r="B944" s="30">
        <v>0</v>
      </c>
      <c r="C944" s="30">
        <v>27.859999999999996</v>
      </c>
      <c r="G944" s="18"/>
    </row>
    <row r="945" spans="1:7" x14ac:dyDescent="0.25">
      <c r="A945" s="30">
        <v>4.0910317205693672E-2</v>
      </c>
      <c r="B945" s="30">
        <v>0</v>
      </c>
      <c r="C945" s="30">
        <v>27.859999999999996</v>
      </c>
      <c r="G945" s="18"/>
    </row>
    <row r="946" spans="1:7" x14ac:dyDescent="0.25">
      <c r="A946" s="30">
        <v>1.1933222857224428</v>
      </c>
      <c r="B946" s="30">
        <v>0</v>
      </c>
      <c r="C946" s="30">
        <v>27.859999999999996</v>
      </c>
      <c r="G946" s="18"/>
    </row>
    <row r="947" spans="1:7" x14ac:dyDescent="0.25">
      <c r="A947" s="30">
        <v>1.2453907442271503</v>
      </c>
      <c r="B947" s="30">
        <v>0</v>
      </c>
      <c r="C947" s="30">
        <v>33.74</v>
      </c>
      <c r="G947" s="18"/>
    </row>
    <row r="948" spans="1:7" x14ac:dyDescent="0.25">
      <c r="A948" s="30">
        <v>0.42704066090410919</v>
      </c>
      <c r="B948" s="30">
        <v>0</v>
      </c>
      <c r="C948" s="30">
        <v>33.74</v>
      </c>
      <c r="G948" s="18"/>
    </row>
    <row r="949" spans="1:7" x14ac:dyDescent="0.25">
      <c r="A949" s="30">
        <v>1.530745008955841</v>
      </c>
      <c r="B949" s="30">
        <v>0</v>
      </c>
      <c r="C949" s="30">
        <v>33.74</v>
      </c>
      <c r="G949" s="18"/>
    </row>
    <row r="950" spans="1:7" x14ac:dyDescent="0.25">
      <c r="A950" s="30">
        <v>0.89273580692575227</v>
      </c>
      <c r="B950" s="30">
        <v>0</v>
      </c>
      <c r="C950" s="30">
        <v>33.74</v>
      </c>
      <c r="G950" s="18"/>
    </row>
    <row r="951" spans="1:7" x14ac:dyDescent="0.25">
      <c r="A951" s="30">
        <v>2.1563244812149924</v>
      </c>
      <c r="B951" s="30">
        <v>0</v>
      </c>
      <c r="C951" s="30">
        <v>33.74</v>
      </c>
      <c r="G951" s="18"/>
    </row>
    <row r="952" spans="1:7" x14ac:dyDescent="0.25">
      <c r="A952" s="30">
        <v>0.68349434105092044</v>
      </c>
      <c r="B952" s="30">
        <v>0</v>
      </c>
      <c r="C952" s="30">
        <v>33.74</v>
      </c>
      <c r="G952" s="18"/>
    </row>
    <row r="953" spans="1:7" x14ac:dyDescent="0.25">
      <c r="A953" s="30">
        <v>0.50937054051769848</v>
      </c>
      <c r="B953" s="30">
        <v>0</v>
      </c>
      <c r="C953" s="30">
        <v>33.74</v>
      </c>
      <c r="G953" s="18"/>
    </row>
    <row r="954" spans="1:7" x14ac:dyDescent="0.25">
      <c r="A954" s="30">
        <v>0.63184881964061135</v>
      </c>
      <c r="B954" s="30">
        <v>0</v>
      </c>
      <c r="C954" s="30">
        <v>33.74</v>
      </c>
      <c r="G954" s="18"/>
    </row>
    <row r="955" spans="1:7" x14ac:dyDescent="0.25">
      <c r="A955" s="30">
        <v>0.35895721736039821</v>
      </c>
      <c r="B955" s="30">
        <v>0</v>
      </c>
      <c r="C955" s="30">
        <v>33.74</v>
      </c>
      <c r="G955" s="18"/>
    </row>
    <row r="956" spans="1:7" x14ac:dyDescent="0.25">
      <c r="A956" s="30">
        <v>1.2760193868696486</v>
      </c>
      <c r="B956" s="30">
        <v>0</v>
      </c>
      <c r="C956" s="30">
        <v>33.74</v>
      </c>
      <c r="G956" s="18"/>
    </row>
    <row r="957" spans="1:7" x14ac:dyDescent="0.25">
      <c r="A957" s="30">
        <v>1.6965464334555875</v>
      </c>
      <c r="B957" s="30">
        <v>0</v>
      </c>
      <c r="C957" s="30">
        <v>33.74</v>
      </c>
      <c r="G957" s="18"/>
    </row>
    <row r="958" spans="1:7" x14ac:dyDescent="0.25">
      <c r="A958" s="30">
        <v>0.88520159857373903</v>
      </c>
      <c r="B958" s="30">
        <v>0</v>
      </c>
      <c r="C958" s="30">
        <v>33.74</v>
      </c>
      <c r="G958" s="18"/>
    </row>
    <row r="959" spans="1:7" x14ac:dyDescent="0.25">
      <c r="A959" s="30">
        <v>2.2813196124348361</v>
      </c>
      <c r="B959" s="30">
        <v>0</v>
      </c>
      <c r="C959" s="30">
        <v>33.74</v>
      </c>
      <c r="G959" s="18"/>
    </row>
    <row r="960" spans="1:7" x14ac:dyDescent="0.25">
      <c r="A960" s="30">
        <v>0.32041956206136107</v>
      </c>
      <c r="B960" s="30">
        <v>0</v>
      </c>
      <c r="C960" s="30">
        <v>33.74</v>
      </c>
      <c r="G960" s="18"/>
    </row>
    <row r="961" spans="1:7" x14ac:dyDescent="0.25">
      <c r="A961" s="30">
        <v>1.6062350126462612</v>
      </c>
      <c r="B961" s="30">
        <v>0</v>
      </c>
      <c r="C961" s="30">
        <v>33.74</v>
      </c>
      <c r="G961" s="18"/>
    </row>
    <row r="962" spans="1:7" x14ac:dyDescent="0.25">
      <c r="A962" s="30">
        <v>0.40283032759275017</v>
      </c>
      <c r="B962" s="30">
        <v>0</v>
      </c>
      <c r="C962" s="30">
        <v>33.74</v>
      </c>
      <c r="G962" s="18"/>
    </row>
    <row r="963" spans="1:7" x14ac:dyDescent="0.25">
      <c r="A963" s="30">
        <v>1.5161620636066058</v>
      </c>
      <c r="B963" s="30">
        <v>0</v>
      </c>
      <c r="C963" s="30">
        <v>12.459999999999999</v>
      </c>
      <c r="G963" s="18"/>
    </row>
    <row r="964" spans="1:7" x14ac:dyDescent="0.25">
      <c r="A964" s="30">
        <v>0.56845091621388766</v>
      </c>
      <c r="B964" s="30">
        <v>0</v>
      </c>
      <c r="C964" s="30">
        <v>12.459999999999999</v>
      </c>
      <c r="G964" s="18"/>
    </row>
    <row r="965" spans="1:7" x14ac:dyDescent="0.25">
      <c r="A965" s="30">
        <v>0.34919453884317608</v>
      </c>
      <c r="B965" s="30">
        <v>0</v>
      </c>
      <c r="C965" s="30">
        <v>12.459999999999999</v>
      </c>
      <c r="G965" s="18"/>
    </row>
    <row r="966" spans="1:7" x14ac:dyDescent="0.25">
      <c r="A966" s="30">
        <v>0.30651882540933684</v>
      </c>
      <c r="B966" s="30">
        <v>0</v>
      </c>
      <c r="C966" s="30">
        <v>12.459999999999999</v>
      </c>
      <c r="G966" s="18"/>
    </row>
    <row r="967" spans="1:7" x14ac:dyDescent="0.25">
      <c r="A967" s="30">
        <v>0.79969783586353127</v>
      </c>
      <c r="B967" s="30">
        <v>0</v>
      </c>
      <c r="C967" s="30">
        <v>12.459999999999999</v>
      </c>
      <c r="G967" s="18"/>
    </row>
    <row r="968" spans="1:7" x14ac:dyDescent="0.25">
      <c r="A968" s="30">
        <v>1.1496770782942554</v>
      </c>
      <c r="B968" s="30">
        <v>0</v>
      </c>
      <c r="C968" s="30">
        <v>12.459999999999999</v>
      </c>
      <c r="G968" s="18"/>
    </row>
    <row r="969" spans="1:7" x14ac:dyDescent="0.25">
      <c r="A969" s="30">
        <v>1.306371166646155</v>
      </c>
      <c r="B969" s="30">
        <v>0</v>
      </c>
      <c r="C969" s="30">
        <v>12.459999999999999</v>
      </c>
      <c r="G969" s="18"/>
    </row>
    <row r="970" spans="1:7" x14ac:dyDescent="0.25">
      <c r="A970" s="30">
        <v>0.70740500098278347</v>
      </c>
      <c r="B970" s="30">
        <v>0</v>
      </c>
      <c r="C970" s="30">
        <v>12.459999999999999</v>
      </c>
      <c r="G970" s="18"/>
    </row>
    <row r="971" spans="1:7" x14ac:dyDescent="0.25">
      <c r="A971" s="30">
        <v>0.81153774353704189</v>
      </c>
      <c r="B971" s="30">
        <v>0</v>
      </c>
      <c r="C971" s="30">
        <v>12.459999999999999</v>
      </c>
      <c r="G971" s="18"/>
    </row>
    <row r="972" spans="1:7" x14ac:dyDescent="0.25">
      <c r="A972" s="30">
        <v>1.3438201239657712</v>
      </c>
      <c r="B972" s="30">
        <v>0</v>
      </c>
      <c r="C972" s="30">
        <v>12.459999999999999</v>
      </c>
      <c r="G972" s="18"/>
    </row>
    <row r="973" spans="1:7" x14ac:dyDescent="0.25">
      <c r="A973" s="30">
        <v>1.5145294072091917</v>
      </c>
      <c r="B973" s="30">
        <v>0</v>
      </c>
      <c r="C973" s="30">
        <v>12.459999999999999</v>
      </c>
      <c r="G973" s="18"/>
    </row>
    <row r="974" spans="1:7" x14ac:dyDescent="0.25">
      <c r="A974" s="30">
        <v>0.62103192845694266</v>
      </c>
      <c r="B974" s="30">
        <v>0</v>
      </c>
      <c r="C974" s="30">
        <v>12.459999999999999</v>
      </c>
      <c r="G974" s="18"/>
    </row>
    <row r="975" spans="1:7" x14ac:dyDescent="0.25">
      <c r="A975" s="30">
        <v>0.71892650980801309</v>
      </c>
      <c r="B975" s="30">
        <v>0</v>
      </c>
      <c r="C975" s="30">
        <v>12.459999999999999</v>
      </c>
      <c r="G975" s="18"/>
    </row>
    <row r="976" spans="1:7" x14ac:dyDescent="0.25">
      <c r="A976" s="30">
        <v>0.82587370305464736</v>
      </c>
      <c r="B976" s="30">
        <v>0</v>
      </c>
      <c r="C976" s="30">
        <v>12.459999999999999</v>
      </c>
      <c r="G976" s="18"/>
    </row>
    <row r="977" spans="1:7" x14ac:dyDescent="0.25">
      <c r="A977" s="30">
        <v>0.2092840213537909</v>
      </c>
      <c r="B977" s="30">
        <v>0</v>
      </c>
      <c r="C977" s="30">
        <v>12.459999999999999</v>
      </c>
      <c r="G977" s="18"/>
    </row>
    <row r="978" spans="1:7" x14ac:dyDescent="0.25">
      <c r="A978" s="30">
        <v>0.37122861377229366</v>
      </c>
      <c r="B978" s="30">
        <v>0</v>
      </c>
      <c r="C978" s="30">
        <v>12.459999999999999</v>
      </c>
      <c r="G978" s="18"/>
    </row>
    <row r="979" spans="1:7" x14ac:dyDescent="0.25">
      <c r="A979" s="30">
        <v>1.043658232450198</v>
      </c>
      <c r="B979" s="30">
        <v>0</v>
      </c>
      <c r="C979" s="30">
        <v>12.459999999999999</v>
      </c>
      <c r="G979" s="18"/>
    </row>
    <row r="980" spans="1:7" x14ac:dyDescent="0.25">
      <c r="A980" s="30">
        <v>0.83701426164726589</v>
      </c>
      <c r="B980" s="30">
        <v>0</v>
      </c>
      <c r="C980" s="30">
        <v>10.92</v>
      </c>
      <c r="G980" s="18"/>
    </row>
    <row r="981" spans="1:7" x14ac:dyDescent="0.25">
      <c r="A981" s="30">
        <v>2.3564691738322843</v>
      </c>
      <c r="B981" s="30">
        <v>0</v>
      </c>
      <c r="C981" s="30">
        <v>10.92</v>
      </c>
      <c r="G981" s="18"/>
    </row>
    <row r="982" spans="1:7" x14ac:dyDescent="0.25">
      <c r="A982" s="30">
        <v>0.31109629682124768</v>
      </c>
      <c r="B982" s="30">
        <v>0</v>
      </c>
      <c r="C982" s="30">
        <v>10.92</v>
      </c>
      <c r="G982" s="18"/>
    </row>
    <row r="983" spans="1:7" x14ac:dyDescent="0.25">
      <c r="A983" s="30">
        <v>0.51985089971919896</v>
      </c>
      <c r="B983" s="30">
        <v>0</v>
      </c>
      <c r="C983" s="30">
        <v>10.92</v>
      </c>
      <c r="G983" s="18"/>
    </row>
    <row r="984" spans="1:7" x14ac:dyDescent="0.25">
      <c r="A984" s="30">
        <v>1.2069135870206507</v>
      </c>
      <c r="B984" s="30">
        <v>0</v>
      </c>
      <c r="C984" s="30">
        <v>10.92</v>
      </c>
      <c r="G984" s="18"/>
    </row>
    <row r="985" spans="1:7" x14ac:dyDescent="0.25">
      <c r="A985" s="30">
        <v>0.69076822605431121</v>
      </c>
      <c r="B985" s="30">
        <v>0</v>
      </c>
      <c r="C985" s="30">
        <v>10.92</v>
      </c>
      <c r="G985" s="18"/>
    </row>
    <row r="986" spans="1:7" x14ac:dyDescent="0.25">
      <c r="A986" s="30">
        <v>0.35119992777353132</v>
      </c>
      <c r="B986" s="30">
        <v>0</v>
      </c>
      <c r="C986" s="30">
        <v>10.92</v>
      </c>
      <c r="G986" s="18"/>
    </row>
    <row r="987" spans="1:7" x14ac:dyDescent="0.25">
      <c r="A987" s="30">
        <v>0.93029609786989642</v>
      </c>
      <c r="B987" s="30">
        <v>0</v>
      </c>
      <c r="C987" s="30">
        <v>10.92</v>
      </c>
      <c r="G987" s="18"/>
    </row>
    <row r="988" spans="1:7" x14ac:dyDescent="0.25">
      <c r="A988" s="30">
        <v>1.3156583750810955</v>
      </c>
      <c r="B988" s="30">
        <v>0</v>
      </c>
      <c r="C988" s="30">
        <v>10.92</v>
      </c>
      <c r="G988" s="18"/>
    </row>
    <row r="989" spans="1:7" x14ac:dyDescent="0.25">
      <c r="A989" s="30">
        <v>2.0181097576656688</v>
      </c>
      <c r="B989" s="30">
        <v>0</v>
      </c>
      <c r="C989" s="30">
        <v>10.92</v>
      </c>
      <c r="G989" s="18"/>
    </row>
    <row r="990" spans="1:7" x14ac:dyDescent="0.25">
      <c r="A990" s="30">
        <v>1.0749160561876903</v>
      </c>
      <c r="B990" s="30">
        <v>0</v>
      </c>
      <c r="C990" s="30">
        <v>10.92</v>
      </c>
      <c r="G990" s="18"/>
    </row>
    <row r="991" spans="1:7" x14ac:dyDescent="0.25">
      <c r="A991" s="30">
        <v>1.4627184724915026</v>
      </c>
      <c r="B991" s="30">
        <v>0</v>
      </c>
      <c r="C991" s="30">
        <v>10.92</v>
      </c>
      <c r="G991" s="18"/>
    </row>
    <row r="992" spans="1:7" x14ac:dyDescent="0.25">
      <c r="A992" s="30">
        <v>0.58253264138005512</v>
      </c>
      <c r="B992" s="30">
        <v>0</v>
      </c>
      <c r="C992" s="30">
        <v>10.92</v>
      </c>
      <c r="G992" s="18"/>
    </row>
    <row r="993" spans="1:7" x14ac:dyDescent="0.25">
      <c r="A993" s="30">
        <v>1.4982410083801927</v>
      </c>
      <c r="B993" s="30">
        <v>0</v>
      </c>
      <c r="C993" s="30">
        <v>10.92</v>
      </c>
      <c r="G993" s="18"/>
    </row>
    <row r="994" spans="1:7" x14ac:dyDescent="0.25">
      <c r="A994" s="30">
        <v>1.7450473321690495E-2</v>
      </c>
      <c r="B994" s="30">
        <v>0</v>
      </c>
      <c r="C994" s="30">
        <v>10.92</v>
      </c>
      <c r="G994" s="18"/>
    </row>
    <row r="995" spans="1:7" x14ac:dyDescent="0.25">
      <c r="A995" s="30">
        <v>1.3483443897701182</v>
      </c>
      <c r="B995" s="30">
        <v>0</v>
      </c>
      <c r="C995" s="30">
        <v>10.92</v>
      </c>
      <c r="G995" s="18"/>
    </row>
    <row r="996" spans="1:7" x14ac:dyDescent="0.25">
      <c r="A996" s="30">
        <v>0.42020642985539303</v>
      </c>
      <c r="B996" s="30">
        <v>0</v>
      </c>
      <c r="C996" s="30">
        <v>10.92</v>
      </c>
      <c r="G996" s="18"/>
    </row>
    <row r="997" spans="1:7" x14ac:dyDescent="0.25">
      <c r="A997" s="30">
        <v>0.80192802493366633</v>
      </c>
      <c r="B997" s="30">
        <v>0</v>
      </c>
      <c r="C997" s="30">
        <v>31.359999999999996</v>
      </c>
      <c r="G997" s="18"/>
    </row>
    <row r="998" spans="1:7" x14ac:dyDescent="0.25">
      <c r="A998" s="30">
        <v>0.8399538181034808</v>
      </c>
      <c r="B998" s="30">
        <v>0</v>
      </c>
      <c r="C998" s="30">
        <v>31.359999999999996</v>
      </c>
      <c r="G998" s="18"/>
    </row>
    <row r="999" spans="1:7" x14ac:dyDescent="0.25">
      <c r="A999" s="30">
        <v>0.33865484386186318</v>
      </c>
      <c r="B999" s="30">
        <v>0</v>
      </c>
      <c r="C999" s="30">
        <v>31.359999999999996</v>
      </c>
      <c r="G999" s="18"/>
    </row>
    <row r="1000" spans="1:7" x14ac:dyDescent="0.25">
      <c r="A1000" s="30">
        <v>0.83079716412906546</v>
      </c>
      <c r="B1000" s="30">
        <v>0</v>
      </c>
      <c r="C1000" s="30">
        <v>31.359999999999996</v>
      </c>
      <c r="G1000" s="18"/>
    </row>
    <row r="1001" spans="1:7" x14ac:dyDescent="0.25">
      <c r="A1001" s="30">
        <v>1.1641809359624271</v>
      </c>
      <c r="B1001" s="30">
        <v>0</v>
      </c>
      <c r="C1001" s="30">
        <v>31.359999999999996</v>
      </c>
      <c r="G1001" s="18"/>
    </row>
    <row r="1002" spans="1:7" x14ac:dyDescent="0.25">
      <c r="A1002" s="30">
        <v>1.2843005709236137</v>
      </c>
      <c r="B1002" s="30">
        <v>0</v>
      </c>
      <c r="C1002" s="30">
        <v>31.359999999999996</v>
      </c>
      <c r="G1002" s="18"/>
    </row>
    <row r="1003" spans="1:7" x14ac:dyDescent="0.25">
      <c r="A1003" s="30">
        <v>1.0135777276902229</v>
      </c>
      <c r="B1003" s="30">
        <v>0</v>
      </c>
      <c r="C1003" s="30">
        <v>31.359999999999996</v>
      </c>
      <c r="G1003" s="18"/>
    </row>
    <row r="1004" spans="1:7" x14ac:dyDescent="0.25">
      <c r="A1004" s="30">
        <v>0.54101058240276401</v>
      </c>
      <c r="B1004" s="30">
        <v>0</v>
      </c>
      <c r="C1004" s="30">
        <v>31.359999999999996</v>
      </c>
      <c r="G1004" s="18"/>
    </row>
    <row r="1005" spans="1:7" x14ac:dyDescent="0.25">
      <c r="A1005" s="30">
        <v>1.9893462852495887</v>
      </c>
      <c r="B1005" s="30">
        <v>0</v>
      </c>
      <c r="C1005" s="30">
        <v>31.359999999999996</v>
      </c>
      <c r="G1005" s="18"/>
    </row>
    <row r="1006" spans="1:7" x14ac:dyDescent="0.25">
      <c r="A1006" s="30">
        <v>0.82567888652821608</v>
      </c>
      <c r="B1006" s="30">
        <v>0</v>
      </c>
      <c r="C1006" s="30">
        <v>31.359999999999996</v>
      </c>
      <c r="G1006" s="18"/>
    </row>
    <row r="1007" spans="1:7" x14ac:dyDescent="0.25">
      <c r="A1007" s="30">
        <v>2.030418629258588</v>
      </c>
      <c r="B1007" s="30">
        <v>0</v>
      </c>
      <c r="C1007" s="30">
        <v>31.359999999999996</v>
      </c>
      <c r="G1007" s="18"/>
    </row>
    <row r="1008" spans="1:7" x14ac:dyDescent="0.25">
      <c r="A1008" s="30">
        <v>0.59925919689221208</v>
      </c>
      <c r="B1008" s="30">
        <v>0</v>
      </c>
      <c r="C1008" s="30">
        <v>31.359999999999996</v>
      </c>
      <c r="G1008" s="18"/>
    </row>
    <row r="1009" spans="1:7" x14ac:dyDescent="0.25">
      <c r="A1009" s="30">
        <v>0.5610964982933806</v>
      </c>
      <c r="B1009" s="30">
        <v>0</v>
      </c>
      <c r="C1009" s="30">
        <v>31.359999999999996</v>
      </c>
      <c r="G1009" s="18"/>
    </row>
    <row r="1010" spans="1:7" x14ac:dyDescent="0.25">
      <c r="A1010" s="30">
        <v>0.29434057546608849</v>
      </c>
      <c r="B1010" s="30">
        <v>0</v>
      </c>
      <c r="C1010" s="30">
        <v>31.359999999999996</v>
      </c>
      <c r="G1010" s="18"/>
    </row>
    <row r="1011" spans="1:7" x14ac:dyDescent="0.25">
      <c r="A1011" s="30">
        <v>2.1102745073705647</v>
      </c>
      <c r="B1011" s="30">
        <v>0</v>
      </c>
      <c r="C1011" s="30">
        <v>31.359999999999996</v>
      </c>
      <c r="G1011" s="18"/>
    </row>
    <row r="1012" spans="1:7" x14ac:dyDescent="0.25">
      <c r="A1012" s="30">
        <v>1.3430600961937547</v>
      </c>
      <c r="B1012" s="30">
        <v>0</v>
      </c>
      <c r="C1012" s="30">
        <v>31.359999999999996</v>
      </c>
      <c r="G1012" s="18"/>
    </row>
    <row r="1013" spans="1:7" x14ac:dyDescent="0.25">
      <c r="A1013" s="30">
        <v>1.883950935371471</v>
      </c>
      <c r="B1013" s="30">
        <v>0</v>
      </c>
      <c r="C1013" s="30">
        <v>31.359999999999996</v>
      </c>
      <c r="G1013" s="18"/>
    </row>
    <row r="1014" spans="1:7" x14ac:dyDescent="0.25">
      <c r="A1014" s="30">
        <v>0.33146601480325588</v>
      </c>
      <c r="B1014" s="30">
        <v>0</v>
      </c>
      <c r="C1014" s="30">
        <v>26.740000000000002</v>
      </c>
      <c r="G1014" s="18"/>
    </row>
    <row r="1015" spans="1:7" x14ac:dyDescent="0.25">
      <c r="A1015" s="30">
        <v>0.18245665350795709</v>
      </c>
      <c r="B1015" s="30">
        <v>0</v>
      </c>
      <c r="C1015" s="30">
        <v>26.740000000000002</v>
      </c>
      <c r="G1015" s="18"/>
    </row>
    <row r="1016" spans="1:7" x14ac:dyDescent="0.25">
      <c r="A1016" s="30">
        <v>0.6161786004106975</v>
      </c>
      <c r="B1016" s="30">
        <v>0</v>
      </c>
      <c r="C1016" s="30">
        <v>26.740000000000002</v>
      </c>
      <c r="G1016" s="18"/>
    </row>
    <row r="1017" spans="1:7" x14ac:dyDescent="0.25">
      <c r="A1017" s="30">
        <v>2.3064587533202814</v>
      </c>
      <c r="B1017" s="30">
        <v>0</v>
      </c>
      <c r="C1017" s="30">
        <v>26.740000000000002</v>
      </c>
      <c r="G1017" s="18"/>
    </row>
    <row r="1018" spans="1:7" x14ac:dyDescent="0.25">
      <c r="A1018" s="30">
        <v>1.2954196257613546</v>
      </c>
      <c r="B1018" s="30">
        <v>0</v>
      </c>
      <c r="C1018" s="30">
        <v>26.740000000000002</v>
      </c>
      <c r="G1018" s="18"/>
    </row>
    <row r="1019" spans="1:7" x14ac:dyDescent="0.25">
      <c r="A1019" s="30">
        <v>2.3737913503826666</v>
      </c>
      <c r="B1019" s="30">
        <v>0</v>
      </c>
      <c r="C1019" s="30">
        <v>26.740000000000002</v>
      </c>
      <c r="G1019" s="18"/>
    </row>
    <row r="1020" spans="1:7" x14ac:dyDescent="0.25">
      <c r="A1020" s="30">
        <v>1.0545670346176821</v>
      </c>
      <c r="B1020" s="30">
        <v>0</v>
      </c>
      <c r="C1020" s="30">
        <v>26.740000000000002</v>
      </c>
      <c r="G1020" s="18"/>
    </row>
    <row r="1021" spans="1:7" x14ac:dyDescent="0.25">
      <c r="A1021" s="30">
        <v>1.7712362790111253</v>
      </c>
      <c r="B1021" s="30">
        <v>0</v>
      </c>
      <c r="C1021" s="30">
        <v>26.740000000000002</v>
      </c>
      <c r="G1021" s="18"/>
    </row>
    <row r="1022" spans="1:7" x14ac:dyDescent="0.25">
      <c r="A1022" s="30">
        <v>5.9473280588309099E-2</v>
      </c>
      <c r="B1022" s="30">
        <v>0</v>
      </c>
      <c r="C1022" s="30">
        <v>26.740000000000002</v>
      </c>
      <c r="G1022" s="18"/>
    </row>
    <row r="1023" spans="1:7" x14ac:dyDescent="0.25">
      <c r="A1023" s="30">
        <v>0.95238030107096738</v>
      </c>
      <c r="B1023" s="30">
        <v>0</v>
      </c>
      <c r="C1023" s="30">
        <v>26.740000000000002</v>
      </c>
      <c r="G1023" s="18"/>
    </row>
    <row r="1024" spans="1:7" x14ac:dyDescent="0.25">
      <c r="A1024" s="30">
        <v>1.2944118767918593</v>
      </c>
      <c r="B1024" s="30">
        <v>0</v>
      </c>
      <c r="C1024" s="30">
        <v>26.740000000000002</v>
      </c>
      <c r="G1024" s="18"/>
    </row>
    <row r="1025" spans="1:7" x14ac:dyDescent="0.25">
      <c r="A1025" s="30">
        <v>0.51677345805950581</v>
      </c>
      <c r="B1025" s="30">
        <v>0</v>
      </c>
      <c r="C1025" s="30">
        <v>26.740000000000002</v>
      </c>
      <c r="G1025" s="18"/>
    </row>
    <row r="1026" spans="1:7" x14ac:dyDescent="0.25">
      <c r="A1026" s="30">
        <v>0.21416382664540629</v>
      </c>
      <c r="B1026" s="30">
        <v>0</v>
      </c>
      <c r="C1026" s="30">
        <v>26.740000000000002</v>
      </c>
      <c r="G1026" s="18"/>
    </row>
    <row r="1027" spans="1:7" x14ac:dyDescent="0.25">
      <c r="A1027" s="30">
        <v>0.1528306168229161</v>
      </c>
      <c r="B1027" s="30">
        <v>0</v>
      </c>
      <c r="C1027" s="30">
        <v>26.740000000000002</v>
      </c>
      <c r="G1027" s="18"/>
    </row>
    <row r="1028" spans="1:7" x14ac:dyDescent="0.25">
      <c r="A1028" s="30">
        <v>0.13098751690814389</v>
      </c>
      <c r="B1028" s="30">
        <v>0</v>
      </c>
      <c r="C1028" s="30">
        <v>26.740000000000002</v>
      </c>
      <c r="G1028" s="18"/>
    </row>
    <row r="1029" spans="1:7" x14ac:dyDescent="0.25">
      <c r="A1029" s="30">
        <v>1.3090263234729349</v>
      </c>
      <c r="B1029" s="30">
        <v>0</v>
      </c>
      <c r="C1029" s="30">
        <v>26.740000000000002</v>
      </c>
      <c r="G1029" s="18"/>
    </row>
    <row r="1030" spans="1:7" x14ac:dyDescent="0.25">
      <c r="A1030" s="30">
        <v>0.87242078597053951</v>
      </c>
      <c r="B1030" s="30">
        <v>0</v>
      </c>
      <c r="C1030" s="30">
        <v>11.899999999999999</v>
      </c>
      <c r="G1030" s="18"/>
    </row>
    <row r="1031" spans="1:7" x14ac:dyDescent="0.25">
      <c r="A1031" s="30">
        <v>0.61950573518484686</v>
      </c>
      <c r="B1031" s="30">
        <v>0</v>
      </c>
      <c r="C1031" s="30">
        <v>11.899999999999999</v>
      </c>
      <c r="G1031" s="18"/>
    </row>
    <row r="1032" spans="1:7" x14ac:dyDescent="0.25">
      <c r="A1032" s="30">
        <v>2.7125420315208128E-2</v>
      </c>
      <c r="B1032" s="30">
        <v>0</v>
      </c>
      <c r="C1032" s="30">
        <v>11.899999999999999</v>
      </c>
      <c r="G1032" s="18"/>
    </row>
    <row r="1033" spans="1:7" x14ac:dyDescent="0.25">
      <c r="A1033" s="30">
        <v>2.0981843776854925</v>
      </c>
      <c r="B1033" s="30">
        <v>0</v>
      </c>
      <c r="C1033" s="30">
        <v>11.899999999999999</v>
      </c>
      <c r="G1033" s="18"/>
    </row>
    <row r="1034" spans="1:7" x14ac:dyDescent="0.25">
      <c r="A1034" s="30">
        <v>0.8900920832111936</v>
      </c>
      <c r="B1034" s="30">
        <v>0</v>
      </c>
      <c r="C1034" s="30">
        <v>11.899999999999999</v>
      </c>
      <c r="G1034" s="18"/>
    </row>
    <row r="1035" spans="1:7" x14ac:dyDescent="0.25">
      <c r="A1035" s="30">
        <v>1.246779069991949</v>
      </c>
      <c r="B1035" s="30">
        <v>0</v>
      </c>
      <c r="C1035" s="30">
        <v>11.899999999999999</v>
      </c>
      <c r="G1035" s="18"/>
    </row>
    <row r="1036" spans="1:7" x14ac:dyDescent="0.25">
      <c r="A1036" s="30">
        <v>0.72261396472298622</v>
      </c>
      <c r="B1036" s="30">
        <v>0</v>
      </c>
      <c r="C1036" s="30">
        <v>11.899999999999999</v>
      </c>
      <c r="G1036" s="18"/>
    </row>
    <row r="1037" spans="1:7" x14ac:dyDescent="0.25">
      <c r="A1037" s="30">
        <v>0.46606082203326971</v>
      </c>
      <c r="B1037" s="30">
        <v>0</v>
      </c>
      <c r="C1037" s="30">
        <v>11.899999999999999</v>
      </c>
      <c r="G1037" s="18"/>
    </row>
    <row r="1038" spans="1:7" x14ac:dyDescent="0.25">
      <c r="A1038" s="30">
        <v>1.167946747891184</v>
      </c>
      <c r="B1038" s="30">
        <v>0</v>
      </c>
      <c r="C1038" s="30">
        <v>11.899999999999999</v>
      </c>
      <c r="G1038" s="18"/>
    </row>
    <row r="1039" spans="1:7" x14ac:dyDescent="0.25">
      <c r="A1039" s="30">
        <v>1.5733844430869852</v>
      </c>
      <c r="B1039" s="30">
        <v>0</v>
      </c>
      <c r="C1039" s="30">
        <v>11.899999999999999</v>
      </c>
      <c r="G1039" s="18"/>
    </row>
    <row r="1040" spans="1:7" x14ac:dyDescent="0.25">
      <c r="A1040" s="30">
        <v>0.95498291747422903</v>
      </c>
      <c r="B1040" s="30">
        <v>0</v>
      </c>
      <c r="C1040" s="30">
        <v>11.899999999999999</v>
      </c>
      <c r="G1040" s="18"/>
    </row>
    <row r="1041" spans="1:7" x14ac:dyDescent="0.25">
      <c r="A1041" s="30">
        <v>1.9391087286136017</v>
      </c>
      <c r="B1041" s="30">
        <v>0</v>
      </c>
      <c r="C1041" s="30">
        <v>11.899999999999999</v>
      </c>
      <c r="G1041" s="18"/>
    </row>
    <row r="1042" spans="1:7" x14ac:dyDescent="0.25">
      <c r="A1042" s="30">
        <v>1.3460757610430927</v>
      </c>
      <c r="B1042" s="30">
        <v>0</v>
      </c>
      <c r="C1042" s="30">
        <v>11.899999999999999</v>
      </c>
      <c r="G1042" s="18"/>
    </row>
    <row r="1043" spans="1:7" x14ac:dyDescent="0.25">
      <c r="A1043" s="30">
        <v>1.8070995179843574</v>
      </c>
      <c r="B1043" s="30">
        <v>0</v>
      </c>
      <c r="C1043" s="30">
        <v>11.899999999999999</v>
      </c>
      <c r="G1043" s="18"/>
    </row>
    <row r="1044" spans="1:7" x14ac:dyDescent="0.25">
      <c r="A1044" s="30">
        <v>0.39620742721218927</v>
      </c>
      <c r="B1044" s="30">
        <v>0</v>
      </c>
      <c r="C1044" s="30">
        <v>11.899999999999999</v>
      </c>
      <c r="G1044" s="18"/>
    </row>
    <row r="1045" spans="1:7" x14ac:dyDescent="0.25">
      <c r="A1045" s="30">
        <v>0.9527667356576186</v>
      </c>
      <c r="B1045" s="30">
        <v>0</v>
      </c>
      <c r="C1045" s="30">
        <v>11.899999999999999</v>
      </c>
      <c r="G1045" s="18"/>
    </row>
    <row r="1046" spans="1:7" x14ac:dyDescent="0.25">
      <c r="A1046" s="30">
        <v>0.66296394377886669</v>
      </c>
      <c r="B1046" s="30">
        <v>0</v>
      </c>
      <c r="C1046" s="30">
        <v>25.759999999999998</v>
      </c>
      <c r="G1046" s="18"/>
    </row>
    <row r="1047" spans="1:7" x14ac:dyDescent="0.25">
      <c r="A1047" s="30">
        <v>0.25551686185315958</v>
      </c>
      <c r="B1047" s="30">
        <v>0</v>
      </c>
      <c r="C1047" s="30">
        <v>25.759999999999998</v>
      </c>
      <c r="G1047" s="18"/>
    </row>
    <row r="1048" spans="1:7" x14ac:dyDescent="0.25">
      <c r="A1048" s="30">
        <v>0.36864282734120374</v>
      </c>
      <c r="B1048" s="30">
        <v>0</v>
      </c>
      <c r="C1048" s="30">
        <v>25.759999999999998</v>
      </c>
      <c r="G1048" s="18"/>
    </row>
    <row r="1049" spans="1:7" x14ac:dyDescent="0.25">
      <c r="A1049" s="30">
        <v>1.701562122782962</v>
      </c>
      <c r="B1049" s="30">
        <v>0</v>
      </c>
      <c r="C1049" s="30">
        <v>25.759999999999998</v>
      </c>
      <c r="G1049" s="18"/>
    </row>
    <row r="1050" spans="1:7" x14ac:dyDescent="0.25">
      <c r="A1050" s="30">
        <v>5.037594906130425E-2</v>
      </c>
      <c r="B1050" s="30">
        <v>0</v>
      </c>
      <c r="C1050" s="30">
        <v>25.759999999999998</v>
      </c>
      <c r="G1050" s="18"/>
    </row>
    <row r="1051" spans="1:7" x14ac:dyDescent="0.25">
      <c r="A1051" s="30">
        <v>1.6554773954441635</v>
      </c>
      <c r="B1051" s="30">
        <v>0</v>
      </c>
      <c r="C1051" s="30">
        <v>25.759999999999998</v>
      </c>
      <c r="G1051" s="18"/>
    </row>
    <row r="1052" spans="1:7" x14ac:dyDescent="0.25">
      <c r="A1052" s="30">
        <v>1.2639914952306555</v>
      </c>
      <c r="B1052" s="30">
        <v>0</v>
      </c>
      <c r="C1052" s="30">
        <v>25.759999999999998</v>
      </c>
      <c r="G1052" s="18"/>
    </row>
    <row r="1053" spans="1:7" x14ac:dyDescent="0.25">
      <c r="A1053" s="30">
        <v>1.8220934060418972</v>
      </c>
      <c r="B1053" s="30">
        <v>0</v>
      </c>
      <c r="C1053" s="30">
        <v>25.759999999999998</v>
      </c>
      <c r="G1053" s="18"/>
    </row>
    <row r="1054" spans="1:7" x14ac:dyDescent="0.25">
      <c r="A1054" s="30">
        <v>0.59289748189272884</v>
      </c>
      <c r="B1054" s="30">
        <v>0</v>
      </c>
      <c r="C1054" s="30">
        <v>25.759999999999998</v>
      </c>
      <c r="G1054" s="18"/>
    </row>
    <row r="1055" spans="1:7" x14ac:dyDescent="0.25">
      <c r="A1055" s="30">
        <v>1.7577822842370048</v>
      </c>
      <c r="B1055" s="30">
        <v>0</v>
      </c>
      <c r="C1055" s="30">
        <v>25.759999999999998</v>
      </c>
      <c r="G1055" s="18"/>
    </row>
    <row r="1056" spans="1:7" x14ac:dyDescent="0.25">
      <c r="A1056" s="30">
        <v>0.78138946093798689</v>
      </c>
      <c r="B1056" s="30">
        <v>0</v>
      </c>
      <c r="C1056" s="30">
        <v>25.759999999999998</v>
      </c>
      <c r="G1056" s="18"/>
    </row>
    <row r="1057" spans="1:7" x14ac:dyDescent="0.25">
      <c r="A1057" s="30">
        <v>0.5570796921885377</v>
      </c>
      <c r="B1057" s="30">
        <v>0</v>
      </c>
      <c r="C1057" s="30">
        <v>25.759999999999998</v>
      </c>
      <c r="G1057" s="18"/>
    </row>
    <row r="1058" spans="1:7" x14ac:dyDescent="0.25">
      <c r="A1058" s="30">
        <v>1.2600312722860587</v>
      </c>
      <c r="B1058" s="30">
        <v>0</v>
      </c>
      <c r="C1058" s="30">
        <v>25.759999999999998</v>
      </c>
      <c r="G1058" s="18"/>
    </row>
    <row r="1059" spans="1:7" x14ac:dyDescent="0.25">
      <c r="A1059" s="30">
        <v>1.8150891395237612</v>
      </c>
      <c r="B1059" s="30">
        <v>0</v>
      </c>
      <c r="C1059" s="30">
        <v>25.759999999999998</v>
      </c>
      <c r="G1059" s="18"/>
    </row>
    <row r="1060" spans="1:7" x14ac:dyDescent="0.25">
      <c r="A1060" s="30">
        <v>0.79719279122365039</v>
      </c>
      <c r="B1060" s="30">
        <v>0</v>
      </c>
      <c r="C1060" s="30">
        <v>25.759999999999998</v>
      </c>
      <c r="G1060" s="18"/>
    </row>
    <row r="1061" spans="1:7" x14ac:dyDescent="0.25">
      <c r="A1061" s="30">
        <v>0.97222110594355304</v>
      </c>
      <c r="B1061" s="30">
        <v>0</v>
      </c>
      <c r="C1061" s="30">
        <v>25.759999999999998</v>
      </c>
      <c r="G1061" s="18"/>
    </row>
    <row r="1062" spans="1:7" x14ac:dyDescent="0.25">
      <c r="A1062" s="30">
        <v>1.3931972099203254</v>
      </c>
      <c r="B1062" s="30">
        <v>0</v>
      </c>
      <c r="C1062" s="30">
        <v>25.759999999999998</v>
      </c>
      <c r="G1062" s="18"/>
    </row>
    <row r="1063" spans="1:7" x14ac:dyDescent="0.25">
      <c r="A1063" s="30">
        <v>1.9212645458214226</v>
      </c>
      <c r="B1063" s="30">
        <v>0</v>
      </c>
      <c r="C1063" s="30">
        <v>48.719999999999992</v>
      </c>
      <c r="G1063" s="18"/>
    </row>
    <row r="1064" spans="1:7" x14ac:dyDescent="0.25">
      <c r="A1064" s="30">
        <v>9.2595148227839125E-2</v>
      </c>
      <c r="B1064" s="30">
        <v>0</v>
      </c>
      <c r="C1064" s="30">
        <v>48.719999999999992</v>
      </c>
      <c r="G1064" s="18"/>
    </row>
    <row r="1065" spans="1:7" x14ac:dyDescent="0.25">
      <c r="A1065" s="30">
        <v>2.3646364998938227</v>
      </c>
      <c r="B1065" s="30">
        <v>0</v>
      </c>
      <c r="C1065" s="30">
        <v>48.719999999999992</v>
      </c>
      <c r="G1065" s="18"/>
    </row>
    <row r="1066" spans="1:7" x14ac:dyDescent="0.25">
      <c r="A1066" s="30">
        <v>1.2237759803093242</v>
      </c>
      <c r="B1066" s="30">
        <v>0</v>
      </c>
      <c r="C1066" s="30">
        <v>48.719999999999992</v>
      </c>
      <c r="G1066" s="18"/>
    </row>
    <row r="1067" spans="1:7" x14ac:dyDescent="0.25">
      <c r="A1067" s="30">
        <v>0.38779818870940697</v>
      </c>
      <c r="B1067" s="30">
        <v>0</v>
      </c>
      <c r="C1067" s="30">
        <v>48.719999999999992</v>
      </c>
      <c r="G1067" s="18"/>
    </row>
    <row r="1068" spans="1:7" x14ac:dyDescent="0.25">
      <c r="A1068" s="30">
        <v>1.2745045501584493</v>
      </c>
      <c r="B1068" s="30">
        <v>0</v>
      </c>
      <c r="C1068" s="30">
        <v>48.719999999999992</v>
      </c>
      <c r="G1068" s="18"/>
    </row>
    <row r="1069" spans="1:7" x14ac:dyDescent="0.25">
      <c r="A1069" s="30">
        <v>0.9116282593304339</v>
      </c>
      <c r="B1069" s="30">
        <v>0</v>
      </c>
      <c r="C1069" s="30">
        <v>48.719999999999992</v>
      </c>
      <c r="G1069" s="18"/>
    </row>
    <row r="1070" spans="1:7" x14ac:dyDescent="0.25">
      <c r="A1070" s="30">
        <v>1.3792905708391614</v>
      </c>
      <c r="B1070" s="30">
        <v>0</v>
      </c>
      <c r="C1070" s="30">
        <v>48.719999999999992</v>
      </c>
      <c r="G1070" s="18"/>
    </row>
    <row r="1071" spans="1:7" x14ac:dyDescent="0.25">
      <c r="A1071" s="30">
        <v>1.0605493882396029</v>
      </c>
      <c r="B1071" s="30">
        <v>0</v>
      </c>
      <c r="C1071" s="30">
        <v>48.719999999999992</v>
      </c>
      <c r="G1071" s="18"/>
    </row>
    <row r="1072" spans="1:7" x14ac:dyDescent="0.25">
      <c r="A1072" s="30">
        <v>1.1268425663666108</v>
      </c>
      <c r="B1072" s="30">
        <v>0</v>
      </c>
      <c r="C1072" s="30">
        <v>48.719999999999992</v>
      </c>
      <c r="G1072" s="18"/>
    </row>
    <row r="1073" spans="1:7" x14ac:dyDescent="0.25">
      <c r="A1073" s="30">
        <v>1.3938692954015548</v>
      </c>
      <c r="B1073" s="30">
        <v>0</v>
      </c>
      <c r="C1073" s="30">
        <v>48.719999999999992</v>
      </c>
      <c r="G1073" s="18"/>
    </row>
    <row r="1074" spans="1:7" x14ac:dyDescent="0.25">
      <c r="A1074" s="30">
        <v>0.43600180745467815</v>
      </c>
      <c r="B1074" s="30">
        <v>0</v>
      </c>
      <c r="C1074" s="30">
        <v>48.719999999999992</v>
      </c>
      <c r="G1074" s="18"/>
    </row>
    <row r="1075" spans="1:7" x14ac:dyDescent="0.25">
      <c r="A1075" s="30">
        <v>1.8926145842426536</v>
      </c>
      <c r="B1075" s="30">
        <v>0</v>
      </c>
      <c r="C1075" s="30">
        <v>48.719999999999992</v>
      </c>
      <c r="G1075" s="18"/>
    </row>
    <row r="1076" spans="1:7" x14ac:dyDescent="0.25">
      <c r="A1076" s="30">
        <v>1.2162269508269257</v>
      </c>
      <c r="B1076" s="30">
        <v>0</v>
      </c>
      <c r="C1076" s="30">
        <v>48.719999999999992</v>
      </c>
      <c r="G1076" s="18"/>
    </row>
    <row r="1077" spans="1:7" x14ac:dyDescent="0.25">
      <c r="A1077" s="30">
        <v>1.5794599293818841</v>
      </c>
      <c r="B1077" s="30">
        <v>0</v>
      </c>
      <c r="C1077" s="30">
        <v>48.719999999999992</v>
      </c>
      <c r="G1077" s="18"/>
    </row>
    <row r="1078" spans="1:7" x14ac:dyDescent="0.25">
      <c r="A1078" s="30">
        <v>1.0825688878478412E-2</v>
      </c>
      <c r="B1078" s="30">
        <v>0</v>
      </c>
      <c r="C1078" s="30">
        <v>48.719999999999992</v>
      </c>
      <c r="G1078" s="18"/>
    </row>
    <row r="1079" spans="1:7" x14ac:dyDescent="0.25">
      <c r="A1079" s="30">
        <v>1.2029084796458684</v>
      </c>
      <c r="B1079" s="30">
        <v>0</v>
      </c>
      <c r="C1079" s="30">
        <v>48.719999999999992</v>
      </c>
      <c r="G1079" s="18"/>
    </row>
    <row r="1080" spans="1:7" x14ac:dyDescent="0.25">
      <c r="A1080" s="30">
        <v>0.50449122963601312</v>
      </c>
      <c r="B1080" s="30">
        <v>0</v>
      </c>
      <c r="C1080" s="30">
        <v>17.36</v>
      </c>
      <c r="G1080" s="18"/>
    </row>
    <row r="1081" spans="1:7" x14ac:dyDescent="0.25">
      <c r="A1081" s="30">
        <v>0.61414206967125906</v>
      </c>
      <c r="B1081" s="30">
        <v>0</v>
      </c>
      <c r="C1081" s="30">
        <v>17.36</v>
      </c>
      <c r="G1081" s="18"/>
    </row>
    <row r="1082" spans="1:7" x14ac:dyDescent="0.25">
      <c r="A1082" s="30">
        <v>1.3598350982861498</v>
      </c>
      <c r="B1082" s="30">
        <v>0</v>
      </c>
      <c r="C1082" s="30">
        <v>17.36</v>
      </c>
      <c r="G1082" s="18"/>
    </row>
    <row r="1083" spans="1:7" x14ac:dyDescent="0.25">
      <c r="A1083" s="30">
        <v>2.1398440384001138</v>
      </c>
      <c r="B1083" s="30">
        <v>0</v>
      </c>
      <c r="C1083" s="30">
        <v>17.36</v>
      </c>
      <c r="G1083" s="18"/>
    </row>
    <row r="1084" spans="1:7" x14ac:dyDescent="0.25">
      <c r="A1084" s="30">
        <v>0.65449435456814009</v>
      </c>
      <c r="B1084" s="30">
        <v>0</v>
      </c>
      <c r="C1084" s="30">
        <v>17.36</v>
      </c>
      <c r="G1084" s="18"/>
    </row>
    <row r="1085" spans="1:7" x14ac:dyDescent="0.25">
      <c r="A1085" s="30">
        <v>0.23630459462458048</v>
      </c>
      <c r="B1085" s="30">
        <v>0</v>
      </c>
      <c r="C1085" s="30">
        <v>17.36</v>
      </c>
      <c r="G1085" s="18"/>
    </row>
    <row r="1086" spans="1:7" x14ac:dyDescent="0.25">
      <c r="A1086" s="30">
        <v>0.98919106365030118</v>
      </c>
      <c r="B1086" s="30">
        <v>0</v>
      </c>
      <c r="C1086" s="30">
        <v>17.36</v>
      </c>
      <c r="G1086" s="18"/>
    </row>
    <row r="1087" spans="1:7" x14ac:dyDescent="0.25">
      <c r="A1087" s="30">
        <v>1.2193217890703774</v>
      </c>
      <c r="B1087" s="30">
        <v>0</v>
      </c>
      <c r="C1087" s="30">
        <v>17.36</v>
      </c>
      <c r="G1087" s="18"/>
    </row>
    <row r="1088" spans="1:7" x14ac:dyDescent="0.25">
      <c r="A1088" s="30">
        <v>0.10958916759405805</v>
      </c>
      <c r="B1088" s="30">
        <v>0</v>
      </c>
      <c r="C1088" s="30">
        <v>17.36</v>
      </c>
      <c r="G1088" s="18"/>
    </row>
    <row r="1089" spans="1:7" x14ac:dyDescent="0.25">
      <c r="A1089" s="30">
        <v>2.2117563601498862</v>
      </c>
      <c r="B1089" s="30">
        <v>0</v>
      </c>
      <c r="C1089" s="30">
        <v>17.36</v>
      </c>
      <c r="G1089" s="18"/>
    </row>
    <row r="1090" spans="1:7" x14ac:dyDescent="0.25">
      <c r="A1090" s="30">
        <v>1.0264415537084783</v>
      </c>
      <c r="B1090" s="30">
        <v>0</v>
      </c>
      <c r="C1090" s="30">
        <v>17.36</v>
      </c>
      <c r="G1090" s="18"/>
    </row>
    <row r="1091" spans="1:7" x14ac:dyDescent="0.25">
      <c r="A1091" s="30">
        <v>4.1367894604156241E-3</v>
      </c>
      <c r="B1091" s="30">
        <v>0</v>
      </c>
      <c r="C1091" s="30">
        <v>17.36</v>
      </c>
      <c r="G1091" s="18"/>
    </row>
    <row r="1092" spans="1:7" x14ac:dyDescent="0.25">
      <c r="A1092" s="30">
        <v>1.2949795673769999</v>
      </c>
      <c r="B1092" s="30">
        <v>0</v>
      </c>
      <c r="C1092" s="30">
        <v>17.36</v>
      </c>
      <c r="G1092" s="18"/>
    </row>
    <row r="1093" spans="1:7" x14ac:dyDescent="0.25">
      <c r="A1093" s="30">
        <v>0.80930771020135683</v>
      </c>
      <c r="B1093" s="30">
        <v>0</v>
      </c>
      <c r="C1093" s="30">
        <v>17.36</v>
      </c>
      <c r="G1093" s="18"/>
    </row>
    <row r="1094" spans="1:7" x14ac:dyDescent="0.25">
      <c r="A1094" s="30">
        <v>1.285667333795701</v>
      </c>
      <c r="B1094" s="30">
        <v>0</v>
      </c>
      <c r="C1094" s="30">
        <v>17.36</v>
      </c>
      <c r="G1094" s="18"/>
    </row>
    <row r="1095" spans="1:7" x14ac:dyDescent="0.25">
      <c r="A1095" s="30">
        <v>1.1757820602641869</v>
      </c>
      <c r="B1095" s="30">
        <v>0</v>
      </c>
      <c r="C1095" s="30">
        <v>17.36</v>
      </c>
      <c r="G1095" s="18"/>
    </row>
    <row r="1096" spans="1:7" x14ac:dyDescent="0.25">
      <c r="A1096" s="30">
        <v>0.24977112302273569</v>
      </c>
      <c r="B1096" s="30">
        <v>0</v>
      </c>
      <c r="C1096" s="30">
        <v>14.559999999999999</v>
      </c>
      <c r="G1096" s="18"/>
    </row>
    <row r="1097" spans="1:7" x14ac:dyDescent="0.25">
      <c r="A1097" s="30">
        <v>0.41615600630761412</v>
      </c>
      <c r="B1097" s="30">
        <v>0</v>
      </c>
      <c r="C1097" s="30">
        <v>14.559999999999999</v>
      </c>
      <c r="G1097" s="18"/>
    </row>
    <row r="1098" spans="1:7" x14ac:dyDescent="0.25">
      <c r="A1098" s="30">
        <v>7.9493672008390609E-2</v>
      </c>
      <c r="B1098" s="30">
        <v>0</v>
      </c>
      <c r="C1098" s="30">
        <v>14.559999999999999</v>
      </c>
      <c r="G1098" s="18"/>
    </row>
    <row r="1099" spans="1:7" x14ac:dyDescent="0.25">
      <c r="A1099" s="30">
        <v>1.9562819537380907</v>
      </c>
      <c r="B1099" s="30">
        <v>0</v>
      </c>
      <c r="C1099" s="30">
        <v>14.559999999999999</v>
      </c>
      <c r="G1099" s="18"/>
    </row>
    <row r="1100" spans="1:7" x14ac:dyDescent="0.25">
      <c r="A1100" s="30">
        <v>8.1556648612280375E-2</v>
      </c>
      <c r="B1100" s="30">
        <v>0</v>
      </c>
      <c r="C1100" s="30">
        <v>14.559999999999999</v>
      </c>
      <c r="G1100" s="18"/>
    </row>
    <row r="1101" spans="1:7" x14ac:dyDescent="0.25">
      <c r="A1101" s="30">
        <v>1.9289450990325574</v>
      </c>
      <c r="B1101" s="30">
        <v>0</v>
      </c>
      <c r="C1101" s="30">
        <v>14.559999999999999</v>
      </c>
      <c r="G1101" s="18"/>
    </row>
    <row r="1102" spans="1:7" x14ac:dyDescent="0.25">
      <c r="A1102" s="30">
        <v>0.33088343649844631</v>
      </c>
      <c r="B1102" s="30">
        <v>0</v>
      </c>
      <c r="C1102" s="30">
        <v>14.559999999999999</v>
      </c>
      <c r="G1102" s="18"/>
    </row>
    <row r="1103" spans="1:7" x14ac:dyDescent="0.25">
      <c r="A1103" s="30">
        <v>1.3717039900230108</v>
      </c>
      <c r="B1103" s="30">
        <v>0</v>
      </c>
      <c r="C1103" s="30">
        <v>14.559999999999999</v>
      </c>
      <c r="G1103" s="18"/>
    </row>
    <row r="1104" spans="1:7" x14ac:dyDescent="0.25">
      <c r="A1104" s="30">
        <v>0.89624815496757593</v>
      </c>
      <c r="B1104" s="30">
        <v>0</v>
      </c>
      <c r="C1104" s="30">
        <v>14.559999999999999</v>
      </c>
      <c r="G1104" s="18"/>
    </row>
    <row r="1105" spans="1:7" x14ac:dyDescent="0.25">
      <c r="A1105" s="30">
        <v>1.781764833105117</v>
      </c>
      <c r="B1105" s="30">
        <v>0</v>
      </c>
      <c r="C1105" s="30">
        <v>14.559999999999999</v>
      </c>
      <c r="G1105" s="18"/>
    </row>
    <row r="1106" spans="1:7" x14ac:dyDescent="0.25">
      <c r="A1106" s="30">
        <v>0.92868923235869261</v>
      </c>
      <c r="B1106" s="30">
        <v>0</v>
      </c>
      <c r="C1106" s="30">
        <v>14.559999999999999</v>
      </c>
      <c r="G1106" s="18"/>
    </row>
    <row r="1107" spans="1:7" x14ac:dyDescent="0.25">
      <c r="A1107" s="30">
        <v>2.1268790799496413</v>
      </c>
      <c r="B1107" s="30">
        <v>0</v>
      </c>
      <c r="C1107" s="30">
        <v>14.559999999999999</v>
      </c>
      <c r="G1107" s="18"/>
    </row>
    <row r="1108" spans="1:7" x14ac:dyDescent="0.25">
      <c r="A1108" s="30">
        <v>0.75810451734529993</v>
      </c>
      <c r="B1108" s="30">
        <v>0</v>
      </c>
      <c r="C1108" s="30">
        <v>14.559999999999999</v>
      </c>
      <c r="G1108" s="18"/>
    </row>
    <row r="1109" spans="1:7" x14ac:dyDescent="0.25">
      <c r="A1109" s="30">
        <v>1.9220427017970434</v>
      </c>
      <c r="B1109" s="30">
        <v>0</v>
      </c>
      <c r="C1109" s="30">
        <v>14.559999999999999</v>
      </c>
      <c r="G1109" s="18"/>
    </row>
    <row r="1110" spans="1:7" x14ac:dyDescent="0.25">
      <c r="A1110" s="30">
        <v>0.46993239515021978</v>
      </c>
      <c r="B1110" s="30">
        <v>0</v>
      </c>
      <c r="C1110" s="30">
        <v>14.559999999999999</v>
      </c>
      <c r="G1110" s="18"/>
    </row>
    <row r="1111" spans="1:7" x14ac:dyDescent="0.25">
      <c r="A1111" s="30">
        <v>0.17130213676269523</v>
      </c>
      <c r="B1111" s="30">
        <v>0</v>
      </c>
      <c r="C1111" s="30">
        <v>14.559999999999999</v>
      </c>
      <c r="G1111" s="18"/>
    </row>
    <row r="1112" spans="1:7" x14ac:dyDescent="0.25">
      <c r="A1112" s="30">
        <v>0.70112899179090704</v>
      </c>
      <c r="B1112" s="30">
        <v>0</v>
      </c>
      <c r="C1112" s="30">
        <v>14.559999999999999</v>
      </c>
      <c r="G1112" s="18"/>
    </row>
    <row r="1113" spans="1:7" x14ac:dyDescent="0.25">
      <c r="A1113" s="30">
        <v>0.46988832012954151</v>
      </c>
      <c r="B1113" s="30">
        <v>0</v>
      </c>
      <c r="C1113" s="30">
        <v>26.88</v>
      </c>
      <c r="G1113" s="18"/>
    </row>
    <row r="1114" spans="1:7" x14ac:dyDescent="0.25">
      <c r="A1114" s="30">
        <v>0.77187592736555488</v>
      </c>
      <c r="B1114" s="30">
        <v>0</v>
      </c>
      <c r="C1114" s="30">
        <v>26.88</v>
      </c>
      <c r="G1114" s="18"/>
    </row>
    <row r="1115" spans="1:7" x14ac:dyDescent="0.25">
      <c r="A1115" s="30">
        <v>1.6127073085441903</v>
      </c>
      <c r="B1115" s="30">
        <v>0</v>
      </c>
      <c r="C1115" s="30">
        <v>26.88</v>
      </c>
      <c r="G1115" s="18"/>
    </row>
    <row r="1116" spans="1:7" x14ac:dyDescent="0.25">
      <c r="A1116" s="30">
        <v>1.2513878570216872</v>
      </c>
      <c r="B1116" s="30">
        <v>0</v>
      </c>
      <c r="C1116" s="30">
        <v>26.88</v>
      </c>
      <c r="G1116" s="18"/>
    </row>
    <row r="1117" spans="1:7" x14ac:dyDescent="0.25">
      <c r="A1117" s="30">
        <v>0.25656820884418174</v>
      </c>
      <c r="B1117" s="30">
        <v>0</v>
      </c>
      <c r="C1117" s="30">
        <v>26.88</v>
      </c>
      <c r="G1117" s="18"/>
    </row>
    <row r="1118" spans="1:7" x14ac:dyDescent="0.25">
      <c r="A1118" s="30">
        <v>1.3533571635065436</v>
      </c>
      <c r="B1118" s="30">
        <v>0</v>
      </c>
      <c r="C1118" s="30">
        <v>26.88</v>
      </c>
      <c r="G1118" s="18"/>
    </row>
    <row r="1119" spans="1:7" x14ac:dyDescent="0.25">
      <c r="A1119" s="30">
        <v>1.3329002980133668</v>
      </c>
      <c r="B1119" s="30">
        <v>0</v>
      </c>
      <c r="C1119" s="30">
        <v>26.88</v>
      </c>
      <c r="G1119" s="18"/>
    </row>
    <row r="1120" spans="1:7" x14ac:dyDescent="0.25">
      <c r="A1120" s="30">
        <v>1.0081794109755837</v>
      </c>
      <c r="B1120" s="30">
        <v>0</v>
      </c>
      <c r="C1120" s="30">
        <v>26.88</v>
      </c>
      <c r="G1120" s="18"/>
    </row>
    <row r="1121" spans="1:7" x14ac:dyDescent="0.25">
      <c r="A1121" s="30">
        <v>1.7444696067749033</v>
      </c>
      <c r="B1121" s="30">
        <v>0</v>
      </c>
      <c r="C1121" s="30">
        <v>26.88</v>
      </c>
      <c r="G1121" s="18"/>
    </row>
    <row r="1122" spans="1:7" x14ac:dyDescent="0.25">
      <c r="A1122" s="30">
        <v>1.0285739209608233</v>
      </c>
      <c r="B1122" s="30">
        <v>0</v>
      </c>
      <c r="C1122" s="30">
        <v>26.88</v>
      </c>
      <c r="G1122" s="18"/>
    </row>
    <row r="1123" spans="1:7" x14ac:dyDescent="0.25">
      <c r="A1123" s="30">
        <v>1.4706199741196357</v>
      </c>
      <c r="B1123" s="30">
        <v>0</v>
      </c>
      <c r="C1123" s="30">
        <v>26.88</v>
      </c>
      <c r="G1123" s="18"/>
    </row>
    <row r="1124" spans="1:7" x14ac:dyDescent="0.25">
      <c r="A1124" s="30">
        <v>9.3529036085448491E-2</v>
      </c>
      <c r="B1124" s="30">
        <v>0</v>
      </c>
      <c r="C1124" s="30">
        <v>26.88</v>
      </c>
      <c r="G1124" s="18"/>
    </row>
    <row r="1125" spans="1:7" x14ac:dyDescent="0.25">
      <c r="A1125" s="30">
        <v>2.3367701427622349</v>
      </c>
      <c r="B1125" s="30">
        <v>0</v>
      </c>
      <c r="C1125" s="30">
        <v>26.88</v>
      </c>
      <c r="G1125" s="18"/>
    </row>
    <row r="1126" spans="1:7" x14ac:dyDescent="0.25">
      <c r="A1126" s="30">
        <v>1.2006461239513992</v>
      </c>
      <c r="B1126" s="30">
        <v>0</v>
      </c>
      <c r="C1126" s="30">
        <v>26.88</v>
      </c>
      <c r="G1126" s="18"/>
    </row>
    <row r="1127" spans="1:7" x14ac:dyDescent="0.25">
      <c r="A1127" s="30">
        <v>1.2169313972263289</v>
      </c>
      <c r="B1127" s="30">
        <v>0</v>
      </c>
      <c r="C1127" s="30">
        <v>26.88</v>
      </c>
      <c r="G1127" s="18"/>
    </row>
    <row r="1128" spans="1:7" x14ac:dyDescent="0.25">
      <c r="A1128" s="30">
        <v>1.2548424779352358</v>
      </c>
      <c r="B1128" s="30">
        <v>0</v>
      </c>
      <c r="C1128" s="30">
        <v>26.88</v>
      </c>
      <c r="G1128" s="18"/>
    </row>
    <row r="1129" spans="1:7" x14ac:dyDescent="0.25">
      <c r="A1129" s="30">
        <v>0.79802558291685011</v>
      </c>
      <c r="B1129" s="30">
        <v>0</v>
      </c>
      <c r="C1129" s="30">
        <v>26.88</v>
      </c>
      <c r="G1129" s="18"/>
    </row>
    <row r="1130" spans="1:7" x14ac:dyDescent="0.25">
      <c r="A1130" s="30">
        <v>0.61676858461926254</v>
      </c>
      <c r="B1130" s="30">
        <v>0</v>
      </c>
      <c r="C1130" s="30">
        <v>10.36</v>
      </c>
      <c r="G1130" s="18"/>
    </row>
    <row r="1131" spans="1:7" x14ac:dyDescent="0.25">
      <c r="A1131" s="30">
        <v>0.39030340680780123</v>
      </c>
      <c r="B1131" s="30">
        <v>0</v>
      </c>
      <c r="C1131" s="30">
        <v>10.36</v>
      </c>
      <c r="G1131" s="18"/>
    </row>
    <row r="1132" spans="1:7" x14ac:dyDescent="0.25">
      <c r="A1132" s="30">
        <v>0.8979426237630348</v>
      </c>
      <c r="B1132" s="30">
        <v>0</v>
      </c>
      <c r="C1132" s="30">
        <v>10.36</v>
      </c>
      <c r="G1132" s="18"/>
    </row>
    <row r="1133" spans="1:7" x14ac:dyDescent="0.25">
      <c r="A1133" s="30">
        <v>1.6416188028950316</v>
      </c>
      <c r="B1133" s="30">
        <v>0</v>
      </c>
      <c r="C1133" s="30">
        <v>10.36</v>
      </c>
      <c r="G1133" s="18"/>
    </row>
    <row r="1134" spans="1:7" x14ac:dyDescent="0.25">
      <c r="A1134" s="30">
        <v>0.10054562165929157</v>
      </c>
      <c r="B1134" s="30">
        <v>0</v>
      </c>
      <c r="C1134" s="30">
        <v>10.36</v>
      </c>
      <c r="G1134" s="18"/>
    </row>
    <row r="1135" spans="1:7" x14ac:dyDescent="0.25">
      <c r="A1135" s="30">
        <v>1.2908770308975173</v>
      </c>
      <c r="B1135" s="30">
        <v>0</v>
      </c>
      <c r="C1135" s="30">
        <v>10.36</v>
      </c>
      <c r="G1135" s="18"/>
    </row>
    <row r="1136" spans="1:7" x14ac:dyDescent="0.25">
      <c r="A1136" s="30">
        <v>0.44785272767531759</v>
      </c>
      <c r="B1136" s="30">
        <v>0</v>
      </c>
      <c r="C1136" s="30">
        <v>10.36</v>
      </c>
      <c r="G1136" s="18"/>
    </row>
    <row r="1137" spans="1:7" x14ac:dyDescent="0.25">
      <c r="A1137" s="30">
        <v>1.0230147999675254</v>
      </c>
      <c r="B1137" s="30">
        <v>0</v>
      </c>
      <c r="C1137" s="30">
        <v>10.36</v>
      </c>
      <c r="G1137" s="18"/>
    </row>
    <row r="1138" spans="1:7" x14ac:dyDescent="0.25">
      <c r="A1138" s="30">
        <v>0.98203462142769971</v>
      </c>
      <c r="B1138" s="30">
        <v>0</v>
      </c>
      <c r="C1138" s="30">
        <v>10.36</v>
      </c>
      <c r="G1138" s="18"/>
    </row>
    <row r="1139" spans="1:7" x14ac:dyDescent="0.25">
      <c r="A1139" s="30">
        <v>0.46021467015898165</v>
      </c>
      <c r="B1139" s="30">
        <v>0</v>
      </c>
      <c r="C1139" s="30">
        <v>10.36</v>
      </c>
      <c r="G1139" s="18"/>
    </row>
    <row r="1140" spans="1:7" x14ac:dyDescent="0.25">
      <c r="A1140" s="30">
        <v>0.55422681874978685</v>
      </c>
      <c r="B1140" s="30">
        <v>0</v>
      </c>
      <c r="C1140" s="30">
        <v>10.36</v>
      </c>
      <c r="G1140" s="18"/>
    </row>
    <row r="1141" spans="1:7" x14ac:dyDescent="0.25">
      <c r="A1141" s="30">
        <v>1.0226591308006123</v>
      </c>
      <c r="B1141" s="30">
        <v>0</v>
      </c>
      <c r="C1141" s="30">
        <v>10.36</v>
      </c>
      <c r="G1141" s="18"/>
    </row>
    <row r="1142" spans="1:7" x14ac:dyDescent="0.25">
      <c r="A1142" s="30">
        <v>0.90897338314726817</v>
      </c>
      <c r="B1142" s="30">
        <v>0</v>
      </c>
      <c r="C1142" s="30">
        <v>10.36</v>
      </c>
      <c r="G1142" s="18"/>
    </row>
    <row r="1143" spans="1:7" x14ac:dyDescent="0.25">
      <c r="A1143" s="30">
        <v>0.33143668661895259</v>
      </c>
      <c r="B1143" s="30">
        <v>0</v>
      </c>
      <c r="C1143" s="30">
        <v>10.36</v>
      </c>
      <c r="G1143" s="18"/>
    </row>
    <row r="1144" spans="1:7" x14ac:dyDescent="0.25">
      <c r="A1144" s="30">
        <v>0.30943697997876463</v>
      </c>
      <c r="B1144" s="30">
        <v>0</v>
      </c>
      <c r="C1144" s="30">
        <v>10.36</v>
      </c>
      <c r="G1144" s="18"/>
    </row>
    <row r="1145" spans="1:7" x14ac:dyDescent="0.25">
      <c r="A1145" s="30">
        <v>0.92235900573558838</v>
      </c>
      <c r="B1145" s="30">
        <v>0</v>
      </c>
      <c r="C1145" s="30">
        <v>10.36</v>
      </c>
      <c r="G1145" s="18"/>
    </row>
    <row r="1146" spans="1:7" x14ac:dyDescent="0.25">
      <c r="A1146" s="30">
        <v>0.66405807359972513</v>
      </c>
      <c r="B1146" s="30">
        <v>0</v>
      </c>
      <c r="C1146" s="30">
        <v>14.7</v>
      </c>
      <c r="G1146" s="18"/>
    </row>
    <row r="1147" spans="1:7" x14ac:dyDescent="0.25">
      <c r="A1147" s="30">
        <v>0.56785667752902991</v>
      </c>
      <c r="B1147" s="30">
        <v>0</v>
      </c>
      <c r="C1147" s="30">
        <v>14.7</v>
      </c>
      <c r="G1147" s="18"/>
    </row>
    <row r="1148" spans="1:7" x14ac:dyDescent="0.25">
      <c r="A1148" s="30">
        <v>0.73676548935449537</v>
      </c>
      <c r="B1148" s="30">
        <v>0</v>
      </c>
      <c r="C1148" s="30">
        <v>14.7</v>
      </c>
      <c r="G1148" s="18"/>
    </row>
    <row r="1149" spans="1:7" x14ac:dyDescent="0.25">
      <c r="A1149" s="30">
        <v>1.4734093990639312</v>
      </c>
      <c r="B1149" s="30">
        <v>0</v>
      </c>
      <c r="C1149" s="30">
        <v>14.7</v>
      </c>
      <c r="G1149" s="18"/>
    </row>
    <row r="1150" spans="1:7" x14ac:dyDescent="0.25">
      <c r="A1150" s="30">
        <v>0.87902250583588004</v>
      </c>
      <c r="B1150" s="30">
        <v>0</v>
      </c>
      <c r="C1150" s="30">
        <v>14.7</v>
      </c>
      <c r="G1150" s="18"/>
    </row>
    <row r="1151" spans="1:7" x14ac:dyDescent="0.25">
      <c r="A1151" s="30">
        <v>1.1111657443239342</v>
      </c>
      <c r="B1151" s="30">
        <v>0</v>
      </c>
      <c r="C1151" s="30">
        <v>14.7</v>
      </c>
      <c r="G1151" s="18"/>
    </row>
    <row r="1152" spans="1:7" x14ac:dyDescent="0.25">
      <c r="A1152" s="30">
        <v>1.3063478953802998</v>
      </c>
      <c r="B1152" s="30">
        <v>0</v>
      </c>
      <c r="C1152" s="30">
        <v>14.7</v>
      </c>
      <c r="G1152" s="18"/>
    </row>
    <row r="1153" spans="1:7" x14ac:dyDescent="0.25">
      <c r="A1153" s="30">
        <v>2.2491595362770118</v>
      </c>
      <c r="B1153" s="30">
        <v>0</v>
      </c>
      <c r="C1153" s="30">
        <v>14.7</v>
      </c>
      <c r="G1153" s="18"/>
    </row>
    <row r="1154" spans="1:7" x14ac:dyDescent="0.25">
      <c r="A1154" s="30">
        <v>0.10223723688345047</v>
      </c>
      <c r="B1154" s="30">
        <v>0</v>
      </c>
      <c r="C1154" s="30">
        <v>14.7</v>
      </c>
      <c r="G1154" s="18"/>
    </row>
    <row r="1155" spans="1:7" x14ac:dyDescent="0.25">
      <c r="A1155" s="30">
        <v>0.88301547850059525</v>
      </c>
      <c r="B1155" s="30">
        <v>0</v>
      </c>
      <c r="C1155" s="30">
        <v>14.7</v>
      </c>
      <c r="G1155" s="18"/>
    </row>
    <row r="1156" spans="1:7" x14ac:dyDescent="0.25">
      <c r="A1156" s="30">
        <v>0.80913268611753908</v>
      </c>
      <c r="B1156" s="30">
        <v>0</v>
      </c>
      <c r="C1156" s="30">
        <v>14.7</v>
      </c>
      <c r="G1156" s="18"/>
    </row>
    <row r="1157" spans="1:7" x14ac:dyDescent="0.25">
      <c r="A1157" s="30">
        <v>0.22772992767602443</v>
      </c>
      <c r="B1157" s="30">
        <v>0</v>
      </c>
      <c r="C1157" s="30">
        <v>14.7</v>
      </c>
      <c r="G1157" s="18"/>
    </row>
    <row r="1158" spans="1:7" x14ac:dyDescent="0.25">
      <c r="A1158" s="30">
        <v>0.10920987282572561</v>
      </c>
      <c r="B1158" s="30">
        <v>0</v>
      </c>
      <c r="C1158" s="30">
        <v>14.7</v>
      </c>
      <c r="G1158" s="18"/>
    </row>
    <row r="1159" spans="1:7" x14ac:dyDescent="0.25">
      <c r="A1159" s="30">
        <v>0.67874093085555021</v>
      </c>
      <c r="B1159" s="30">
        <v>0</v>
      </c>
      <c r="C1159" s="30">
        <v>14.7</v>
      </c>
      <c r="G1159" s="18"/>
    </row>
    <row r="1160" spans="1:7" x14ac:dyDescent="0.25">
      <c r="A1160" s="30">
        <v>0.43838675634602131</v>
      </c>
      <c r="B1160" s="30">
        <v>0</v>
      </c>
      <c r="C1160" s="30">
        <v>14.7</v>
      </c>
      <c r="G1160" s="18"/>
    </row>
    <row r="1161" spans="1:7" x14ac:dyDescent="0.25">
      <c r="A1161" s="30">
        <v>1.9670878650496717</v>
      </c>
      <c r="B1161" s="30">
        <v>0</v>
      </c>
      <c r="C1161" s="30">
        <v>14.7</v>
      </c>
      <c r="G1161" s="18"/>
    </row>
    <row r="1162" spans="1:7" x14ac:dyDescent="0.25">
      <c r="A1162" s="30">
        <v>0.64733422065105428</v>
      </c>
      <c r="B1162" s="30">
        <v>0</v>
      </c>
      <c r="C1162" s="30">
        <v>16.66</v>
      </c>
      <c r="G1162" s="18"/>
    </row>
    <row r="1163" spans="1:7" x14ac:dyDescent="0.25">
      <c r="A1163" s="30">
        <v>1.2936861867286273</v>
      </c>
      <c r="B1163" s="30">
        <v>0</v>
      </c>
      <c r="C1163" s="30">
        <v>16.66</v>
      </c>
      <c r="G1163" s="18"/>
    </row>
    <row r="1164" spans="1:7" x14ac:dyDescent="0.25">
      <c r="A1164" s="30">
        <v>1.2555066853023802</v>
      </c>
      <c r="B1164" s="30">
        <v>0</v>
      </c>
      <c r="C1164" s="30">
        <v>16.66</v>
      </c>
      <c r="G1164" s="18"/>
    </row>
    <row r="1165" spans="1:7" x14ac:dyDescent="0.25">
      <c r="A1165" s="30">
        <v>1.6913924252581574</v>
      </c>
      <c r="B1165" s="30">
        <v>0</v>
      </c>
      <c r="C1165" s="30">
        <v>16.66</v>
      </c>
      <c r="G1165" s="18"/>
    </row>
    <row r="1166" spans="1:7" x14ac:dyDescent="0.25">
      <c r="A1166" s="30">
        <v>0.86394896666495868</v>
      </c>
      <c r="B1166" s="30">
        <v>0</v>
      </c>
      <c r="C1166" s="30">
        <v>16.66</v>
      </c>
      <c r="G1166" s="18"/>
    </row>
    <row r="1167" spans="1:7" x14ac:dyDescent="0.25">
      <c r="A1167" s="30">
        <v>1.7481927005756142</v>
      </c>
      <c r="B1167" s="30">
        <v>0</v>
      </c>
      <c r="C1167" s="30">
        <v>16.66</v>
      </c>
      <c r="G1167" s="18"/>
    </row>
    <row r="1168" spans="1:7" x14ac:dyDescent="0.25">
      <c r="A1168" s="30">
        <v>0.56903821795570164</v>
      </c>
      <c r="B1168" s="30">
        <v>0</v>
      </c>
      <c r="C1168" s="30">
        <v>16.66</v>
      </c>
      <c r="G1168" s="18"/>
    </row>
    <row r="1169" spans="1:7" x14ac:dyDescent="0.25">
      <c r="A1169" s="30">
        <v>2.1409268235690924</v>
      </c>
      <c r="B1169" s="30">
        <v>0</v>
      </c>
      <c r="C1169" s="30">
        <v>16.66</v>
      </c>
      <c r="G1169" s="18"/>
    </row>
    <row r="1170" spans="1:7" x14ac:dyDescent="0.25">
      <c r="A1170" s="30">
        <v>0.19835161064075824</v>
      </c>
      <c r="B1170" s="30">
        <v>0</v>
      </c>
      <c r="C1170" s="30">
        <v>16.66</v>
      </c>
      <c r="G1170" s="18"/>
    </row>
    <row r="1171" spans="1:7" x14ac:dyDescent="0.25">
      <c r="A1171" s="30">
        <v>1.9234124359089424</v>
      </c>
      <c r="B1171" s="30">
        <v>0</v>
      </c>
      <c r="C1171" s="30">
        <v>16.66</v>
      </c>
      <c r="G1171" s="18"/>
    </row>
    <row r="1172" spans="1:7" x14ac:dyDescent="0.25">
      <c r="A1172" s="30">
        <v>0.35709066641822024</v>
      </c>
      <c r="B1172" s="30">
        <v>0</v>
      </c>
      <c r="C1172" s="30">
        <v>16.66</v>
      </c>
      <c r="G1172" s="18"/>
    </row>
    <row r="1173" spans="1:7" x14ac:dyDescent="0.25">
      <c r="A1173" s="30">
        <v>1.9723161571533072</v>
      </c>
      <c r="B1173" s="30">
        <v>0</v>
      </c>
      <c r="C1173" s="30">
        <v>16.66</v>
      </c>
      <c r="G1173" s="18"/>
    </row>
    <row r="1174" spans="1:7" x14ac:dyDescent="0.25">
      <c r="A1174" s="30">
        <v>0.47650925611214612</v>
      </c>
      <c r="B1174" s="30">
        <v>0</v>
      </c>
      <c r="C1174" s="30">
        <v>24.919999999999998</v>
      </c>
      <c r="G1174" s="18"/>
    </row>
    <row r="1175" spans="1:7" x14ac:dyDescent="0.25">
      <c r="A1175" s="30">
        <v>0.34310337221315212</v>
      </c>
      <c r="B1175" s="30">
        <v>0</v>
      </c>
      <c r="C1175" s="30">
        <v>24.919999999999998</v>
      </c>
      <c r="G1175" s="18"/>
    </row>
    <row r="1176" spans="1:7" x14ac:dyDescent="0.25">
      <c r="A1176" s="30">
        <v>1.167595773118637</v>
      </c>
      <c r="B1176" s="30">
        <v>0</v>
      </c>
      <c r="C1176" s="30">
        <v>24.919999999999998</v>
      </c>
      <c r="G1176" s="18"/>
    </row>
    <row r="1177" spans="1:7" x14ac:dyDescent="0.25">
      <c r="A1177" s="30">
        <v>0.16962768340740242</v>
      </c>
      <c r="B1177" s="30">
        <v>0</v>
      </c>
      <c r="C1177" s="30">
        <v>24.919999999999998</v>
      </c>
      <c r="G1177" s="18"/>
    </row>
    <row r="1178" spans="1:7" x14ac:dyDescent="0.25">
      <c r="A1178" s="30">
        <v>0.8160966144661943</v>
      </c>
      <c r="B1178" s="30">
        <v>0</v>
      </c>
      <c r="C1178" s="30">
        <v>24.919999999999998</v>
      </c>
      <c r="G1178" s="18"/>
    </row>
    <row r="1179" spans="1:7" x14ac:dyDescent="0.25">
      <c r="A1179" s="30">
        <v>0.57122940490604501</v>
      </c>
      <c r="B1179" s="30">
        <v>0</v>
      </c>
      <c r="C1179" s="30">
        <v>24.919999999999998</v>
      </c>
      <c r="G1179" s="18"/>
    </row>
    <row r="1180" spans="1:7" x14ac:dyDescent="0.25">
      <c r="A1180" s="30">
        <v>0.55977386887912473</v>
      </c>
      <c r="B1180" s="30">
        <v>0</v>
      </c>
      <c r="C1180" s="30">
        <v>24.919999999999998</v>
      </c>
      <c r="G1180" s="18"/>
    </row>
    <row r="1181" spans="1:7" x14ac:dyDescent="0.25">
      <c r="A1181" s="30">
        <v>1.6360810413412785</v>
      </c>
      <c r="B1181" s="30">
        <v>0</v>
      </c>
      <c r="C1181" s="30">
        <v>24.919999999999998</v>
      </c>
      <c r="G1181" s="18"/>
    </row>
    <row r="1182" spans="1:7" x14ac:dyDescent="0.25">
      <c r="A1182" s="30">
        <v>0.44191974115709842</v>
      </c>
      <c r="B1182" s="30">
        <v>0</v>
      </c>
      <c r="C1182" s="30">
        <v>7.839999999999999</v>
      </c>
      <c r="G1182" s="18"/>
    </row>
    <row r="1183" spans="1:7" x14ac:dyDescent="0.25">
      <c r="A1183" s="30">
        <v>0.35446667865371084</v>
      </c>
      <c r="B1183" s="30">
        <v>0</v>
      </c>
      <c r="C1183" s="30">
        <v>7.839999999999999</v>
      </c>
      <c r="G1183" s="18"/>
    </row>
    <row r="1184" spans="1:7" x14ac:dyDescent="0.25">
      <c r="A1184" s="30">
        <v>0.65963144315894362</v>
      </c>
      <c r="B1184" s="30">
        <v>0</v>
      </c>
      <c r="C1184" s="30">
        <v>7.839999999999999</v>
      </c>
      <c r="G1184" s="18"/>
    </row>
    <row r="1185" spans="1:7" x14ac:dyDescent="0.25">
      <c r="A1185" s="30">
        <v>0.96486638189181095</v>
      </c>
      <c r="B1185" s="30">
        <v>0</v>
      </c>
      <c r="C1185" s="30">
        <v>7.839999999999999</v>
      </c>
      <c r="G1185" s="18"/>
    </row>
    <row r="1186" spans="1:7" x14ac:dyDescent="0.25">
      <c r="A1186" s="30">
        <v>6.0374987717647335E-2</v>
      </c>
      <c r="B1186" s="30">
        <v>0</v>
      </c>
      <c r="C1186" s="30">
        <v>7.839999999999999</v>
      </c>
      <c r="G1186" s="18"/>
    </row>
    <row r="1187" spans="1:7" x14ac:dyDescent="0.25">
      <c r="A1187" s="30">
        <v>1.6130732876432397</v>
      </c>
      <c r="B1187" s="30">
        <v>0</v>
      </c>
      <c r="C1187" s="30">
        <v>7.839999999999999</v>
      </c>
      <c r="G1187" s="18"/>
    </row>
    <row r="1188" spans="1:7" x14ac:dyDescent="0.25">
      <c r="A1188" s="30">
        <v>0.74276894824622752</v>
      </c>
      <c r="B1188" s="30">
        <v>0</v>
      </c>
      <c r="C1188" s="30">
        <v>7.839999999999999</v>
      </c>
      <c r="G1188" s="18"/>
    </row>
    <row r="1189" spans="1:7" x14ac:dyDescent="0.25">
      <c r="A1189" s="30">
        <v>2.3537812966916496</v>
      </c>
      <c r="B1189" s="30">
        <v>0</v>
      </c>
      <c r="C1189" s="30">
        <v>7.839999999999999</v>
      </c>
      <c r="G1189" s="18"/>
    </row>
    <row r="1190" spans="1:7" x14ac:dyDescent="0.25">
      <c r="A1190" s="30">
        <v>0.25714372494705701</v>
      </c>
      <c r="B1190" s="30">
        <v>0</v>
      </c>
      <c r="C1190" s="30">
        <v>7.839999999999999</v>
      </c>
      <c r="G1190" s="18"/>
    </row>
    <row r="1191" spans="1:7" x14ac:dyDescent="0.25">
      <c r="A1191" s="30">
        <v>3.8495283366856904E-2</v>
      </c>
      <c r="B1191" s="30">
        <v>0</v>
      </c>
      <c r="C1191" s="30">
        <v>7.839999999999999</v>
      </c>
      <c r="G1191" s="18"/>
    </row>
    <row r="1192" spans="1:7" x14ac:dyDescent="0.25">
      <c r="A1192" s="30">
        <v>0.89289127589814643</v>
      </c>
      <c r="B1192" s="30">
        <v>0</v>
      </c>
      <c r="C1192" s="30">
        <v>7.839999999999999</v>
      </c>
      <c r="G1192" s="18"/>
    </row>
    <row r="1193" spans="1:7" x14ac:dyDescent="0.25">
      <c r="A1193" s="30">
        <v>1.6436999478689889</v>
      </c>
      <c r="B1193" s="30">
        <v>0</v>
      </c>
      <c r="C1193" s="30">
        <v>7.839999999999999</v>
      </c>
      <c r="G1193" s="18"/>
    </row>
    <row r="1194" spans="1:7" x14ac:dyDescent="0.25">
      <c r="A1194" s="30">
        <v>0.37642565411291723</v>
      </c>
      <c r="B1194" s="30">
        <v>0</v>
      </c>
      <c r="C1194" s="30">
        <v>7.839999999999999</v>
      </c>
      <c r="G1194" s="18"/>
    </row>
    <row r="1195" spans="1:7" x14ac:dyDescent="0.25">
      <c r="A1195" s="30">
        <v>1.8341460308971407</v>
      </c>
      <c r="B1195" s="30">
        <v>0</v>
      </c>
      <c r="C1195" s="30">
        <v>7.839999999999999</v>
      </c>
      <c r="G1195" s="18"/>
    </row>
    <row r="1196" spans="1:7" x14ac:dyDescent="0.25">
      <c r="A1196" s="30">
        <v>0.32413311218342444</v>
      </c>
      <c r="B1196" s="30">
        <v>0</v>
      </c>
      <c r="C1196" s="30">
        <v>24.22</v>
      </c>
      <c r="G1196" s="18"/>
    </row>
    <row r="1197" spans="1:7" x14ac:dyDescent="0.25">
      <c r="A1197" s="30">
        <v>0.65755691854476939</v>
      </c>
      <c r="B1197" s="30">
        <v>0</v>
      </c>
      <c r="C1197" s="30">
        <v>24.22</v>
      </c>
      <c r="G1197" s="18"/>
    </row>
    <row r="1198" spans="1:7" x14ac:dyDescent="0.25">
      <c r="A1198" s="30">
        <v>0.73241951726280496</v>
      </c>
      <c r="B1198" s="30">
        <v>0</v>
      </c>
      <c r="C1198" s="30">
        <v>24.22</v>
      </c>
      <c r="G1198" s="18"/>
    </row>
    <row r="1199" spans="1:7" x14ac:dyDescent="0.25">
      <c r="A1199" s="30">
        <v>0.92610509015765952</v>
      </c>
      <c r="B1199" s="30">
        <v>0</v>
      </c>
      <c r="C1199" s="30">
        <v>24.22</v>
      </c>
      <c r="G1199" s="18"/>
    </row>
    <row r="1200" spans="1:7" x14ac:dyDescent="0.25">
      <c r="A1200" s="30">
        <v>1.3690245904666749</v>
      </c>
      <c r="B1200" s="30">
        <v>0</v>
      </c>
      <c r="C1200" s="30">
        <v>24.22</v>
      </c>
      <c r="G1200" s="18"/>
    </row>
    <row r="1201" spans="1:7" x14ac:dyDescent="0.25">
      <c r="A1201" s="30">
        <v>2.1599532639003671</v>
      </c>
      <c r="B1201" s="30">
        <v>0</v>
      </c>
      <c r="C1201" s="30">
        <v>24.22</v>
      </c>
      <c r="G1201" s="18"/>
    </row>
    <row r="1202" spans="1:7" x14ac:dyDescent="0.25">
      <c r="A1202" s="30">
        <v>0.77317733475283679</v>
      </c>
      <c r="B1202" s="30">
        <v>0</v>
      </c>
      <c r="C1202" s="30">
        <v>24.22</v>
      </c>
      <c r="G1202" s="18"/>
    </row>
    <row r="1203" spans="1:7" x14ac:dyDescent="0.25">
      <c r="A1203" s="30">
        <v>1.2111713064623797</v>
      </c>
      <c r="B1203" s="30">
        <v>0</v>
      </c>
      <c r="C1203" s="30">
        <v>24.22</v>
      </c>
      <c r="G1203" s="18"/>
    </row>
    <row r="1204" spans="1:7" x14ac:dyDescent="0.25">
      <c r="A1204" s="30">
        <v>1.291321031403331</v>
      </c>
      <c r="B1204" s="30">
        <v>0</v>
      </c>
      <c r="C1204" s="30">
        <v>24.22</v>
      </c>
      <c r="G1204" s="18"/>
    </row>
    <row r="1205" spans="1:7" x14ac:dyDescent="0.25">
      <c r="A1205" s="30">
        <v>1.827640707010683</v>
      </c>
      <c r="B1205" s="30">
        <v>0</v>
      </c>
      <c r="C1205" s="30">
        <v>24.22</v>
      </c>
      <c r="G1205" s="18"/>
    </row>
    <row r="1206" spans="1:7" x14ac:dyDescent="0.25">
      <c r="A1206" s="30">
        <v>1.2291139436154346</v>
      </c>
      <c r="B1206" s="30">
        <v>0</v>
      </c>
      <c r="C1206" s="30">
        <v>24.22</v>
      </c>
      <c r="G1206" s="18"/>
    </row>
    <row r="1207" spans="1:7" x14ac:dyDescent="0.25">
      <c r="A1207" s="30">
        <v>0.51670219062834377</v>
      </c>
      <c r="B1207" s="30">
        <v>0</v>
      </c>
      <c r="C1207" s="30">
        <v>24.22</v>
      </c>
      <c r="G1207" s="18"/>
    </row>
    <row r="1208" spans="1:7" x14ac:dyDescent="0.25">
      <c r="A1208" s="30">
        <v>0.55220775204163952</v>
      </c>
      <c r="B1208" s="30">
        <v>0</v>
      </c>
      <c r="C1208" s="30">
        <v>24.22</v>
      </c>
      <c r="G1208" s="18"/>
    </row>
    <row r="1209" spans="1:7" x14ac:dyDescent="0.25">
      <c r="A1209" s="30">
        <v>2.331012370006504</v>
      </c>
      <c r="B1209" s="30">
        <v>0</v>
      </c>
      <c r="C1209" s="30">
        <v>24.22</v>
      </c>
      <c r="G1209" s="18"/>
    </row>
    <row r="1210" spans="1:7" x14ac:dyDescent="0.25">
      <c r="A1210" s="30">
        <v>1.2726610195852843</v>
      </c>
      <c r="B1210" s="30">
        <v>0</v>
      </c>
      <c r="C1210" s="30">
        <v>24.22</v>
      </c>
      <c r="G1210" s="18"/>
    </row>
    <row r="1211" spans="1:7" x14ac:dyDescent="0.25">
      <c r="A1211" s="30">
        <v>0.72057372787743057</v>
      </c>
      <c r="B1211" s="30">
        <v>0</v>
      </c>
      <c r="C1211" s="30">
        <v>24.22</v>
      </c>
      <c r="G1211" s="18"/>
    </row>
    <row r="1212" spans="1:7" x14ac:dyDescent="0.25">
      <c r="A1212" s="30">
        <v>0.52683659756729839</v>
      </c>
      <c r="B1212" s="30">
        <v>0</v>
      </c>
      <c r="C1212" s="30">
        <v>24.22</v>
      </c>
      <c r="G1212" s="18"/>
    </row>
    <row r="1213" spans="1:7" x14ac:dyDescent="0.25">
      <c r="A1213" s="30">
        <v>1.3430769136651126</v>
      </c>
      <c r="B1213" s="30">
        <v>0</v>
      </c>
      <c r="C1213" s="30">
        <v>44.8</v>
      </c>
      <c r="G1213" s="18"/>
    </row>
    <row r="1214" spans="1:7" x14ac:dyDescent="0.25">
      <c r="A1214" s="30">
        <v>0.96725167598583683</v>
      </c>
      <c r="B1214" s="30">
        <v>0</v>
      </c>
      <c r="C1214" s="30">
        <v>44.8</v>
      </c>
      <c r="G1214" s="18"/>
    </row>
    <row r="1215" spans="1:7" x14ac:dyDescent="0.25">
      <c r="A1215" s="30">
        <v>1.3519834824134576</v>
      </c>
      <c r="B1215" s="30">
        <v>0</v>
      </c>
      <c r="C1215" s="30">
        <v>44.8</v>
      </c>
      <c r="G1215" s="18"/>
    </row>
    <row r="1216" spans="1:7" x14ac:dyDescent="0.25">
      <c r="A1216" s="30">
        <v>0.77354439975268197</v>
      </c>
      <c r="B1216" s="30">
        <v>0</v>
      </c>
      <c r="C1216" s="30">
        <v>44.8</v>
      </c>
      <c r="G1216" s="18"/>
    </row>
    <row r="1217" spans="1:7" x14ac:dyDescent="0.25">
      <c r="A1217" s="30">
        <v>2.3455989804804425</v>
      </c>
      <c r="B1217" s="30">
        <v>0</v>
      </c>
      <c r="C1217" s="30">
        <v>44.8</v>
      </c>
      <c r="G1217" s="18"/>
    </row>
    <row r="1218" spans="1:7" x14ac:dyDescent="0.25">
      <c r="A1218" s="30">
        <v>1.0646999951213136</v>
      </c>
      <c r="B1218" s="30">
        <v>0</v>
      </c>
      <c r="C1218" s="30">
        <v>44.8</v>
      </c>
      <c r="G1218" s="18"/>
    </row>
    <row r="1219" spans="1:7" x14ac:dyDescent="0.25">
      <c r="A1219" s="30">
        <v>2.3875819132227702</v>
      </c>
      <c r="B1219" s="30">
        <v>0</v>
      </c>
      <c r="C1219" s="30">
        <v>44.8</v>
      </c>
      <c r="G1219" s="18"/>
    </row>
    <row r="1220" spans="1:7" x14ac:dyDescent="0.25">
      <c r="A1220" s="30">
        <v>0.94760204043061491</v>
      </c>
      <c r="B1220" s="30">
        <v>0</v>
      </c>
      <c r="C1220" s="30">
        <v>44.8</v>
      </c>
      <c r="G1220" s="18"/>
    </row>
    <row r="1221" spans="1:7" x14ac:dyDescent="0.25">
      <c r="A1221" s="30">
        <v>1.7407679470580468</v>
      </c>
      <c r="B1221" s="30">
        <v>0</v>
      </c>
      <c r="C1221" s="30">
        <v>44.8</v>
      </c>
      <c r="G1221" s="18"/>
    </row>
    <row r="1222" spans="1:7" x14ac:dyDescent="0.25">
      <c r="A1222" s="30">
        <v>0.65605009225849875</v>
      </c>
      <c r="B1222" s="30">
        <v>0</v>
      </c>
      <c r="C1222" s="30">
        <v>44.8</v>
      </c>
      <c r="G1222" s="18"/>
    </row>
    <row r="1223" spans="1:7" x14ac:dyDescent="0.25">
      <c r="A1223" s="30">
        <v>1.603983321892926</v>
      </c>
      <c r="B1223" s="30">
        <v>0</v>
      </c>
      <c r="C1223" s="30">
        <v>44.8</v>
      </c>
      <c r="G1223" s="18"/>
    </row>
    <row r="1224" spans="1:7" x14ac:dyDescent="0.25">
      <c r="A1224" s="30">
        <v>0.16600316520011729</v>
      </c>
      <c r="B1224" s="30">
        <v>0</v>
      </c>
      <c r="C1224" s="30">
        <v>44.8</v>
      </c>
      <c r="G1224" s="18"/>
    </row>
    <row r="1225" spans="1:7" x14ac:dyDescent="0.25">
      <c r="A1225" s="30">
        <v>0.760666880077152</v>
      </c>
      <c r="B1225" s="30">
        <v>0</v>
      </c>
      <c r="C1225" s="30">
        <v>44.8</v>
      </c>
      <c r="G1225" s="18"/>
    </row>
    <row r="1226" spans="1:7" x14ac:dyDescent="0.25">
      <c r="A1226" s="30">
        <v>1.0006471654171907</v>
      </c>
      <c r="B1226" s="30">
        <v>0</v>
      </c>
      <c r="C1226" s="30">
        <v>44.8</v>
      </c>
      <c r="G1226" s="18"/>
    </row>
    <row r="1227" spans="1:7" x14ac:dyDescent="0.25">
      <c r="A1227" s="30">
        <v>0.46154849552079291</v>
      </c>
      <c r="B1227" s="30">
        <v>0</v>
      </c>
      <c r="C1227" s="30">
        <v>44.8</v>
      </c>
      <c r="G1227" s="18"/>
    </row>
    <row r="1228" spans="1:7" x14ac:dyDescent="0.25">
      <c r="A1228" s="30">
        <v>9.7596379129148911E-2</v>
      </c>
      <c r="B1228" s="30">
        <v>0</v>
      </c>
      <c r="C1228" s="30">
        <v>44.8</v>
      </c>
      <c r="G1228" s="18"/>
    </row>
    <row r="1229" spans="1:7" x14ac:dyDescent="0.25">
      <c r="A1229" s="30">
        <v>1.7301695193149105</v>
      </c>
      <c r="B1229" s="30">
        <v>0</v>
      </c>
      <c r="C1229" s="30">
        <v>44.8</v>
      </c>
      <c r="G1229" s="18"/>
    </row>
    <row r="1230" spans="1:7" x14ac:dyDescent="0.25">
      <c r="A1230" s="30">
        <v>0.77763186961116926</v>
      </c>
      <c r="B1230" s="30">
        <v>0</v>
      </c>
      <c r="C1230" s="30">
        <v>14.279999999999998</v>
      </c>
      <c r="G1230" s="18"/>
    </row>
    <row r="1231" spans="1:7" x14ac:dyDescent="0.25">
      <c r="A1231" s="30">
        <v>0.97904493218175881</v>
      </c>
      <c r="B1231" s="30">
        <v>0</v>
      </c>
      <c r="C1231" s="30">
        <v>14.279999999999998</v>
      </c>
      <c r="G1231" s="18"/>
    </row>
    <row r="1232" spans="1:7" x14ac:dyDescent="0.25">
      <c r="A1232" s="30">
        <v>1.3952985331481238</v>
      </c>
      <c r="B1232" s="30">
        <v>0</v>
      </c>
      <c r="C1232" s="30">
        <v>14.279999999999998</v>
      </c>
      <c r="G1232" s="18"/>
    </row>
    <row r="1233" spans="1:7" x14ac:dyDescent="0.25">
      <c r="A1233" s="30">
        <v>1.3791663973613022</v>
      </c>
      <c r="B1233" s="30">
        <v>0</v>
      </c>
      <c r="C1233" s="30">
        <v>14.279999999999998</v>
      </c>
      <c r="G1233" s="18"/>
    </row>
    <row r="1234" spans="1:7" x14ac:dyDescent="0.25">
      <c r="A1234" s="30">
        <v>8.0470879697941422E-2</v>
      </c>
      <c r="B1234" s="30">
        <v>0</v>
      </c>
      <c r="C1234" s="30">
        <v>14.279999999999998</v>
      </c>
      <c r="G1234" s="18"/>
    </row>
    <row r="1235" spans="1:7" x14ac:dyDescent="0.25">
      <c r="A1235" s="30">
        <v>2.147068210641903</v>
      </c>
      <c r="B1235" s="30">
        <v>0</v>
      </c>
      <c r="C1235" s="30">
        <v>14.279999999999998</v>
      </c>
      <c r="G1235" s="18"/>
    </row>
    <row r="1236" spans="1:7" x14ac:dyDescent="0.25">
      <c r="A1236" s="30">
        <v>1.0954922872484252</v>
      </c>
      <c r="B1236" s="30">
        <v>0</v>
      </c>
      <c r="C1236" s="30">
        <v>14.279999999999998</v>
      </c>
      <c r="G1236" s="18"/>
    </row>
    <row r="1237" spans="1:7" x14ac:dyDescent="0.25">
      <c r="A1237" s="30">
        <v>0.62680942922849103</v>
      </c>
      <c r="B1237" s="30">
        <v>0</v>
      </c>
      <c r="C1237" s="30">
        <v>14.279999999999998</v>
      </c>
      <c r="G1237" s="18"/>
    </row>
    <row r="1238" spans="1:7" x14ac:dyDescent="0.25">
      <c r="A1238" s="30">
        <v>0.96120201076934464</v>
      </c>
      <c r="B1238" s="30">
        <v>0</v>
      </c>
      <c r="C1238" s="30">
        <v>14.279999999999998</v>
      </c>
      <c r="G1238" s="18"/>
    </row>
    <row r="1239" spans="1:7" x14ac:dyDescent="0.25">
      <c r="A1239" s="30">
        <v>2.0557109129338853</v>
      </c>
      <c r="B1239" s="30">
        <v>0</v>
      </c>
      <c r="C1239" s="30">
        <v>14.279999999999998</v>
      </c>
      <c r="G1239" s="18"/>
    </row>
    <row r="1240" spans="1:7" x14ac:dyDescent="0.25">
      <c r="A1240" s="30">
        <v>0.26009399588475518</v>
      </c>
      <c r="B1240" s="30">
        <v>0</v>
      </c>
      <c r="C1240" s="30">
        <v>14.279999999999998</v>
      </c>
      <c r="G1240" s="18"/>
    </row>
    <row r="1241" spans="1:7" x14ac:dyDescent="0.25">
      <c r="A1241" s="30">
        <v>0.26908446855005447</v>
      </c>
      <c r="B1241" s="30">
        <v>0</v>
      </c>
      <c r="C1241" s="30">
        <v>14.279999999999998</v>
      </c>
      <c r="G1241" s="18"/>
    </row>
    <row r="1242" spans="1:7" x14ac:dyDescent="0.25">
      <c r="A1242" s="30">
        <v>0.76440647183578014</v>
      </c>
      <c r="B1242" s="30">
        <v>0</v>
      </c>
      <c r="C1242" s="30">
        <v>14.279999999999998</v>
      </c>
      <c r="G1242" s="18"/>
    </row>
    <row r="1243" spans="1:7" x14ac:dyDescent="0.25">
      <c r="A1243" s="30">
        <v>2.2324083009891296</v>
      </c>
      <c r="B1243" s="30">
        <v>0</v>
      </c>
      <c r="C1243" s="30">
        <v>14.279999999999998</v>
      </c>
      <c r="G1243" s="18"/>
    </row>
    <row r="1244" spans="1:7" x14ac:dyDescent="0.25">
      <c r="A1244" s="30">
        <v>1.082865551005616</v>
      </c>
      <c r="B1244" s="30">
        <v>0</v>
      </c>
      <c r="C1244" s="30">
        <v>14.279999999999998</v>
      </c>
      <c r="G1244" s="18"/>
    </row>
    <row r="1245" spans="1:7" x14ac:dyDescent="0.25">
      <c r="A1245" s="30">
        <v>2.3665665731012768</v>
      </c>
      <c r="B1245" s="30">
        <v>0</v>
      </c>
      <c r="C1245" s="30">
        <v>14.279999999999998</v>
      </c>
      <c r="G1245" s="18"/>
    </row>
    <row r="1246" spans="1:7" x14ac:dyDescent="0.25">
      <c r="A1246" s="30">
        <v>0.19324242328460642</v>
      </c>
      <c r="B1246" s="30">
        <v>0</v>
      </c>
      <c r="C1246" s="30">
        <v>14.279999999999998</v>
      </c>
      <c r="G1246" s="18"/>
    </row>
    <row r="1247" spans="1:7" x14ac:dyDescent="0.25">
      <c r="A1247" s="30">
        <v>1.1797907253881816</v>
      </c>
      <c r="B1247" s="30">
        <v>0</v>
      </c>
      <c r="C1247" s="30">
        <v>7.419999999999999</v>
      </c>
      <c r="G1247" s="18"/>
    </row>
    <row r="1248" spans="1:7" x14ac:dyDescent="0.25">
      <c r="A1248" s="30">
        <v>0.55110216102993215</v>
      </c>
      <c r="B1248" s="30">
        <v>0</v>
      </c>
      <c r="C1248" s="30">
        <v>7.419999999999999</v>
      </c>
      <c r="G1248" s="18"/>
    </row>
    <row r="1249" spans="1:7" x14ac:dyDescent="0.25">
      <c r="A1249" s="30">
        <v>0.27545299292873243</v>
      </c>
      <c r="B1249" s="30">
        <v>0</v>
      </c>
      <c r="C1249" s="30">
        <v>7.419999999999999</v>
      </c>
      <c r="G1249" s="18"/>
    </row>
    <row r="1250" spans="1:7" x14ac:dyDescent="0.25">
      <c r="A1250" s="30">
        <v>0.61439499688879473</v>
      </c>
      <c r="B1250" s="30">
        <v>0</v>
      </c>
      <c r="C1250" s="30">
        <v>7.419999999999999</v>
      </c>
      <c r="G1250" s="18"/>
    </row>
    <row r="1251" spans="1:7" x14ac:dyDescent="0.25">
      <c r="A1251" s="30">
        <v>0.43004483349666245</v>
      </c>
      <c r="B1251" s="30">
        <v>0</v>
      </c>
      <c r="C1251" s="30">
        <v>7.419999999999999</v>
      </c>
      <c r="G1251" s="18"/>
    </row>
    <row r="1252" spans="1:7" x14ac:dyDescent="0.25">
      <c r="A1252" s="30">
        <v>1.0201684142363463</v>
      </c>
      <c r="B1252" s="30">
        <v>0</v>
      </c>
      <c r="C1252" s="30">
        <v>7.419999999999999</v>
      </c>
      <c r="G1252" s="18"/>
    </row>
    <row r="1253" spans="1:7" x14ac:dyDescent="0.25">
      <c r="A1253" s="30">
        <v>1.9334405499522238</v>
      </c>
      <c r="B1253" s="30">
        <v>0</v>
      </c>
      <c r="C1253" s="30">
        <v>7.419999999999999</v>
      </c>
      <c r="G1253" s="18"/>
    </row>
    <row r="1254" spans="1:7" x14ac:dyDescent="0.25">
      <c r="A1254" s="30">
        <v>0.82777956648147266</v>
      </c>
      <c r="B1254" s="30">
        <v>0</v>
      </c>
      <c r="C1254" s="30">
        <v>7.419999999999999</v>
      </c>
      <c r="G1254" s="18"/>
    </row>
    <row r="1255" spans="1:7" x14ac:dyDescent="0.25">
      <c r="A1255" s="30">
        <v>1.399371598801735</v>
      </c>
      <c r="B1255" s="30">
        <v>0</v>
      </c>
      <c r="C1255" s="30">
        <v>7.419999999999999</v>
      </c>
      <c r="G1255" s="18"/>
    </row>
    <row r="1256" spans="1:7" x14ac:dyDescent="0.25">
      <c r="A1256" s="30">
        <v>0.84719327603730554</v>
      </c>
      <c r="B1256" s="30">
        <v>0</v>
      </c>
      <c r="C1256" s="30">
        <v>7.419999999999999</v>
      </c>
      <c r="G1256" s="18"/>
    </row>
    <row r="1257" spans="1:7" x14ac:dyDescent="0.25">
      <c r="A1257" s="30">
        <v>1.5835538235897366</v>
      </c>
      <c r="B1257" s="30">
        <v>0</v>
      </c>
      <c r="C1257" s="30">
        <v>7.419999999999999</v>
      </c>
      <c r="G1257" s="18"/>
    </row>
    <row r="1258" spans="1:7" x14ac:dyDescent="0.25">
      <c r="A1258" s="30">
        <v>1.0825919634584158</v>
      </c>
      <c r="B1258" s="30">
        <v>0</v>
      </c>
      <c r="C1258" s="30">
        <v>7.419999999999999</v>
      </c>
      <c r="G1258" s="18"/>
    </row>
    <row r="1259" spans="1:7" x14ac:dyDescent="0.25">
      <c r="A1259" s="30">
        <v>1.6423229442320875</v>
      </c>
      <c r="B1259" s="30">
        <v>0</v>
      </c>
      <c r="C1259" s="30">
        <v>7.419999999999999</v>
      </c>
      <c r="G1259" s="18"/>
    </row>
    <row r="1260" spans="1:7" x14ac:dyDescent="0.25">
      <c r="A1260" s="30">
        <v>0.63116351188517628</v>
      </c>
      <c r="B1260" s="30">
        <v>0</v>
      </c>
      <c r="C1260" s="30">
        <v>7.419999999999999</v>
      </c>
      <c r="G1260" s="18"/>
    </row>
    <row r="1261" spans="1:7" x14ac:dyDescent="0.25">
      <c r="A1261" s="30">
        <v>0.61430099889388212</v>
      </c>
      <c r="B1261" s="30">
        <v>0</v>
      </c>
      <c r="C1261" s="30">
        <v>7.419999999999999</v>
      </c>
      <c r="G1261" s="18"/>
    </row>
    <row r="1262" spans="1:7" x14ac:dyDescent="0.25">
      <c r="A1262" s="30">
        <v>0.94302854530286506</v>
      </c>
      <c r="B1262" s="30">
        <v>0</v>
      </c>
      <c r="C1262" s="30">
        <v>7.419999999999999</v>
      </c>
      <c r="G1262" s="18"/>
    </row>
    <row r="1263" spans="1:7" x14ac:dyDescent="0.25">
      <c r="A1263" s="30">
        <v>1.0439761974968387</v>
      </c>
      <c r="B1263" s="30">
        <v>0</v>
      </c>
      <c r="C1263" s="30">
        <v>21.979999999999997</v>
      </c>
      <c r="G1263" s="18"/>
    </row>
    <row r="1264" spans="1:7" x14ac:dyDescent="0.25">
      <c r="A1264" s="30">
        <v>0.61906671909613253</v>
      </c>
      <c r="B1264" s="30">
        <v>0</v>
      </c>
      <c r="C1264" s="30">
        <v>21.979999999999997</v>
      </c>
      <c r="G1264" s="18"/>
    </row>
    <row r="1265" spans="1:7" x14ac:dyDescent="0.25">
      <c r="A1265" s="30">
        <v>2.3993668377559185</v>
      </c>
      <c r="B1265" s="30">
        <v>0</v>
      </c>
      <c r="C1265" s="30">
        <v>21.979999999999997</v>
      </c>
      <c r="G1265" s="18"/>
    </row>
    <row r="1266" spans="1:7" x14ac:dyDescent="0.25">
      <c r="A1266" s="30">
        <v>1.2499103100581841</v>
      </c>
      <c r="B1266" s="30">
        <v>0</v>
      </c>
      <c r="C1266" s="30">
        <v>21.979999999999997</v>
      </c>
      <c r="G1266" s="18"/>
    </row>
    <row r="1267" spans="1:7" x14ac:dyDescent="0.25">
      <c r="A1267" s="30">
        <v>0.97511624098730676</v>
      </c>
      <c r="B1267" s="30">
        <v>0</v>
      </c>
      <c r="C1267" s="30">
        <v>21.979999999999997</v>
      </c>
      <c r="G1267" s="18"/>
    </row>
    <row r="1268" spans="1:7" x14ac:dyDescent="0.25">
      <c r="A1268" s="30">
        <v>0.63507799436804646</v>
      </c>
      <c r="B1268" s="30">
        <v>0</v>
      </c>
      <c r="C1268" s="30">
        <v>21.979999999999997</v>
      </c>
      <c r="G1268" s="18"/>
    </row>
    <row r="1269" spans="1:7" x14ac:dyDescent="0.25">
      <c r="A1269" s="30">
        <v>1.8294119097432684</v>
      </c>
      <c r="B1269" s="30">
        <v>0</v>
      </c>
      <c r="C1269" s="30">
        <v>21.979999999999997</v>
      </c>
      <c r="G1269" s="18"/>
    </row>
    <row r="1270" spans="1:7" x14ac:dyDescent="0.25">
      <c r="A1270" s="30">
        <v>0.96086679228987304</v>
      </c>
      <c r="B1270" s="30">
        <v>0</v>
      </c>
      <c r="C1270" s="30">
        <v>21.979999999999997</v>
      </c>
      <c r="G1270" s="18"/>
    </row>
    <row r="1271" spans="1:7" x14ac:dyDescent="0.25">
      <c r="A1271" s="30">
        <v>0.44476220703289915</v>
      </c>
      <c r="B1271" s="30">
        <v>0</v>
      </c>
      <c r="C1271" s="30">
        <v>21.979999999999997</v>
      </c>
      <c r="G1271" s="18"/>
    </row>
    <row r="1272" spans="1:7" x14ac:dyDescent="0.25">
      <c r="A1272" s="30">
        <v>1.3033077839462472</v>
      </c>
      <c r="B1272" s="30">
        <v>0</v>
      </c>
      <c r="C1272" s="30">
        <v>21.979999999999997</v>
      </c>
      <c r="G1272" s="18"/>
    </row>
    <row r="1273" spans="1:7" x14ac:dyDescent="0.25">
      <c r="A1273" s="30">
        <v>1.4593722957002944</v>
      </c>
      <c r="B1273" s="30">
        <v>0</v>
      </c>
      <c r="C1273" s="30">
        <v>21.979999999999997</v>
      </c>
      <c r="G1273" s="18"/>
    </row>
    <row r="1274" spans="1:7" x14ac:dyDescent="0.25">
      <c r="A1274" s="30">
        <v>1.327348876013005</v>
      </c>
      <c r="B1274" s="30">
        <v>0</v>
      </c>
      <c r="C1274" s="30">
        <v>21.979999999999997</v>
      </c>
      <c r="G1274" s="18"/>
    </row>
    <row r="1275" spans="1:7" x14ac:dyDescent="0.25">
      <c r="A1275" s="30">
        <v>0.344151889968355</v>
      </c>
      <c r="B1275" s="30">
        <v>0</v>
      </c>
      <c r="C1275" s="30">
        <v>21.979999999999997</v>
      </c>
      <c r="G1275" s="18"/>
    </row>
    <row r="1276" spans="1:7" x14ac:dyDescent="0.25">
      <c r="A1276" s="30">
        <v>0.97122147230811073</v>
      </c>
      <c r="B1276" s="30">
        <v>0</v>
      </c>
      <c r="C1276" s="30">
        <v>21.979999999999997</v>
      </c>
      <c r="G1276" s="18"/>
    </row>
    <row r="1277" spans="1:7" x14ac:dyDescent="0.25">
      <c r="A1277" s="30">
        <v>0.60031354954958882</v>
      </c>
      <c r="B1277" s="30">
        <v>0</v>
      </c>
      <c r="C1277" s="30">
        <v>21.979999999999997</v>
      </c>
      <c r="G1277" s="18"/>
    </row>
    <row r="1278" spans="1:7" x14ac:dyDescent="0.25">
      <c r="A1278" s="30">
        <v>0.88038789108589222</v>
      </c>
      <c r="B1278" s="30">
        <v>0</v>
      </c>
      <c r="C1278" s="30">
        <v>21.979999999999997</v>
      </c>
      <c r="G1278" s="18"/>
    </row>
    <row r="1279" spans="1:7" x14ac:dyDescent="0.25">
      <c r="A1279" s="30">
        <v>2.3065674354500652</v>
      </c>
      <c r="B1279" s="30">
        <v>0</v>
      </c>
      <c r="C1279" s="30">
        <v>21.979999999999997</v>
      </c>
      <c r="G1279" s="18"/>
    </row>
    <row r="1280" spans="1:7" x14ac:dyDescent="0.25">
      <c r="A1280" s="30">
        <v>5.5751480622819427E-2</v>
      </c>
      <c r="B1280" s="30">
        <v>0</v>
      </c>
      <c r="C1280" s="30">
        <v>34.72</v>
      </c>
      <c r="G1280" s="18"/>
    </row>
    <row r="1281" spans="1:7" x14ac:dyDescent="0.25">
      <c r="A1281" s="30">
        <v>1.7128363819992187</v>
      </c>
      <c r="B1281" s="30">
        <v>0</v>
      </c>
      <c r="C1281" s="30">
        <v>34.72</v>
      </c>
      <c r="G1281" s="18"/>
    </row>
    <row r="1282" spans="1:7" x14ac:dyDescent="0.25">
      <c r="A1282" s="30">
        <v>1.0520133167953052</v>
      </c>
      <c r="B1282" s="30">
        <v>0</v>
      </c>
      <c r="C1282" s="30">
        <v>34.72</v>
      </c>
      <c r="G1282" s="18"/>
    </row>
    <row r="1283" spans="1:7" x14ac:dyDescent="0.25">
      <c r="A1283" s="30">
        <v>2.1814665872938632</v>
      </c>
      <c r="B1283" s="30">
        <v>0</v>
      </c>
      <c r="C1283" s="30">
        <v>34.72</v>
      </c>
      <c r="G1283" s="18"/>
    </row>
    <row r="1284" spans="1:7" x14ac:dyDescent="0.25">
      <c r="A1284" s="30">
        <v>1.1860425035176894</v>
      </c>
      <c r="B1284" s="30">
        <v>0</v>
      </c>
      <c r="C1284" s="30">
        <v>34.72</v>
      </c>
      <c r="G1284" s="18"/>
    </row>
    <row r="1285" spans="1:7" x14ac:dyDescent="0.25">
      <c r="A1285" s="30">
        <v>0.74613375444114594</v>
      </c>
      <c r="B1285" s="30">
        <v>0</v>
      </c>
      <c r="C1285" s="30">
        <v>34.72</v>
      </c>
      <c r="G1285" s="18"/>
    </row>
    <row r="1286" spans="1:7" x14ac:dyDescent="0.25">
      <c r="A1286" s="30">
        <v>1.199886813666327</v>
      </c>
      <c r="B1286" s="30">
        <v>0</v>
      </c>
      <c r="C1286" s="30">
        <v>34.72</v>
      </c>
      <c r="G1286" s="18"/>
    </row>
    <row r="1287" spans="1:7" x14ac:dyDescent="0.25">
      <c r="A1287" s="30">
        <v>1.1042917974721576</v>
      </c>
      <c r="B1287" s="30">
        <v>0</v>
      </c>
      <c r="C1287" s="30">
        <v>34.72</v>
      </c>
      <c r="G1287" s="18"/>
    </row>
    <row r="1288" spans="1:7" x14ac:dyDescent="0.25">
      <c r="A1288" s="30">
        <v>0.43188741484284543</v>
      </c>
      <c r="B1288" s="30">
        <v>0</v>
      </c>
      <c r="C1288" s="30">
        <v>34.72</v>
      </c>
      <c r="G1288" s="18"/>
    </row>
    <row r="1289" spans="1:7" x14ac:dyDescent="0.25">
      <c r="A1289" s="30">
        <v>0.81072590724495619</v>
      </c>
      <c r="B1289" s="30">
        <v>0</v>
      </c>
      <c r="C1289" s="30">
        <v>34.72</v>
      </c>
      <c r="G1289" s="18"/>
    </row>
    <row r="1290" spans="1:7" x14ac:dyDescent="0.25">
      <c r="A1290" s="30">
        <v>0.63059410480584455</v>
      </c>
      <c r="B1290" s="30">
        <v>0</v>
      </c>
      <c r="C1290" s="30">
        <v>34.72</v>
      </c>
      <c r="G1290" s="18"/>
    </row>
    <row r="1291" spans="1:7" x14ac:dyDescent="0.25">
      <c r="A1291" s="30">
        <v>1.8331446175657706</v>
      </c>
      <c r="B1291" s="30">
        <v>0</v>
      </c>
      <c r="C1291" s="30">
        <v>34.72</v>
      </c>
      <c r="G1291" s="18"/>
    </row>
    <row r="1292" spans="1:7" x14ac:dyDescent="0.25">
      <c r="A1292" s="30">
        <v>0.92529066993896036</v>
      </c>
      <c r="B1292" s="30">
        <v>0</v>
      </c>
      <c r="C1292" s="30">
        <v>34.72</v>
      </c>
      <c r="G1292" s="18"/>
    </row>
    <row r="1293" spans="1:7" x14ac:dyDescent="0.25">
      <c r="A1293" s="30">
        <v>0.45334855339169311</v>
      </c>
      <c r="B1293" s="30">
        <v>0</v>
      </c>
      <c r="C1293" s="30">
        <v>34.72</v>
      </c>
      <c r="G1293" s="18"/>
    </row>
    <row r="1294" spans="1:7" x14ac:dyDescent="0.25">
      <c r="A1294" s="30">
        <v>0.39011219733237901</v>
      </c>
      <c r="B1294" s="30">
        <v>0</v>
      </c>
      <c r="C1294" s="30">
        <v>34.72</v>
      </c>
      <c r="G1294" s="18"/>
    </row>
    <row r="1295" spans="1:7" x14ac:dyDescent="0.25">
      <c r="A1295" s="30">
        <v>1.0488529460868059</v>
      </c>
      <c r="B1295" s="30">
        <v>0</v>
      </c>
      <c r="C1295" s="30">
        <v>34.72</v>
      </c>
      <c r="G1295" s="18"/>
    </row>
    <row r="1296" spans="1:7" x14ac:dyDescent="0.25">
      <c r="A1296" s="30">
        <v>0.75381536518618864</v>
      </c>
      <c r="B1296" s="30">
        <v>0</v>
      </c>
      <c r="C1296" s="30">
        <v>17.22</v>
      </c>
      <c r="G1296" s="18"/>
    </row>
    <row r="1297" spans="1:7" x14ac:dyDescent="0.25">
      <c r="A1297" s="30">
        <v>1.1219162677462322</v>
      </c>
      <c r="B1297" s="30">
        <v>0</v>
      </c>
      <c r="C1297" s="30">
        <v>17.22</v>
      </c>
      <c r="G1297" s="18"/>
    </row>
    <row r="1298" spans="1:7" x14ac:dyDescent="0.25">
      <c r="A1298" s="30">
        <v>1.3720618721734112E-2</v>
      </c>
      <c r="B1298" s="30">
        <v>0</v>
      </c>
      <c r="C1298" s="30">
        <v>17.22</v>
      </c>
      <c r="G1298" s="18"/>
    </row>
    <row r="1299" spans="1:7" x14ac:dyDescent="0.25">
      <c r="A1299" s="30">
        <v>7.5267942217841638E-2</v>
      </c>
      <c r="B1299" s="30">
        <v>0</v>
      </c>
      <c r="C1299" s="30">
        <v>17.22</v>
      </c>
      <c r="G1299" s="18"/>
    </row>
    <row r="1300" spans="1:7" x14ac:dyDescent="0.25">
      <c r="A1300" s="30">
        <v>0.79170057695966622</v>
      </c>
      <c r="B1300" s="30">
        <v>0</v>
      </c>
      <c r="C1300" s="30">
        <v>17.22</v>
      </c>
      <c r="G1300" s="18"/>
    </row>
    <row r="1301" spans="1:7" x14ac:dyDescent="0.25">
      <c r="A1301" s="30">
        <v>1.5340133533971489</v>
      </c>
      <c r="B1301" s="30">
        <v>0</v>
      </c>
      <c r="C1301" s="30">
        <v>17.22</v>
      </c>
      <c r="G1301" s="18"/>
    </row>
    <row r="1302" spans="1:7" x14ac:dyDescent="0.25">
      <c r="A1302" s="30">
        <v>0.64551393353747089</v>
      </c>
      <c r="B1302" s="30">
        <v>0</v>
      </c>
      <c r="C1302" s="30">
        <v>17.22</v>
      </c>
      <c r="G1302" s="18"/>
    </row>
    <row r="1303" spans="1:7" x14ac:dyDescent="0.25">
      <c r="A1303" s="30">
        <v>0.80269981199713647</v>
      </c>
      <c r="B1303" s="30">
        <v>0</v>
      </c>
      <c r="C1303" s="30">
        <v>17.22</v>
      </c>
      <c r="G1303" s="18"/>
    </row>
    <row r="1304" spans="1:7" x14ac:dyDescent="0.25">
      <c r="A1304" s="30">
        <v>0.69364549515737284</v>
      </c>
      <c r="B1304" s="30">
        <v>0</v>
      </c>
      <c r="C1304" s="30">
        <v>17.22</v>
      </c>
      <c r="G1304" s="18"/>
    </row>
    <row r="1305" spans="1:7" x14ac:dyDescent="0.25">
      <c r="A1305" s="30">
        <v>2.1872171738898887</v>
      </c>
      <c r="B1305" s="30">
        <v>0</v>
      </c>
      <c r="C1305" s="30">
        <v>17.22</v>
      </c>
      <c r="G1305" s="18"/>
    </row>
    <row r="1306" spans="1:7" x14ac:dyDescent="0.25">
      <c r="A1306" s="30">
        <v>1.0237861079756936</v>
      </c>
      <c r="B1306" s="30">
        <v>0</v>
      </c>
      <c r="C1306" s="30">
        <v>17.22</v>
      </c>
      <c r="G1306" s="18"/>
    </row>
    <row r="1307" spans="1:7" x14ac:dyDescent="0.25">
      <c r="A1307" s="30">
        <v>1.6769783964110387</v>
      </c>
      <c r="B1307" s="30">
        <v>0</v>
      </c>
      <c r="C1307" s="30">
        <v>17.22</v>
      </c>
      <c r="G1307" s="18"/>
    </row>
    <row r="1308" spans="1:7" x14ac:dyDescent="0.25">
      <c r="A1308" s="30">
        <v>1.210617248736455</v>
      </c>
      <c r="B1308" s="30">
        <v>0</v>
      </c>
      <c r="C1308" s="30">
        <v>17.22</v>
      </c>
      <c r="G1308" s="18"/>
    </row>
    <row r="1309" spans="1:7" x14ac:dyDescent="0.25">
      <c r="A1309" s="30">
        <v>0.68236613325437045</v>
      </c>
      <c r="B1309" s="30">
        <v>0</v>
      </c>
      <c r="C1309" s="30">
        <v>17.22</v>
      </c>
      <c r="G1309" s="18"/>
    </row>
    <row r="1310" spans="1:7" x14ac:dyDescent="0.25">
      <c r="A1310" s="30">
        <v>9.5127871974150985E-2</v>
      </c>
      <c r="B1310" s="30">
        <v>0</v>
      </c>
      <c r="C1310" s="30">
        <v>17.22</v>
      </c>
      <c r="G1310" s="18"/>
    </row>
    <row r="1311" spans="1:7" x14ac:dyDescent="0.25">
      <c r="A1311" s="30">
        <v>0.12406612767200746</v>
      </c>
      <c r="B1311" s="30">
        <v>0</v>
      </c>
      <c r="C1311" s="30">
        <v>17.22</v>
      </c>
      <c r="G1311" s="18"/>
    </row>
    <row r="1312" spans="1:7" x14ac:dyDescent="0.25">
      <c r="A1312" s="30">
        <v>1.1286556902718878</v>
      </c>
      <c r="B1312" s="30">
        <v>0</v>
      </c>
      <c r="C1312" s="30">
        <v>17.22</v>
      </c>
      <c r="G1312" s="18"/>
    </row>
    <row r="1313" spans="1:7" x14ac:dyDescent="0.25">
      <c r="A1313" s="30">
        <v>1.0563489541241093</v>
      </c>
      <c r="B1313" s="30">
        <v>0</v>
      </c>
      <c r="C1313" s="30">
        <v>11.620000000000001</v>
      </c>
      <c r="G1313" s="18"/>
    </row>
    <row r="1314" spans="1:7" x14ac:dyDescent="0.25">
      <c r="A1314" s="30">
        <v>1.3395624999647306</v>
      </c>
      <c r="B1314" s="30">
        <v>0</v>
      </c>
      <c r="C1314" s="30">
        <v>11.620000000000001</v>
      </c>
      <c r="G1314" s="18"/>
    </row>
    <row r="1315" spans="1:7" x14ac:dyDescent="0.25">
      <c r="A1315" s="30">
        <v>0.52929599916696757</v>
      </c>
      <c r="B1315" s="30">
        <v>0</v>
      </c>
      <c r="C1315" s="30">
        <v>11.620000000000001</v>
      </c>
      <c r="G1315" s="18"/>
    </row>
    <row r="1316" spans="1:7" x14ac:dyDescent="0.25">
      <c r="A1316" s="30">
        <v>2.4319493148791539E-2</v>
      </c>
      <c r="B1316" s="30">
        <v>0</v>
      </c>
      <c r="C1316" s="30">
        <v>11.620000000000001</v>
      </c>
      <c r="G1316" s="18"/>
    </row>
    <row r="1317" spans="1:7" x14ac:dyDescent="0.25">
      <c r="A1317" s="30">
        <v>1.0339468316825373</v>
      </c>
      <c r="B1317" s="30">
        <v>0</v>
      </c>
      <c r="C1317" s="30">
        <v>11.620000000000001</v>
      </c>
      <c r="G1317" s="18"/>
    </row>
    <row r="1318" spans="1:7" x14ac:dyDescent="0.25">
      <c r="A1318" s="30">
        <v>1.2313409030087685</v>
      </c>
      <c r="B1318" s="30">
        <v>0</v>
      </c>
      <c r="C1318" s="30">
        <v>11.620000000000001</v>
      </c>
      <c r="G1318" s="18"/>
    </row>
    <row r="1319" spans="1:7" x14ac:dyDescent="0.25">
      <c r="A1319" s="30">
        <v>0.33567601824763543</v>
      </c>
      <c r="B1319" s="30">
        <v>0</v>
      </c>
      <c r="C1319" s="30">
        <v>11.620000000000001</v>
      </c>
      <c r="G1319" s="18"/>
    </row>
    <row r="1320" spans="1:7" x14ac:dyDescent="0.25">
      <c r="A1320" s="30">
        <v>0.65303444983559111</v>
      </c>
      <c r="B1320" s="30">
        <v>0</v>
      </c>
      <c r="C1320" s="30">
        <v>11.620000000000001</v>
      </c>
      <c r="G1320" s="18"/>
    </row>
    <row r="1321" spans="1:7" x14ac:dyDescent="0.25">
      <c r="A1321" s="30">
        <v>0.40563183371843314</v>
      </c>
      <c r="B1321" s="30">
        <v>0</v>
      </c>
      <c r="C1321" s="30">
        <v>11.620000000000001</v>
      </c>
      <c r="G1321" s="18"/>
    </row>
    <row r="1322" spans="1:7" x14ac:dyDescent="0.25">
      <c r="A1322" s="30">
        <v>0.63867861137633875</v>
      </c>
      <c r="B1322" s="30">
        <v>0</v>
      </c>
      <c r="C1322" s="30">
        <v>11.620000000000001</v>
      </c>
      <c r="G1322" s="18"/>
    </row>
    <row r="1323" spans="1:7" x14ac:dyDescent="0.25">
      <c r="A1323" s="30">
        <v>0.72746450430311815</v>
      </c>
      <c r="B1323" s="30">
        <v>0</v>
      </c>
      <c r="C1323" s="30">
        <v>11.620000000000001</v>
      </c>
      <c r="G1323" s="18"/>
    </row>
    <row r="1324" spans="1:7" x14ac:dyDescent="0.25">
      <c r="A1324" s="30">
        <v>1.04114288277029</v>
      </c>
      <c r="B1324" s="30">
        <v>0</v>
      </c>
      <c r="C1324" s="30">
        <v>11.620000000000001</v>
      </c>
      <c r="G1324" s="18"/>
    </row>
    <row r="1325" spans="1:7" x14ac:dyDescent="0.25">
      <c r="A1325" s="30">
        <v>0.30737902691159213</v>
      </c>
      <c r="B1325" s="30">
        <v>0</v>
      </c>
      <c r="C1325" s="30">
        <v>11.620000000000001</v>
      </c>
      <c r="G1325" s="18"/>
    </row>
    <row r="1326" spans="1:7" x14ac:dyDescent="0.25">
      <c r="A1326" s="30">
        <v>0.92059662189565117</v>
      </c>
      <c r="B1326" s="30">
        <v>0</v>
      </c>
      <c r="C1326" s="30">
        <v>11.620000000000001</v>
      </c>
      <c r="G1326" s="18"/>
    </row>
    <row r="1327" spans="1:7" x14ac:dyDescent="0.25">
      <c r="A1327" s="30">
        <v>0.57895156164933426</v>
      </c>
      <c r="B1327" s="30">
        <v>0</v>
      </c>
      <c r="C1327" s="30">
        <v>11.620000000000001</v>
      </c>
      <c r="G1327" s="18"/>
    </row>
    <row r="1328" spans="1:7" x14ac:dyDescent="0.25">
      <c r="A1328" s="30">
        <v>1.2168334979908033</v>
      </c>
      <c r="B1328" s="30">
        <v>0</v>
      </c>
      <c r="C1328" s="30">
        <v>11.620000000000001</v>
      </c>
      <c r="G1328" s="18"/>
    </row>
    <row r="1329" spans="1:7" x14ac:dyDescent="0.25">
      <c r="A1329" s="30">
        <v>1.9585311531116614</v>
      </c>
      <c r="B1329" s="30">
        <v>0</v>
      </c>
      <c r="C1329" s="30">
        <v>22.4</v>
      </c>
      <c r="G1329" s="18"/>
    </row>
    <row r="1330" spans="1:7" x14ac:dyDescent="0.25">
      <c r="A1330" s="30">
        <v>0.46404914095380512</v>
      </c>
      <c r="B1330" s="30">
        <v>0</v>
      </c>
      <c r="C1330" s="30">
        <v>22.4</v>
      </c>
      <c r="G1330" s="18"/>
    </row>
    <row r="1331" spans="1:7" x14ac:dyDescent="0.25">
      <c r="A1331" s="30">
        <v>2.0043385863330085</v>
      </c>
      <c r="B1331" s="30">
        <v>0</v>
      </c>
      <c r="C1331" s="30">
        <v>22.4</v>
      </c>
      <c r="G1331" s="18"/>
    </row>
    <row r="1332" spans="1:7" x14ac:dyDescent="0.25">
      <c r="A1332" s="30">
        <v>0.17783735412975352</v>
      </c>
      <c r="B1332" s="30">
        <v>0</v>
      </c>
      <c r="C1332" s="30">
        <v>22.4</v>
      </c>
      <c r="G1332" s="18"/>
    </row>
    <row r="1333" spans="1:7" x14ac:dyDescent="0.25">
      <c r="A1333" s="30">
        <v>1.2006792399655291</v>
      </c>
      <c r="B1333" s="30">
        <v>0</v>
      </c>
      <c r="C1333" s="30">
        <v>22.4</v>
      </c>
      <c r="G1333" s="18"/>
    </row>
    <row r="1334" spans="1:7" x14ac:dyDescent="0.25">
      <c r="A1334" s="30">
        <v>1.1686938464492642</v>
      </c>
      <c r="B1334" s="30">
        <v>0</v>
      </c>
      <c r="C1334" s="30">
        <v>22.4</v>
      </c>
      <c r="G1334" s="18"/>
    </row>
    <row r="1335" spans="1:7" x14ac:dyDescent="0.25">
      <c r="A1335" s="30">
        <v>0.92305987995464278</v>
      </c>
      <c r="B1335" s="30">
        <v>0</v>
      </c>
      <c r="C1335" s="30">
        <v>22.4</v>
      </c>
      <c r="G1335" s="18"/>
    </row>
    <row r="1336" spans="1:7" x14ac:dyDescent="0.25">
      <c r="A1336" s="30">
        <v>0.13360059819220957</v>
      </c>
      <c r="B1336" s="30">
        <v>0</v>
      </c>
      <c r="C1336" s="30">
        <v>22.4</v>
      </c>
      <c r="G1336" s="18"/>
    </row>
    <row r="1337" spans="1:7" x14ac:dyDescent="0.25">
      <c r="A1337" s="30">
        <v>2.0053679691076027</v>
      </c>
      <c r="B1337" s="30">
        <v>0</v>
      </c>
      <c r="C1337" s="30">
        <v>22.4</v>
      </c>
      <c r="G1337" s="18"/>
    </row>
    <row r="1338" spans="1:7" x14ac:dyDescent="0.25">
      <c r="A1338" s="30">
        <v>1.1908853051025496</v>
      </c>
      <c r="B1338" s="30">
        <v>0</v>
      </c>
      <c r="C1338" s="30">
        <v>22.4</v>
      </c>
      <c r="G1338" s="18"/>
    </row>
    <row r="1339" spans="1:7" x14ac:dyDescent="0.25">
      <c r="A1339" s="30">
        <v>2.1661498239772561</v>
      </c>
      <c r="B1339" s="30">
        <v>0</v>
      </c>
      <c r="C1339" s="30">
        <v>22.4</v>
      </c>
      <c r="G1339" s="18"/>
    </row>
    <row r="1340" spans="1:7" x14ac:dyDescent="0.25">
      <c r="A1340" s="30">
        <v>1.2949063832877603</v>
      </c>
      <c r="B1340" s="30">
        <v>0</v>
      </c>
      <c r="C1340" s="30">
        <v>22.4</v>
      </c>
      <c r="G1340" s="18"/>
    </row>
    <row r="1341" spans="1:7" x14ac:dyDescent="0.25">
      <c r="A1341" s="30">
        <v>0.97873451715575366</v>
      </c>
      <c r="B1341" s="30">
        <v>0</v>
      </c>
      <c r="C1341" s="30">
        <v>22.4</v>
      </c>
      <c r="G1341" s="18"/>
    </row>
    <row r="1342" spans="1:7" x14ac:dyDescent="0.25">
      <c r="A1342" s="30">
        <v>1.0885993129592786</v>
      </c>
      <c r="B1342" s="30">
        <v>0</v>
      </c>
      <c r="C1342" s="30">
        <v>22.4</v>
      </c>
      <c r="G1342" s="18"/>
    </row>
    <row r="1343" spans="1:7" x14ac:dyDescent="0.25">
      <c r="A1343" s="30">
        <v>1.5179867954745596</v>
      </c>
      <c r="B1343" s="30">
        <v>0</v>
      </c>
      <c r="C1343" s="30">
        <v>22.4</v>
      </c>
      <c r="G1343" s="18"/>
    </row>
    <row r="1344" spans="1:7" x14ac:dyDescent="0.25">
      <c r="A1344" s="30">
        <v>1.2975121952260085</v>
      </c>
      <c r="B1344" s="30">
        <v>0</v>
      </c>
      <c r="C1344" s="30">
        <v>22.4</v>
      </c>
      <c r="G1344" s="18"/>
    </row>
    <row r="1345" spans="1:7" x14ac:dyDescent="0.25">
      <c r="A1345" s="30">
        <v>2.36187541524207</v>
      </c>
      <c r="B1345" s="30">
        <v>0</v>
      </c>
      <c r="C1345" s="30">
        <v>22.4</v>
      </c>
      <c r="G1345" s="18"/>
    </row>
    <row r="1346" spans="1:7" x14ac:dyDescent="0.25">
      <c r="A1346" s="30">
        <v>0.72137415606649469</v>
      </c>
      <c r="B1346" s="30">
        <v>0</v>
      </c>
      <c r="C1346" s="30">
        <v>32.479999999999997</v>
      </c>
      <c r="G1346" s="18"/>
    </row>
    <row r="1347" spans="1:7" x14ac:dyDescent="0.25">
      <c r="A1347" s="30">
        <v>1.429109189192928</v>
      </c>
      <c r="B1347" s="30">
        <v>0</v>
      </c>
      <c r="C1347" s="30">
        <v>32.479999999999997</v>
      </c>
      <c r="G1347" s="18"/>
    </row>
    <row r="1348" spans="1:7" x14ac:dyDescent="0.25">
      <c r="A1348" s="30">
        <v>0.94760420995686856</v>
      </c>
      <c r="B1348" s="30">
        <v>0</v>
      </c>
      <c r="C1348" s="30">
        <v>32.479999999999997</v>
      </c>
      <c r="G1348" s="18"/>
    </row>
    <row r="1349" spans="1:7" x14ac:dyDescent="0.25">
      <c r="A1349" s="30">
        <v>1.117284889732435</v>
      </c>
      <c r="B1349" s="30">
        <v>0</v>
      </c>
      <c r="C1349" s="30">
        <v>32.479999999999997</v>
      </c>
      <c r="G1349" s="18"/>
    </row>
    <row r="1350" spans="1:7" x14ac:dyDescent="0.25">
      <c r="A1350" s="30">
        <v>0.83020910061611386</v>
      </c>
      <c r="B1350" s="30">
        <v>0</v>
      </c>
      <c r="C1350" s="30">
        <v>32.479999999999997</v>
      </c>
      <c r="G1350" s="18"/>
    </row>
    <row r="1351" spans="1:7" x14ac:dyDescent="0.25">
      <c r="A1351" s="30">
        <v>1.1786539538718512</v>
      </c>
      <c r="B1351" s="30">
        <v>0</v>
      </c>
      <c r="C1351" s="30">
        <v>32.479999999999997</v>
      </c>
      <c r="G1351" s="18"/>
    </row>
    <row r="1352" spans="1:7" x14ac:dyDescent="0.25">
      <c r="A1352" s="30">
        <v>0.40153708150111117</v>
      </c>
      <c r="B1352" s="30">
        <v>0</v>
      </c>
      <c r="C1352" s="30">
        <v>32.479999999999997</v>
      </c>
      <c r="G1352" s="18"/>
    </row>
    <row r="1353" spans="1:7" x14ac:dyDescent="0.25">
      <c r="A1353" s="30">
        <v>1.8459694233174038</v>
      </c>
      <c r="B1353" s="30">
        <v>0</v>
      </c>
      <c r="C1353" s="30">
        <v>32.479999999999997</v>
      </c>
      <c r="G1353" s="18"/>
    </row>
    <row r="1354" spans="1:7" x14ac:dyDescent="0.25">
      <c r="A1354" s="30">
        <v>0.69349810032977133</v>
      </c>
      <c r="B1354" s="30">
        <v>0</v>
      </c>
      <c r="C1354" s="30">
        <v>32.479999999999997</v>
      </c>
      <c r="G1354" s="18"/>
    </row>
    <row r="1355" spans="1:7" x14ac:dyDescent="0.25">
      <c r="A1355" s="30">
        <v>1.7882339636522944</v>
      </c>
      <c r="B1355" s="30">
        <v>0</v>
      </c>
      <c r="C1355" s="30">
        <v>32.479999999999997</v>
      </c>
      <c r="G1355" s="18"/>
    </row>
    <row r="1356" spans="1:7" x14ac:dyDescent="0.25">
      <c r="A1356" s="30">
        <v>0.91291180375340308</v>
      </c>
      <c r="B1356" s="30">
        <v>0</v>
      </c>
      <c r="C1356" s="30">
        <v>32.479999999999997</v>
      </c>
      <c r="G1356" s="18"/>
    </row>
    <row r="1357" spans="1:7" x14ac:dyDescent="0.25">
      <c r="A1357" s="30">
        <v>1.2216826377095757</v>
      </c>
      <c r="B1357" s="30">
        <v>0</v>
      </c>
      <c r="C1357" s="30">
        <v>32.479999999999997</v>
      </c>
      <c r="G1357" s="18"/>
    </row>
    <row r="1358" spans="1:7" x14ac:dyDescent="0.25">
      <c r="A1358" s="30">
        <v>0.60921908226438826</v>
      </c>
      <c r="B1358" s="30">
        <v>0</v>
      </c>
      <c r="C1358" s="30">
        <v>32.479999999999997</v>
      </c>
      <c r="G1358" s="18"/>
    </row>
    <row r="1359" spans="1:7" x14ac:dyDescent="0.25">
      <c r="A1359" s="30">
        <v>0.30097474915739159</v>
      </c>
      <c r="B1359" s="30">
        <v>0</v>
      </c>
      <c r="C1359" s="30">
        <v>32.479999999999997</v>
      </c>
      <c r="G1359" s="18"/>
    </row>
    <row r="1360" spans="1:7" x14ac:dyDescent="0.25">
      <c r="A1360" s="30">
        <v>0.92428889291177518</v>
      </c>
      <c r="B1360" s="30">
        <v>0</v>
      </c>
      <c r="C1360" s="30">
        <v>32.479999999999997</v>
      </c>
      <c r="G1360" s="18"/>
    </row>
    <row r="1361" spans="1:7" x14ac:dyDescent="0.25">
      <c r="A1361" s="30">
        <v>2.064030411663675</v>
      </c>
      <c r="B1361" s="30">
        <v>0</v>
      </c>
      <c r="C1361" s="30">
        <v>32.479999999999997</v>
      </c>
      <c r="G1361" s="18"/>
    </row>
    <row r="1362" spans="1:7" x14ac:dyDescent="0.25">
      <c r="A1362" s="30">
        <v>1.2951760323827912</v>
      </c>
      <c r="B1362" s="30">
        <v>0</v>
      </c>
      <c r="C1362" s="30">
        <v>18.34</v>
      </c>
      <c r="G1362" s="18"/>
    </row>
    <row r="1363" spans="1:7" x14ac:dyDescent="0.25">
      <c r="A1363" s="30">
        <v>0.90361028749425432</v>
      </c>
      <c r="B1363" s="30">
        <v>0</v>
      </c>
      <c r="C1363" s="30">
        <v>18.34</v>
      </c>
      <c r="G1363" s="18"/>
    </row>
    <row r="1364" spans="1:7" x14ac:dyDescent="0.25">
      <c r="A1364" s="30">
        <v>0.20880472929456939</v>
      </c>
      <c r="B1364" s="30">
        <v>0</v>
      </c>
      <c r="C1364" s="30">
        <v>18.34</v>
      </c>
      <c r="G1364" s="18"/>
    </row>
    <row r="1365" spans="1:7" x14ac:dyDescent="0.25">
      <c r="A1365" s="30">
        <v>0.76188995083685584</v>
      </c>
      <c r="B1365" s="30">
        <v>0</v>
      </c>
      <c r="C1365" s="30">
        <v>18.34</v>
      </c>
      <c r="G1365" s="18"/>
    </row>
    <row r="1366" spans="1:7" x14ac:dyDescent="0.25">
      <c r="A1366" s="30">
        <v>0.24292086905776342</v>
      </c>
      <c r="B1366" s="30">
        <v>0</v>
      </c>
      <c r="C1366" s="30">
        <v>18.34</v>
      </c>
      <c r="G1366" s="18"/>
    </row>
    <row r="1367" spans="1:7" x14ac:dyDescent="0.25">
      <c r="A1367" s="30">
        <v>0.46369141062376995</v>
      </c>
      <c r="B1367" s="30">
        <v>0</v>
      </c>
      <c r="C1367" s="30">
        <v>18.34</v>
      </c>
      <c r="G1367" s="18"/>
    </row>
    <row r="1368" spans="1:7" x14ac:dyDescent="0.25">
      <c r="A1368" s="30">
        <v>1.0330465397351025</v>
      </c>
      <c r="B1368" s="30">
        <v>0</v>
      </c>
      <c r="C1368" s="30">
        <v>18.34</v>
      </c>
      <c r="G1368" s="18"/>
    </row>
    <row r="1369" spans="1:7" x14ac:dyDescent="0.25">
      <c r="A1369" s="30">
        <v>0.21879028768257197</v>
      </c>
      <c r="B1369" s="30">
        <v>0</v>
      </c>
      <c r="C1369" s="30">
        <v>18.34</v>
      </c>
      <c r="G1369" s="18"/>
    </row>
    <row r="1370" spans="1:7" x14ac:dyDescent="0.25">
      <c r="A1370" s="30">
        <v>0.71866812421765869</v>
      </c>
      <c r="B1370" s="30">
        <v>0</v>
      </c>
      <c r="C1370" s="30">
        <v>18.34</v>
      </c>
      <c r="G1370" s="18"/>
    </row>
    <row r="1371" spans="1:7" x14ac:dyDescent="0.25">
      <c r="A1371" s="30">
        <v>1.140380335232924</v>
      </c>
      <c r="B1371" s="30">
        <v>0</v>
      </c>
      <c r="C1371" s="30">
        <v>18.34</v>
      </c>
      <c r="G1371" s="18"/>
    </row>
    <row r="1372" spans="1:7" x14ac:dyDescent="0.25">
      <c r="A1372" s="30">
        <v>0.32127701599025416</v>
      </c>
      <c r="B1372" s="30">
        <v>0</v>
      </c>
      <c r="C1372" s="30">
        <v>18.34</v>
      </c>
      <c r="G1372" s="18"/>
    </row>
    <row r="1373" spans="1:7" x14ac:dyDescent="0.25">
      <c r="A1373" s="30">
        <v>1.3058908489923045</v>
      </c>
      <c r="B1373" s="30">
        <v>0</v>
      </c>
      <c r="C1373" s="30">
        <v>18.34</v>
      </c>
      <c r="G1373" s="18"/>
    </row>
    <row r="1374" spans="1:7" x14ac:dyDescent="0.25">
      <c r="A1374" s="30">
        <v>0.66115752507571002</v>
      </c>
      <c r="B1374" s="30">
        <v>0</v>
      </c>
      <c r="C1374" s="30">
        <v>18.34</v>
      </c>
      <c r="G1374" s="18"/>
    </row>
    <row r="1375" spans="1:7" x14ac:dyDescent="0.25">
      <c r="A1375" s="30">
        <v>0.22391255150292899</v>
      </c>
      <c r="B1375" s="30">
        <v>0</v>
      </c>
      <c r="C1375" s="30">
        <v>18.34</v>
      </c>
      <c r="G1375" s="18"/>
    </row>
    <row r="1376" spans="1:7" x14ac:dyDescent="0.25">
      <c r="A1376" s="30">
        <v>0.65374269887603587</v>
      </c>
      <c r="B1376" s="30">
        <v>0</v>
      </c>
      <c r="C1376" s="30">
        <v>18.34</v>
      </c>
      <c r="G1376" s="18"/>
    </row>
    <row r="1377" spans="1:7" x14ac:dyDescent="0.25">
      <c r="A1377" s="30">
        <v>0.21135427415016511</v>
      </c>
      <c r="B1377" s="30">
        <v>0</v>
      </c>
      <c r="C1377" s="30">
        <v>18.34</v>
      </c>
      <c r="G1377" s="18"/>
    </row>
    <row r="1378" spans="1:7" x14ac:dyDescent="0.25">
      <c r="A1378" s="30">
        <v>0.3400792594709553</v>
      </c>
      <c r="B1378" s="30">
        <v>0</v>
      </c>
      <c r="C1378" s="30">
        <v>18.34</v>
      </c>
      <c r="G1378" s="18"/>
    </row>
    <row r="1379" spans="1:7" x14ac:dyDescent="0.25">
      <c r="A1379" s="30">
        <v>1.6868461796015466</v>
      </c>
      <c r="B1379" s="30">
        <v>0</v>
      </c>
      <c r="C1379" s="30">
        <v>16.799999999999997</v>
      </c>
      <c r="G1379" s="18"/>
    </row>
    <row r="1380" spans="1:7" x14ac:dyDescent="0.25">
      <c r="A1380" s="30">
        <v>0.24545454131926761</v>
      </c>
      <c r="B1380" s="30">
        <v>0</v>
      </c>
      <c r="C1380" s="30">
        <v>16.799999999999997</v>
      </c>
      <c r="G1380" s="18"/>
    </row>
    <row r="1381" spans="1:7" x14ac:dyDescent="0.25">
      <c r="A1381" s="30">
        <v>5.9319669881254991E-2</v>
      </c>
      <c r="B1381" s="30">
        <v>0</v>
      </c>
      <c r="C1381" s="30">
        <v>16.799999999999997</v>
      </c>
      <c r="G1381" s="18"/>
    </row>
    <row r="1382" spans="1:7" x14ac:dyDescent="0.25">
      <c r="A1382" s="30">
        <v>0.66533122270527334</v>
      </c>
      <c r="B1382" s="30">
        <v>0</v>
      </c>
      <c r="C1382" s="30">
        <v>16.799999999999997</v>
      </c>
      <c r="G1382" s="18"/>
    </row>
    <row r="1383" spans="1:7" x14ac:dyDescent="0.25">
      <c r="A1383" s="30">
        <v>0.6695238596422376</v>
      </c>
      <c r="B1383" s="30">
        <v>0</v>
      </c>
      <c r="C1383" s="30">
        <v>16.799999999999997</v>
      </c>
      <c r="G1383" s="18"/>
    </row>
    <row r="1384" spans="1:7" x14ac:dyDescent="0.25">
      <c r="A1384" s="30">
        <v>0.74523074496345154</v>
      </c>
      <c r="B1384" s="30">
        <v>0</v>
      </c>
      <c r="C1384" s="30">
        <v>16.799999999999997</v>
      </c>
      <c r="G1384" s="18"/>
    </row>
    <row r="1385" spans="1:7" x14ac:dyDescent="0.25">
      <c r="A1385" s="30">
        <v>1.9578329793749543</v>
      </c>
      <c r="B1385" s="30">
        <v>0</v>
      </c>
      <c r="C1385" s="30">
        <v>16.799999999999997</v>
      </c>
      <c r="G1385" s="18"/>
    </row>
    <row r="1386" spans="1:7" x14ac:dyDescent="0.25">
      <c r="A1386" s="30">
        <v>0.67295742883167819</v>
      </c>
      <c r="B1386" s="30">
        <v>0</v>
      </c>
      <c r="C1386" s="30">
        <v>16.799999999999997</v>
      </c>
      <c r="G1386" s="18"/>
    </row>
    <row r="1387" spans="1:7" x14ac:dyDescent="0.25">
      <c r="A1387" s="30">
        <v>0.64597781707144597</v>
      </c>
      <c r="B1387" s="30">
        <v>0</v>
      </c>
      <c r="C1387" s="30">
        <v>16.799999999999997</v>
      </c>
      <c r="G1387" s="18"/>
    </row>
    <row r="1388" spans="1:7" x14ac:dyDescent="0.25">
      <c r="A1388" s="30">
        <v>1.0062036109057413</v>
      </c>
      <c r="B1388" s="30">
        <v>0</v>
      </c>
      <c r="C1388" s="30">
        <v>16.799999999999997</v>
      </c>
      <c r="G1388" s="18"/>
    </row>
    <row r="1389" spans="1:7" x14ac:dyDescent="0.25">
      <c r="A1389" s="30">
        <v>1.0567446752232244</v>
      </c>
      <c r="B1389" s="30">
        <v>0</v>
      </c>
      <c r="C1389" s="30">
        <v>16.799999999999997</v>
      </c>
      <c r="G1389" s="18"/>
    </row>
    <row r="1390" spans="1:7" x14ac:dyDescent="0.25">
      <c r="A1390" s="30">
        <v>5.5524954698755756E-2</v>
      </c>
      <c r="B1390" s="30">
        <v>0</v>
      </c>
      <c r="C1390" s="30">
        <v>16.799999999999997</v>
      </c>
      <c r="G1390" s="18"/>
    </row>
    <row r="1391" spans="1:7" x14ac:dyDescent="0.25">
      <c r="A1391" s="30">
        <v>8.0525390320744877E-2</v>
      </c>
      <c r="B1391" s="30">
        <v>0</v>
      </c>
      <c r="C1391" s="30">
        <v>16.799999999999997</v>
      </c>
      <c r="G1391" s="18"/>
    </row>
    <row r="1392" spans="1:7" x14ac:dyDescent="0.25">
      <c r="A1392" s="30">
        <v>0.98592286295556364</v>
      </c>
      <c r="B1392" s="30">
        <v>0</v>
      </c>
      <c r="C1392" s="30">
        <v>16.799999999999997</v>
      </c>
      <c r="G1392" s="18"/>
    </row>
    <row r="1393" spans="1:7" x14ac:dyDescent="0.25">
      <c r="A1393" s="30">
        <v>1.2098730036538887</v>
      </c>
      <c r="B1393" s="30">
        <v>0</v>
      </c>
      <c r="C1393" s="30">
        <v>16.799999999999997</v>
      </c>
      <c r="G1393" s="18"/>
    </row>
    <row r="1394" spans="1:7" x14ac:dyDescent="0.25">
      <c r="A1394" s="30">
        <v>0.71815511683048461</v>
      </c>
      <c r="B1394" s="30">
        <v>0</v>
      </c>
      <c r="C1394" s="30">
        <v>16.799999999999997</v>
      </c>
      <c r="G1394" s="18"/>
    </row>
    <row r="1395" spans="1:7" x14ac:dyDescent="0.25">
      <c r="A1395" s="30">
        <v>1.5811358280551893</v>
      </c>
      <c r="B1395" s="30">
        <v>0</v>
      </c>
      <c r="C1395" s="30">
        <v>16.799999999999997</v>
      </c>
      <c r="G1395" s="18"/>
    </row>
    <row r="1396" spans="1:7" x14ac:dyDescent="0.25">
      <c r="A1396" s="30">
        <v>8.8909364770820634E-2</v>
      </c>
      <c r="B1396" s="30">
        <v>0</v>
      </c>
      <c r="C1396" s="30">
        <v>22.259999999999998</v>
      </c>
      <c r="G1396" s="18"/>
    </row>
    <row r="1397" spans="1:7" x14ac:dyDescent="0.25">
      <c r="A1397" s="30">
        <v>1.1824959846044969</v>
      </c>
      <c r="B1397" s="30">
        <v>0</v>
      </c>
      <c r="C1397" s="30">
        <v>22.259999999999998</v>
      </c>
      <c r="G1397" s="18"/>
    </row>
    <row r="1398" spans="1:7" x14ac:dyDescent="0.25">
      <c r="A1398" s="30">
        <v>0.20194518914813164</v>
      </c>
      <c r="B1398" s="30">
        <v>0</v>
      </c>
      <c r="C1398" s="30">
        <v>22.259999999999998</v>
      </c>
      <c r="G1398" s="18"/>
    </row>
    <row r="1399" spans="1:7" x14ac:dyDescent="0.25">
      <c r="A1399" s="30">
        <v>0.25707580909415118</v>
      </c>
      <c r="B1399" s="30">
        <v>0</v>
      </c>
      <c r="C1399" s="30">
        <v>22.259999999999998</v>
      </c>
      <c r="G1399" s="18"/>
    </row>
    <row r="1400" spans="1:7" x14ac:dyDescent="0.25">
      <c r="A1400" s="30">
        <v>0.76356030103087991</v>
      </c>
      <c r="B1400" s="30">
        <v>0</v>
      </c>
      <c r="C1400" s="30">
        <v>22.259999999999998</v>
      </c>
      <c r="G1400" s="18"/>
    </row>
    <row r="1401" spans="1:7" x14ac:dyDescent="0.25">
      <c r="A1401" s="30">
        <v>1.7346949854777491</v>
      </c>
      <c r="B1401" s="30">
        <v>0</v>
      </c>
      <c r="C1401" s="30">
        <v>22.259999999999998</v>
      </c>
      <c r="G1401" s="18"/>
    </row>
    <row r="1402" spans="1:7" x14ac:dyDescent="0.25">
      <c r="A1402" s="30">
        <v>0.46508497177591945</v>
      </c>
      <c r="B1402" s="30">
        <v>0</v>
      </c>
      <c r="C1402" s="30">
        <v>22.259999999999998</v>
      </c>
      <c r="G1402" s="18"/>
    </row>
    <row r="1403" spans="1:7" x14ac:dyDescent="0.25">
      <c r="A1403" s="30">
        <v>0.64473282466956328</v>
      </c>
      <c r="B1403" s="30">
        <v>0</v>
      </c>
      <c r="C1403" s="30">
        <v>22.259999999999998</v>
      </c>
      <c r="G1403" s="18"/>
    </row>
    <row r="1404" spans="1:7" x14ac:dyDescent="0.25">
      <c r="A1404" s="30">
        <v>0.86375463596685864</v>
      </c>
      <c r="B1404" s="30">
        <v>0</v>
      </c>
      <c r="C1404" s="30">
        <v>22.259999999999998</v>
      </c>
      <c r="G1404" s="18"/>
    </row>
    <row r="1405" spans="1:7" x14ac:dyDescent="0.25">
      <c r="A1405" s="30">
        <v>0.23753908267972806</v>
      </c>
      <c r="B1405" s="30">
        <v>0</v>
      </c>
      <c r="C1405" s="30">
        <v>22.259999999999998</v>
      </c>
      <c r="G1405" s="18"/>
    </row>
    <row r="1406" spans="1:7" x14ac:dyDescent="0.25">
      <c r="A1406" s="30">
        <v>0.35318018696335729</v>
      </c>
      <c r="B1406" s="30">
        <v>0</v>
      </c>
      <c r="C1406" s="30">
        <v>22.259999999999998</v>
      </c>
      <c r="G1406" s="18"/>
    </row>
    <row r="1407" spans="1:7" x14ac:dyDescent="0.25">
      <c r="A1407" s="30">
        <v>0.32430733554027613</v>
      </c>
      <c r="B1407" s="30">
        <v>0</v>
      </c>
      <c r="C1407" s="30">
        <v>22.259999999999998</v>
      </c>
      <c r="G1407" s="18"/>
    </row>
    <row r="1408" spans="1:7" x14ac:dyDescent="0.25">
      <c r="A1408" s="30">
        <v>1.0735590209221211</v>
      </c>
      <c r="B1408" s="30">
        <v>0</v>
      </c>
      <c r="C1408" s="30">
        <v>22.259999999999998</v>
      </c>
      <c r="G1408" s="18"/>
    </row>
    <row r="1409" spans="1:7" x14ac:dyDescent="0.25">
      <c r="A1409" s="30">
        <v>2.3435608103280186</v>
      </c>
      <c r="B1409" s="30">
        <v>0</v>
      </c>
      <c r="C1409" s="30">
        <v>22.259999999999998</v>
      </c>
      <c r="G1409" s="18"/>
    </row>
    <row r="1410" spans="1:7" x14ac:dyDescent="0.25">
      <c r="A1410" s="30">
        <v>0.68099010868251741</v>
      </c>
      <c r="B1410" s="30">
        <v>0</v>
      </c>
      <c r="C1410" s="30">
        <v>22.259999999999998</v>
      </c>
      <c r="G1410" s="18"/>
    </row>
    <row r="1411" spans="1:7" x14ac:dyDescent="0.25">
      <c r="A1411" s="30">
        <v>1.5689438458308003</v>
      </c>
      <c r="B1411" s="30">
        <v>0</v>
      </c>
      <c r="C1411" s="30">
        <v>22.259999999999998</v>
      </c>
      <c r="G1411" s="18"/>
    </row>
    <row r="1412" spans="1:7" x14ac:dyDescent="0.25">
      <c r="A1412" s="30">
        <v>0.39399263813669005</v>
      </c>
      <c r="B1412" s="30">
        <v>0</v>
      </c>
      <c r="C1412" s="30">
        <v>12.739999999999998</v>
      </c>
      <c r="G1412" s="18"/>
    </row>
    <row r="1413" spans="1:7" x14ac:dyDescent="0.25">
      <c r="A1413" s="30">
        <v>2.3372195709304306</v>
      </c>
      <c r="B1413" s="30">
        <v>0</v>
      </c>
      <c r="C1413" s="30">
        <v>12.739999999999998</v>
      </c>
      <c r="G1413" s="18"/>
    </row>
    <row r="1414" spans="1:7" x14ac:dyDescent="0.25">
      <c r="A1414" s="30">
        <v>0.81054612139858551</v>
      </c>
      <c r="B1414" s="30">
        <v>0</v>
      </c>
      <c r="C1414" s="30">
        <v>12.739999999999998</v>
      </c>
      <c r="G1414" s="18"/>
    </row>
    <row r="1415" spans="1:7" x14ac:dyDescent="0.25">
      <c r="A1415" s="30">
        <v>5.2174896915155422E-2</v>
      </c>
      <c r="B1415" s="30">
        <v>0</v>
      </c>
      <c r="C1415" s="30">
        <v>12.739999999999998</v>
      </c>
      <c r="G1415" s="18"/>
    </row>
    <row r="1416" spans="1:7" x14ac:dyDescent="0.25">
      <c r="A1416" s="30">
        <v>0.55175444781723393</v>
      </c>
      <c r="B1416" s="30">
        <v>0</v>
      </c>
      <c r="C1416" s="30">
        <v>12.739999999999998</v>
      </c>
      <c r="G1416" s="18"/>
    </row>
    <row r="1417" spans="1:7" x14ac:dyDescent="0.25">
      <c r="A1417" s="30">
        <v>1.6578572387510981</v>
      </c>
      <c r="B1417" s="30">
        <v>0</v>
      </c>
      <c r="C1417" s="30">
        <v>12.739999999999998</v>
      </c>
      <c r="G1417" s="18"/>
    </row>
    <row r="1418" spans="1:7" x14ac:dyDescent="0.25">
      <c r="A1418" s="30">
        <v>0.68010913813511564</v>
      </c>
      <c r="B1418" s="30">
        <v>0</v>
      </c>
      <c r="C1418" s="30">
        <v>12.739999999999998</v>
      </c>
      <c r="G1418" s="18"/>
    </row>
    <row r="1419" spans="1:7" x14ac:dyDescent="0.25">
      <c r="A1419" s="30">
        <v>0.19700237260889669</v>
      </c>
      <c r="B1419" s="30">
        <v>0</v>
      </c>
      <c r="C1419" s="30">
        <v>12.739999999999998</v>
      </c>
      <c r="G1419" s="18"/>
    </row>
    <row r="1420" spans="1:7" x14ac:dyDescent="0.25">
      <c r="A1420" s="30">
        <v>0.41712659357982568</v>
      </c>
      <c r="B1420" s="30">
        <v>0</v>
      </c>
      <c r="C1420" s="30">
        <v>12.739999999999998</v>
      </c>
      <c r="G1420" s="18"/>
    </row>
    <row r="1421" spans="1:7" x14ac:dyDescent="0.25">
      <c r="A1421" s="30">
        <v>0.87216025913694573</v>
      </c>
      <c r="B1421" s="30">
        <v>0</v>
      </c>
      <c r="C1421" s="30">
        <v>12.739999999999998</v>
      </c>
      <c r="G1421" s="18"/>
    </row>
    <row r="1422" spans="1:7" x14ac:dyDescent="0.25">
      <c r="A1422" s="30">
        <v>0.26754246052546093</v>
      </c>
      <c r="B1422" s="30">
        <v>0</v>
      </c>
      <c r="C1422" s="30">
        <v>12.739999999999998</v>
      </c>
      <c r="G1422" s="18"/>
    </row>
    <row r="1423" spans="1:7" x14ac:dyDescent="0.25">
      <c r="A1423" s="30">
        <v>1.3176182668378562</v>
      </c>
      <c r="B1423" s="30">
        <v>0</v>
      </c>
      <c r="C1423" s="30">
        <v>12.739999999999998</v>
      </c>
      <c r="G1423" s="18"/>
    </row>
    <row r="1424" spans="1:7" x14ac:dyDescent="0.25">
      <c r="A1424" s="30">
        <v>0.88666643181980498</v>
      </c>
      <c r="B1424" s="30">
        <v>0</v>
      </c>
      <c r="C1424" s="30">
        <v>12.739999999999998</v>
      </c>
      <c r="G1424" s="18"/>
    </row>
    <row r="1425" spans="1:7" x14ac:dyDescent="0.25">
      <c r="A1425" s="30">
        <v>1.0594437819195504</v>
      </c>
      <c r="B1425" s="30">
        <v>0</v>
      </c>
      <c r="C1425" s="30">
        <v>12.739999999999998</v>
      </c>
      <c r="G1425" s="18"/>
    </row>
    <row r="1426" spans="1:7" x14ac:dyDescent="0.25">
      <c r="A1426" s="30">
        <v>0.39543752548036742</v>
      </c>
      <c r="B1426" s="30">
        <v>0</v>
      </c>
      <c r="C1426" s="30">
        <v>12.739999999999998</v>
      </c>
      <c r="G1426" s="18"/>
    </row>
    <row r="1427" spans="1:7" x14ac:dyDescent="0.25">
      <c r="A1427" s="30">
        <v>2.2582478899398284</v>
      </c>
      <c r="B1427" s="30">
        <v>0</v>
      </c>
      <c r="C1427" s="30">
        <v>12.739999999999998</v>
      </c>
      <c r="G1427" s="18"/>
    </row>
    <row r="1428" spans="1:7" x14ac:dyDescent="0.25">
      <c r="A1428" s="30">
        <v>0.42690948600350642</v>
      </c>
      <c r="B1428" s="30">
        <v>0</v>
      </c>
      <c r="C1428" s="30">
        <v>12.739999999999998</v>
      </c>
      <c r="G1428" s="18"/>
    </row>
    <row r="1429" spans="1:7" x14ac:dyDescent="0.25">
      <c r="A1429" s="30">
        <v>0.1308114371891472</v>
      </c>
      <c r="B1429" s="30">
        <v>0</v>
      </c>
      <c r="C1429" s="30">
        <v>17.639999999999997</v>
      </c>
      <c r="G1429" s="18"/>
    </row>
    <row r="1430" spans="1:7" x14ac:dyDescent="0.25">
      <c r="A1430" s="30">
        <v>1.3778449336477812</v>
      </c>
      <c r="B1430" s="30">
        <v>0</v>
      </c>
      <c r="C1430" s="30">
        <v>17.639999999999997</v>
      </c>
      <c r="G1430" s="18"/>
    </row>
    <row r="1431" spans="1:7" x14ac:dyDescent="0.25">
      <c r="A1431" s="30">
        <v>1.7373726860474032</v>
      </c>
      <c r="B1431" s="30">
        <v>0</v>
      </c>
      <c r="C1431" s="30">
        <v>17.639999999999997</v>
      </c>
      <c r="G1431" s="18"/>
    </row>
    <row r="1432" spans="1:7" x14ac:dyDescent="0.25">
      <c r="A1432" s="30">
        <v>0.58423390070191716</v>
      </c>
      <c r="B1432" s="30">
        <v>0</v>
      </c>
      <c r="C1432" s="30">
        <v>17.639999999999997</v>
      </c>
      <c r="G1432" s="18"/>
    </row>
    <row r="1433" spans="1:7" x14ac:dyDescent="0.25">
      <c r="A1433" s="30">
        <v>5.645297899579562E-2</v>
      </c>
      <c r="B1433" s="30">
        <v>0</v>
      </c>
      <c r="C1433" s="30">
        <v>17.639999999999997</v>
      </c>
      <c r="G1433" s="18"/>
    </row>
    <row r="1434" spans="1:7" x14ac:dyDescent="0.25">
      <c r="A1434" s="30">
        <v>0.82333200780855864</v>
      </c>
      <c r="B1434" s="30">
        <v>0</v>
      </c>
      <c r="C1434" s="30">
        <v>17.639999999999997</v>
      </c>
      <c r="G1434" s="18"/>
    </row>
    <row r="1435" spans="1:7" x14ac:dyDescent="0.25">
      <c r="A1435" s="30">
        <v>9.0955372877816298E-2</v>
      </c>
      <c r="B1435" s="30">
        <v>0</v>
      </c>
      <c r="C1435" s="30">
        <v>17.639999999999997</v>
      </c>
      <c r="G1435" s="18"/>
    </row>
    <row r="1436" spans="1:7" x14ac:dyDescent="0.25">
      <c r="A1436" s="30">
        <v>0.46797041429604286</v>
      </c>
      <c r="B1436" s="30">
        <v>0</v>
      </c>
      <c r="C1436" s="30">
        <v>17.639999999999997</v>
      </c>
      <c r="G1436" s="18"/>
    </row>
    <row r="1437" spans="1:7" x14ac:dyDescent="0.25">
      <c r="A1437" s="30">
        <v>1.0434557388149757</v>
      </c>
      <c r="B1437" s="30">
        <v>0</v>
      </c>
      <c r="C1437" s="30">
        <v>17.639999999999997</v>
      </c>
      <c r="G1437" s="18"/>
    </row>
    <row r="1438" spans="1:7" x14ac:dyDescent="0.25">
      <c r="A1438" s="30">
        <v>0.415757729793995</v>
      </c>
      <c r="B1438" s="30">
        <v>0</v>
      </c>
      <c r="C1438" s="30">
        <v>17.639999999999997</v>
      </c>
      <c r="G1438" s="18"/>
    </row>
    <row r="1439" spans="1:7" x14ac:dyDescent="0.25">
      <c r="A1439" s="30">
        <v>1.0869774810868422</v>
      </c>
      <c r="B1439" s="30">
        <v>0</v>
      </c>
      <c r="C1439" s="30">
        <v>17.639999999999997</v>
      </c>
      <c r="G1439" s="18"/>
    </row>
    <row r="1440" spans="1:7" x14ac:dyDescent="0.25">
      <c r="A1440" s="30">
        <v>0.74471487207623177</v>
      </c>
      <c r="B1440" s="30">
        <v>0</v>
      </c>
      <c r="C1440" s="30">
        <v>17.639999999999997</v>
      </c>
      <c r="G1440" s="18"/>
    </row>
    <row r="1441" spans="1:7" x14ac:dyDescent="0.25">
      <c r="A1441" s="30">
        <v>2.3706987582092274</v>
      </c>
      <c r="B1441" s="30">
        <v>0</v>
      </c>
      <c r="C1441" s="30">
        <v>17.639999999999997</v>
      </c>
      <c r="G1441" s="18"/>
    </row>
    <row r="1442" spans="1:7" x14ac:dyDescent="0.25">
      <c r="A1442" s="30">
        <v>1.0903179959275417</v>
      </c>
      <c r="B1442" s="30">
        <v>0</v>
      </c>
      <c r="C1442" s="30">
        <v>17.639999999999997</v>
      </c>
      <c r="G1442" s="18"/>
    </row>
    <row r="1443" spans="1:7" x14ac:dyDescent="0.25">
      <c r="A1443" s="30">
        <v>1.5056366768133613</v>
      </c>
      <c r="B1443" s="30">
        <v>0</v>
      </c>
      <c r="C1443" s="30">
        <v>17.639999999999997</v>
      </c>
      <c r="G1443" s="18"/>
    </row>
    <row r="1444" spans="1:7" x14ac:dyDescent="0.25">
      <c r="A1444" s="30">
        <v>0.40368124648058606</v>
      </c>
      <c r="B1444" s="30">
        <v>0</v>
      </c>
      <c r="C1444" s="30">
        <v>17.639999999999997</v>
      </c>
      <c r="G1444" s="18"/>
    </row>
    <row r="1445" spans="1:7" x14ac:dyDescent="0.25">
      <c r="A1445" s="30">
        <v>1.0013016278571771</v>
      </c>
      <c r="B1445" s="30">
        <v>0</v>
      </c>
      <c r="C1445" s="30">
        <v>17.779999999999998</v>
      </c>
      <c r="G1445" s="18"/>
    </row>
    <row r="1446" spans="1:7" x14ac:dyDescent="0.25">
      <c r="A1446" s="30">
        <v>0.66582534746879707</v>
      </c>
      <c r="B1446" s="30">
        <v>0</v>
      </c>
      <c r="C1446" s="30">
        <v>17.779999999999998</v>
      </c>
      <c r="G1446" s="18"/>
    </row>
    <row r="1447" spans="1:7" x14ac:dyDescent="0.25">
      <c r="A1447" s="30">
        <v>2.1422834992016537</v>
      </c>
      <c r="B1447" s="30">
        <v>0</v>
      </c>
      <c r="C1447" s="30">
        <v>17.779999999999998</v>
      </c>
      <c r="G1447" s="18"/>
    </row>
    <row r="1448" spans="1:7" x14ac:dyDescent="0.25">
      <c r="A1448" s="30">
        <v>0.13816521611001689</v>
      </c>
      <c r="B1448" s="30">
        <v>0</v>
      </c>
      <c r="C1448" s="30">
        <v>17.779999999999998</v>
      </c>
      <c r="G1448" s="18"/>
    </row>
    <row r="1449" spans="1:7" x14ac:dyDescent="0.25">
      <c r="A1449" s="30">
        <v>0.2817216090185809</v>
      </c>
      <c r="B1449" s="30">
        <v>0</v>
      </c>
      <c r="C1449" s="30">
        <v>17.779999999999998</v>
      </c>
      <c r="G1449" s="18"/>
    </row>
    <row r="1450" spans="1:7" x14ac:dyDescent="0.25">
      <c r="A1450" s="30">
        <v>0.63264796549490931</v>
      </c>
      <c r="B1450" s="30">
        <v>0</v>
      </c>
      <c r="C1450" s="30">
        <v>17.779999999999998</v>
      </c>
      <c r="G1450" s="18"/>
    </row>
    <row r="1451" spans="1:7" x14ac:dyDescent="0.25">
      <c r="A1451" s="30">
        <v>0.9944141742424264</v>
      </c>
      <c r="B1451" s="30">
        <v>0</v>
      </c>
      <c r="C1451" s="30">
        <v>17.779999999999998</v>
      </c>
      <c r="G1451" s="18"/>
    </row>
    <row r="1452" spans="1:7" x14ac:dyDescent="0.25">
      <c r="A1452" s="30">
        <v>0.21798514736148186</v>
      </c>
      <c r="B1452" s="30">
        <v>0</v>
      </c>
      <c r="C1452" s="30">
        <v>17.779999999999998</v>
      </c>
      <c r="G1452" s="18"/>
    </row>
    <row r="1453" spans="1:7" x14ac:dyDescent="0.25">
      <c r="A1453" s="30">
        <v>2.3867050448948861</v>
      </c>
      <c r="B1453" s="30">
        <v>0</v>
      </c>
      <c r="C1453" s="30">
        <v>17.779999999999998</v>
      </c>
      <c r="G1453" s="18"/>
    </row>
    <row r="1454" spans="1:7" x14ac:dyDescent="0.25">
      <c r="A1454" s="30">
        <v>1.0658583088863183E-2</v>
      </c>
      <c r="B1454" s="30">
        <v>0</v>
      </c>
      <c r="C1454" s="30">
        <v>17.779999999999998</v>
      </c>
      <c r="G1454" s="18"/>
    </row>
    <row r="1455" spans="1:7" x14ac:dyDescent="0.25">
      <c r="A1455" s="30">
        <v>2.0866821023101516</v>
      </c>
      <c r="B1455" s="30">
        <v>0</v>
      </c>
      <c r="C1455" s="30">
        <v>17.779999999999998</v>
      </c>
      <c r="G1455" s="18"/>
    </row>
    <row r="1456" spans="1:7" x14ac:dyDescent="0.25">
      <c r="A1456" s="30">
        <v>0.98568581653507148</v>
      </c>
      <c r="B1456" s="30">
        <v>0</v>
      </c>
      <c r="C1456" s="30">
        <v>17.779999999999998</v>
      </c>
      <c r="G1456" s="18"/>
    </row>
    <row r="1457" spans="1:7" x14ac:dyDescent="0.25">
      <c r="A1457" s="30">
        <v>1.6039453117552624</v>
      </c>
      <c r="B1457" s="30">
        <v>0</v>
      </c>
      <c r="C1457" s="30">
        <v>17.779999999999998</v>
      </c>
      <c r="G1457" s="18"/>
    </row>
    <row r="1458" spans="1:7" x14ac:dyDescent="0.25">
      <c r="A1458" s="30">
        <v>0.97140905829128776</v>
      </c>
      <c r="B1458" s="30">
        <v>0</v>
      </c>
      <c r="C1458" s="30">
        <v>17.779999999999998</v>
      </c>
      <c r="G1458" s="18"/>
    </row>
    <row r="1459" spans="1:7" x14ac:dyDescent="0.25">
      <c r="A1459" s="30">
        <v>2.3744245472241321</v>
      </c>
      <c r="B1459" s="30">
        <v>0</v>
      </c>
      <c r="C1459" s="30">
        <v>17.779999999999998</v>
      </c>
      <c r="G1459" s="18"/>
    </row>
    <row r="1460" spans="1:7" x14ac:dyDescent="0.25">
      <c r="A1460" s="30">
        <v>1.1675154455844443</v>
      </c>
      <c r="B1460" s="30">
        <v>0</v>
      </c>
      <c r="C1460" s="30">
        <v>17.779999999999998</v>
      </c>
      <c r="G1460" s="18"/>
    </row>
    <row r="1461" spans="1:7" x14ac:dyDescent="0.25">
      <c r="A1461" s="30">
        <v>1.686452165478078</v>
      </c>
      <c r="B1461" s="30">
        <v>0</v>
      </c>
      <c r="C1461" s="30">
        <v>17.779999999999998</v>
      </c>
      <c r="G1461" s="18"/>
    </row>
    <row r="1462" spans="1:7" x14ac:dyDescent="0.25">
      <c r="A1462" s="30">
        <v>0.86179506566172304</v>
      </c>
      <c r="B1462" s="30">
        <v>0</v>
      </c>
      <c r="C1462" s="30">
        <v>26.179999999999996</v>
      </c>
      <c r="G1462" s="18"/>
    </row>
    <row r="1463" spans="1:7" x14ac:dyDescent="0.25">
      <c r="A1463" s="30">
        <v>0.44653719407043824</v>
      </c>
      <c r="B1463" s="30">
        <v>0</v>
      </c>
      <c r="C1463" s="30">
        <v>26.179999999999996</v>
      </c>
      <c r="G1463" s="18"/>
    </row>
    <row r="1464" spans="1:7" x14ac:dyDescent="0.25">
      <c r="A1464" s="30">
        <v>0.97741265020281287</v>
      </c>
      <c r="B1464" s="30">
        <v>0</v>
      </c>
      <c r="C1464" s="30">
        <v>26.179999999999996</v>
      </c>
      <c r="G1464" s="18"/>
    </row>
    <row r="1465" spans="1:7" x14ac:dyDescent="0.25">
      <c r="A1465" s="30">
        <v>0.34273779102028695</v>
      </c>
      <c r="B1465" s="30">
        <v>0</v>
      </c>
      <c r="C1465" s="30">
        <v>26.179999999999996</v>
      </c>
      <c r="G1465" s="18"/>
    </row>
    <row r="1466" spans="1:7" x14ac:dyDescent="0.25">
      <c r="A1466" s="30">
        <v>1.2216384460530441</v>
      </c>
      <c r="B1466" s="30">
        <v>0</v>
      </c>
      <c r="C1466" s="30">
        <v>26.179999999999996</v>
      </c>
      <c r="G1466" s="18"/>
    </row>
    <row r="1467" spans="1:7" x14ac:dyDescent="0.25">
      <c r="A1467" s="30">
        <v>0.25026856488339533</v>
      </c>
      <c r="B1467" s="30">
        <v>0</v>
      </c>
      <c r="C1467" s="30">
        <v>26.179999999999996</v>
      </c>
      <c r="G1467" s="18"/>
    </row>
    <row r="1468" spans="1:7" x14ac:dyDescent="0.25">
      <c r="A1468" s="30">
        <v>0.60157309704198247</v>
      </c>
      <c r="B1468" s="30">
        <v>0</v>
      </c>
      <c r="C1468" s="30">
        <v>26.179999999999996</v>
      </c>
      <c r="G1468" s="18"/>
    </row>
    <row r="1469" spans="1:7" x14ac:dyDescent="0.25">
      <c r="A1469" s="30">
        <v>2.1823219629294144</v>
      </c>
      <c r="B1469" s="30">
        <v>0</v>
      </c>
      <c r="C1469" s="30">
        <v>26.179999999999996</v>
      </c>
      <c r="G1469" s="18"/>
    </row>
    <row r="1470" spans="1:7" x14ac:dyDescent="0.25">
      <c r="A1470" s="30">
        <v>0.59960696085050058</v>
      </c>
      <c r="B1470" s="30">
        <v>0</v>
      </c>
      <c r="C1470" s="30">
        <v>26.179999999999996</v>
      </c>
      <c r="G1470" s="18"/>
    </row>
    <row r="1471" spans="1:7" x14ac:dyDescent="0.25">
      <c r="A1471" s="30">
        <v>0.8137586217000452</v>
      </c>
      <c r="B1471" s="30">
        <v>0</v>
      </c>
      <c r="C1471" s="30">
        <v>26.179999999999996</v>
      </c>
      <c r="G1471" s="18"/>
    </row>
    <row r="1472" spans="1:7" x14ac:dyDescent="0.25">
      <c r="A1472" s="30">
        <v>0.8378089120148694</v>
      </c>
      <c r="B1472" s="30">
        <v>0</v>
      </c>
      <c r="C1472" s="30">
        <v>26.179999999999996</v>
      </c>
      <c r="G1472" s="18"/>
    </row>
    <row r="1473" spans="1:7" x14ac:dyDescent="0.25">
      <c r="A1473" s="30">
        <v>1.5719874674509828</v>
      </c>
      <c r="B1473" s="30">
        <v>0</v>
      </c>
      <c r="C1473" s="30">
        <v>26.179999999999996</v>
      </c>
      <c r="G1473" s="18"/>
    </row>
    <row r="1474" spans="1:7" x14ac:dyDescent="0.25">
      <c r="A1474" s="30">
        <v>0.65493773721608439</v>
      </c>
      <c r="B1474" s="30">
        <v>0</v>
      </c>
      <c r="C1474" s="30">
        <v>26.179999999999996</v>
      </c>
      <c r="G1474" s="18"/>
    </row>
    <row r="1475" spans="1:7" x14ac:dyDescent="0.25">
      <c r="A1475" s="30">
        <v>1.4232115637944236</v>
      </c>
      <c r="B1475" s="30">
        <v>0</v>
      </c>
      <c r="C1475" s="30">
        <v>26.179999999999996</v>
      </c>
      <c r="G1475" s="18"/>
    </row>
    <row r="1476" spans="1:7" x14ac:dyDescent="0.25">
      <c r="A1476" s="30">
        <v>0.91605342264837097</v>
      </c>
      <c r="B1476" s="30">
        <v>0</v>
      </c>
      <c r="C1476" s="30">
        <v>26.179999999999996</v>
      </c>
      <c r="G1476" s="18"/>
    </row>
    <row r="1477" spans="1:7" x14ac:dyDescent="0.25">
      <c r="A1477" s="30">
        <v>0.88624351489717623</v>
      </c>
      <c r="B1477" s="30">
        <v>0</v>
      </c>
      <c r="C1477" s="30">
        <v>26.179999999999996</v>
      </c>
      <c r="G1477" s="18"/>
    </row>
    <row r="1478" spans="1:7" x14ac:dyDescent="0.25">
      <c r="A1478" s="30">
        <v>0.55432496853660229</v>
      </c>
      <c r="B1478" s="30">
        <v>0</v>
      </c>
      <c r="C1478" s="30">
        <v>14</v>
      </c>
      <c r="G1478" s="18"/>
    </row>
    <row r="1479" spans="1:7" x14ac:dyDescent="0.25">
      <c r="A1479" s="30">
        <v>0.38623920655640659</v>
      </c>
      <c r="B1479" s="30">
        <v>0</v>
      </c>
      <c r="C1479" s="30">
        <v>14</v>
      </c>
      <c r="G1479" s="18"/>
    </row>
    <row r="1480" spans="1:7" x14ac:dyDescent="0.25">
      <c r="A1480" s="30">
        <v>1.2528438305028202</v>
      </c>
      <c r="B1480" s="30">
        <v>0</v>
      </c>
      <c r="C1480" s="30">
        <v>14</v>
      </c>
      <c r="G1480" s="18"/>
    </row>
    <row r="1481" spans="1:7" x14ac:dyDescent="0.25">
      <c r="A1481" s="30">
        <v>1.9135059026768011</v>
      </c>
      <c r="B1481" s="30">
        <v>0</v>
      </c>
      <c r="C1481" s="30">
        <v>14</v>
      </c>
      <c r="G1481" s="18"/>
    </row>
    <row r="1482" spans="1:7" x14ac:dyDescent="0.25">
      <c r="A1482" s="30">
        <v>0.93272123160297171</v>
      </c>
      <c r="B1482" s="30">
        <v>0</v>
      </c>
      <c r="C1482" s="30">
        <v>14</v>
      </c>
      <c r="G1482" s="18"/>
    </row>
    <row r="1483" spans="1:7" x14ac:dyDescent="0.25">
      <c r="A1483" s="30">
        <v>0.51251217134435334</v>
      </c>
      <c r="B1483" s="30">
        <v>0</v>
      </c>
      <c r="C1483" s="30">
        <v>14</v>
      </c>
      <c r="G1483" s="18"/>
    </row>
    <row r="1484" spans="1:7" x14ac:dyDescent="0.25">
      <c r="A1484" s="30">
        <v>0.75783145627867687</v>
      </c>
      <c r="B1484" s="30">
        <v>0</v>
      </c>
      <c r="C1484" s="30">
        <v>14</v>
      </c>
      <c r="G1484" s="18"/>
    </row>
    <row r="1485" spans="1:7" x14ac:dyDescent="0.25">
      <c r="A1485" s="30">
        <v>0.93786016255902394</v>
      </c>
      <c r="B1485" s="30">
        <v>0</v>
      </c>
      <c r="C1485" s="30">
        <v>14</v>
      </c>
      <c r="G1485" s="18"/>
    </row>
    <row r="1486" spans="1:7" x14ac:dyDescent="0.25">
      <c r="A1486" s="30">
        <v>0.17278645151742039</v>
      </c>
      <c r="B1486" s="30">
        <v>0</v>
      </c>
      <c r="C1486" s="30">
        <v>14</v>
      </c>
      <c r="G1486" s="18"/>
    </row>
    <row r="1487" spans="1:7" x14ac:dyDescent="0.25">
      <c r="A1487" s="30">
        <v>1.3538393537786053</v>
      </c>
      <c r="B1487" s="30">
        <v>0</v>
      </c>
      <c r="C1487" s="30">
        <v>14</v>
      </c>
      <c r="G1487" s="18"/>
    </row>
    <row r="1488" spans="1:7" x14ac:dyDescent="0.25">
      <c r="A1488" s="30">
        <v>1.1551685012480442</v>
      </c>
      <c r="B1488" s="30">
        <v>0</v>
      </c>
      <c r="C1488" s="30">
        <v>14</v>
      </c>
      <c r="G1488" s="18"/>
    </row>
    <row r="1489" spans="1:7" x14ac:dyDescent="0.25">
      <c r="A1489" s="30">
        <v>0.21976150020517507</v>
      </c>
      <c r="B1489" s="30">
        <v>0</v>
      </c>
      <c r="C1489" s="30">
        <v>14</v>
      </c>
      <c r="G1489" s="18"/>
    </row>
    <row r="1490" spans="1:7" x14ac:dyDescent="0.25">
      <c r="A1490" s="30">
        <v>0.59404513189665575</v>
      </c>
      <c r="B1490" s="30">
        <v>0</v>
      </c>
      <c r="C1490" s="30">
        <v>14</v>
      </c>
      <c r="G1490" s="18"/>
    </row>
    <row r="1491" spans="1:7" x14ac:dyDescent="0.25">
      <c r="A1491" s="30">
        <v>0.46369326230995911</v>
      </c>
      <c r="B1491" s="30">
        <v>0</v>
      </c>
      <c r="C1491" s="30">
        <v>14</v>
      </c>
      <c r="G1491" s="18"/>
    </row>
    <row r="1492" spans="1:7" x14ac:dyDescent="0.25">
      <c r="A1492" s="30">
        <v>0.49905416747379966</v>
      </c>
      <c r="B1492" s="30">
        <v>0</v>
      </c>
      <c r="C1492" s="30">
        <v>14</v>
      </c>
      <c r="G1492" s="18"/>
    </row>
    <row r="1493" spans="1:7" x14ac:dyDescent="0.25">
      <c r="A1493" s="30">
        <v>1.7805744361626878</v>
      </c>
      <c r="B1493" s="30">
        <v>0</v>
      </c>
      <c r="C1493" s="30">
        <v>14</v>
      </c>
      <c r="G1493" s="18"/>
    </row>
    <row r="1494" spans="1:7" x14ac:dyDescent="0.25">
      <c r="A1494" s="30">
        <v>0.27920375159583621</v>
      </c>
      <c r="B1494" s="30">
        <v>0</v>
      </c>
      <c r="C1494" s="30">
        <v>18.899999999999999</v>
      </c>
      <c r="G1494" s="18"/>
    </row>
    <row r="1495" spans="1:7" x14ac:dyDescent="0.25">
      <c r="A1495" s="30">
        <v>0.25265115043189768</v>
      </c>
      <c r="B1495" s="30">
        <v>0</v>
      </c>
      <c r="C1495" s="30">
        <v>18.899999999999999</v>
      </c>
      <c r="G1495" s="18"/>
    </row>
    <row r="1496" spans="1:7" x14ac:dyDescent="0.25">
      <c r="A1496" s="30">
        <v>0.47208641662762413</v>
      </c>
      <c r="B1496" s="30">
        <v>0</v>
      </c>
      <c r="C1496" s="30">
        <v>18.899999999999999</v>
      </c>
      <c r="G1496" s="18"/>
    </row>
    <row r="1497" spans="1:7" x14ac:dyDescent="0.25">
      <c r="A1497" s="30">
        <v>0.35976488894445896</v>
      </c>
      <c r="B1497" s="30">
        <v>0</v>
      </c>
      <c r="C1497" s="30">
        <v>18.899999999999999</v>
      </c>
      <c r="G1497" s="18"/>
    </row>
    <row r="1498" spans="1:7" x14ac:dyDescent="0.25">
      <c r="A1498" s="30">
        <v>0.24417823950864231</v>
      </c>
      <c r="B1498" s="30">
        <v>0</v>
      </c>
      <c r="C1498" s="30">
        <v>18.899999999999999</v>
      </c>
      <c r="G1498" s="18"/>
    </row>
    <row r="1499" spans="1:7" x14ac:dyDescent="0.25">
      <c r="A1499" s="30">
        <v>1.5073807112862094</v>
      </c>
      <c r="B1499" s="30">
        <v>0</v>
      </c>
      <c r="C1499" s="30">
        <v>18.899999999999999</v>
      </c>
      <c r="G1499" s="18"/>
    </row>
    <row r="1500" spans="1:7" x14ac:dyDescent="0.25">
      <c r="A1500" s="30">
        <v>0.66269408649993644</v>
      </c>
      <c r="B1500" s="30">
        <v>0</v>
      </c>
      <c r="C1500" s="30">
        <v>18.899999999999999</v>
      </c>
      <c r="G1500" s="18"/>
    </row>
    <row r="1501" spans="1:7" x14ac:dyDescent="0.25">
      <c r="A1501" s="30">
        <v>1.675854223664075</v>
      </c>
      <c r="B1501" s="30">
        <v>0</v>
      </c>
      <c r="C1501" s="30">
        <v>18.899999999999999</v>
      </c>
      <c r="G1501" s="18"/>
    </row>
    <row r="1502" spans="1:7" x14ac:dyDescent="0.25">
      <c r="A1502" s="30">
        <v>1.0765016558968497</v>
      </c>
      <c r="B1502" s="30">
        <v>0</v>
      </c>
      <c r="C1502" s="30">
        <v>18.899999999999999</v>
      </c>
      <c r="G1502" s="18"/>
    </row>
    <row r="1503" spans="1:7" x14ac:dyDescent="0.25">
      <c r="A1503" s="30">
        <v>2.142897185527775</v>
      </c>
      <c r="B1503" s="30">
        <v>0</v>
      </c>
      <c r="C1503" s="30">
        <v>18.899999999999999</v>
      </c>
      <c r="G1503" s="18"/>
    </row>
    <row r="1504" spans="1:7" x14ac:dyDescent="0.25">
      <c r="A1504" s="30">
        <v>0.65740442790744746</v>
      </c>
      <c r="B1504" s="30">
        <v>0</v>
      </c>
      <c r="C1504" s="30">
        <v>18.899999999999999</v>
      </c>
      <c r="G1504" s="18"/>
    </row>
    <row r="1505" spans="1:7" x14ac:dyDescent="0.25">
      <c r="A1505" s="30">
        <v>7.2330485209681591E-2</v>
      </c>
      <c r="B1505" s="30">
        <v>0</v>
      </c>
      <c r="C1505" s="30">
        <v>18.899999999999999</v>
      </c>
      <c r="G1505" s="18"/>
    </row>
    <row r="1506" spans="1:7" x14ac:dyDescent="0.25">
      <c r="A1506" s="30">
        <v>0.35988530468031393</v>
      </c>
      <c r="B1506" s="30">
        <v>0</v>
      </c>
      <c r="C1506" s="30">
        <v>18.899999999999999</v>
      </c>
      <c r="G1506" s="18"/>
    </row>
    <row r="1507" spans="1:7" x14ac:dyDescent="0.25">
      <c r="A1507" s="30">
        <v>1.4688088607437406</v>
      </c>
      <c r="B1507" s="30">
        <v>0</v>
      </c>
      <c r="C1507" s="30">
        <v>18.899999999999999</v>
      </c>
      <c r="G1507" s="18"/>
    </row>
    <row r="1508" spans="1:7" x14ac:dyDescent="0.25">
      <c r="A1508" s="30">
        <v>0.68647068482580686</v>
      </c>
      <c r="B1508" s="30">
        <v>0</v>
      </c>
      <c r="C1508" s="30">
        <v>18.899999999999999</v>
      </c>
      <c r="G1508" s="18"/>
    </row>
    <row r="1509" spans="1:7" x14ac:dyDescent="0.25">
      <c r="A1509" s="30">
        <v>2.2359552624443682</v>
      </c>
      <c r="B1509" s="30">
        <v>0</v>
      </c>
      <c r="C1509" s="30">
        <v>18.62</v>
      </c>
      <c r="G1509" s="18"/>
    </row>
    <row r="1510" spans="1:7" x14ac:dyDescent="0.25">
      <c r="A1510" s="30">
        <v>8.0114939822797521E-2</v>
      </c>
      <c r="B1510" s="30">
        <v>0</v>
      </c>
      <c r="C1510" s="30">
        <v>18.62</v>
      </c>
      <c r="G1510" s="18"/>
    </row>
    <row r="1511" spans="1:7" x14ac:dyDescent="0.25">
      <c r="A1511" s="30">
        <v>1.3606977594955283</v>
      </c>
      <c r="B1511" s="30">
        <v>0</v>
      </c>
      <c r="C1511" s="30">
        <v>18.62</v>
      </c>
      <c r="G1511" s="18"/>
    </row>
    <row r="1512" spans="1:7" x14ac:dyDescent="0.25">
      <c r="A1512" s="30">
        <v>0.46973262637595548</v>
      </c>
      <c r="B1512" s="30">
        <v>0</v>
      </c>
      <c r="C1512" s="30">
        <v>18.62</v>
      </c>
      <c r="G1512" s="18"/>
    </row>
    <row r="1513" spans="1:7" x14ac:dyDescent="0.25">
      <c r="A1513" s="30">
        <v>0.2821846580219079</v>
      </c>
      <c r="B1513" s="30">
        <v>0</v>
      </c>
      <c r="C1513" s="30">
        <v>18.62</v>
      </c>
      <c r="G1513" s="18"/>
    </row>
    <row r="1514" spans="1:7" x14ac:dyDescent="0.25">
      <c r="A1514" s="30">
        <v>0.84124800258344035</v>
      </c>
      <c r="B1514" s="30">
        <v>0</v>
      </c>
      <c r="C1514" s="30">
        <v>18.62</v>
      </c>
      <c r="G1514" s="18"/>
    </row>
    <row r="1515" spans="1:7" x14ac:dyDescent="0.25">
      <c r="A1515" s="30">
        <v>0.65686186551614101</v>
      </c>
      <c r="B1515" s="30">
        <v>0</v>
      </c>
      <c r="C1515" s="30">
        <v>18.62</v>
      </c>
      <c r="G1515" s="18"/>
    </row>
    <row r="1516" spans="1:7" x14ac:dyDescent="0.25">
      <c r="A1516" s="30">
        <v>1.2770772328605189</v>
      </c>
      <c r="B1516" s="30">
        <v>0</v>
      </c>
      <c r="C1516" s="30">
        <v>18.62</v>
      </c>
      <c r="G1516" s="18"/>
    </row>
    <row r="1517" spans="1:7" x14ac:dyDescent="0.25">
      <c r="A1517" s="30">
        <v>1.9138284912438404</v>
      </c>
      <c r="B1517" s="30">
        <v>0</v>
      </c>
      <c r="C1517" s="30">
        <v>18.62</v>
      </c>
      <c r="G1517" s="18"/>
    </row>
    <row r="1518" spans="1:7" x14ac:dyDescent="0.25">
      <c r="A1518" s="30">
        <v>1.3788959007888366</v>
      </c>
      <c r="B1518" s="30">
        <v>0</v>
      </c>
      <c r="C1518" s="30">
        <v>18.62</v>
      </c>
      <c r="G1518" s="18"/>
    </row>
    <row r="1519" spans="1:7" x14ac:dyDescent="0.25">
      <c r="A1519" s="30">
        <v>0.49205720007656184</v>
      </c>
      <c r="B1519" s="30">
        <v>0</v>
      </c>
      <c r="C1519" s="30">
        <v>18.62</v>
      </c>
      <c r="G1519" s="18"/>
    </row>
    <row r="1520" spans="1:7" x14ac:dyDescent="0.25">
      <c r="A1520" s="30">
        <v>0.10913983358428239</v>
      </c>
      <c r="B1520" s="30">
        <v>0</v>
      </c>
      <c r="C1520" s="30">
        <v>18.62</v>
      </c>
      <c r="G1520" s="18"/>
    </row>
    <row r="1521" spans="1:7" x14ac:dyDescent="0.25">
      <c r="A1521" s="30">
        <v>1.5030354516047524</v>
      </c>
      <c r="B1521" s="30">
        <v>0</v>
      </c>
      <c r="C1521" s="30">
        <v>18.62</v>
      </c>
      <c r="G1521" s="18"/>
    </row>
    <row r="1522" spans="1:7" x14ac:dyDescent="0.25">
      <c r="A1522" s="30">
        <v>0.13188662033016502</v>
      </c>
      <c r="B1522" s="30">
        <v>0</v>
      </c>
      <c r="C1522" s="30">
        <v>18.62</v>
      </c>
      <c r="G1522" s="18"/>
    </row>
    <row r="1523" spans="1:7" x14ac:dyDescent="0.25">
      <c r="A1523" s="30">
        <v>1.2590762506810707</v>
      </c>
      <c r="B1523" s="30">
        <v>0</v>
      </c>
      <c r="C1523" s="30">
        <v>18.62</v>
      </c>
      <c r="G1523" s="18"/>
    </row>
    <row r="1524" spans="1:7" x14ac:dyDescent="0.25">
      <c r="A1524" s="30">
        <v>1.2898329044182142</v>
      </c>
      <c r="B1524" s="30">
        <v>0</v>
      </c>
      <c r="C1524" s="30">
        <v>18.62</v>
      </c>
      <c r="G1524" s="18"/>
    </row>
    <row r="1525" spans="1:7" x14ac:dyDescent="0.25">
      <c r="A1525" s="30">
        <v>1.7280775816074936</v>
      </c>
      <c r="B1525" s="30">
        <v>0</v>
      </c>
      <c r="C1525" s="30">
        <v>18.62</v>
      </c>
      <c r="G1525" s="18"/>
    </row>
    <row r="1526" spans="1:7" x14ac:dyDescent="0.25">
      <c r="A1526" s="30">
        <v>0.44887436104137918</v>
      </c>
      <c r="B1526" s="30">
        <v>0</v>
      </c>
      <c r="C1526" s="30">
        <v>20.299999999999997</v>
      </c>
      <c r="G1526" s="18"/>
    </row>
    <row r="1527" spans="1:7" x14ac:dyDescent="0.25">
      <c r="A1527" s="30">
        <v>0.95795447856301019</v>
      </c>
      <c r="B1527" s="30">
        <v>0</v>
      </c>
      <c r="C1527" s="30">
        <v>20.299999999999997</v>
      </c>
      <c r="G1527" s="18"/>
    </row>
    <row r="1528" spans="1:7" x14ac:dyDescent="0.25">
      <c r="A1528" s="30">
        <v>0.18064875235762237</v>
      </c>
      <c r="B1528" s="30">
        <v>0</v>
      </c>
      <c r="C1528" s="30">
        <v>20.299999999999997</v>
      </c>
      <c r="G1528" s="18"/>
    </row>
    <row r="1529" spans="1:7" x14ac:dyDescent="0.25">
      <c r="A1529" s="30">
        <v>0.81446728338634178</v>
      </c>
      <c r="B1529" s="30">
        <v>0</v>
      </c>
      <c r="C1529" s="30">
        <v>20.299999999999997</v>
      </c>
      <c r="G1529" s="18"/>
    </row>
    <row r="1530" spans="1:7" x14ac:dyDescent="0.25">
      <c r="A1530" s="30">
        <v>0.64535196338347434</v>
      </c>
      <c r="B1530" s="30">
        <v>0</v>
      </c>
      <c r="C1530" s="30">
        <v>20.299999999999997</v>
      </c>
      <c r="G1530" s="18"/>
    </row>
    <row r="1531" spans="1:7" x14ac:dyDescent="0.25">
      <c r="A1531" s="30">
        <v>0.17615562054270911</v>
      </c>
      <c r="B1531" s="30">
        <v>0</v>
      </c>
      <c r="C1531" s="30">
        <v>20.299999999999997</v>
      </c>
      <c r="G1531" s="18"/>
    </row>
    <row r="1532" spans="1:7" x14ac:dyDescent="0.25">
      <c r="A1532" s="30">
        <v>1.3559899231860448</v>
      </c>
      <c r="B1532" s="30">
        <v>0</v>
      </c>
      <c r="C1532" s="30">
        <v>20.299999999999997</v>
      </c>
      <c r="G1532" s="18"/>
    </row>
    <row r="1533" spans="1:7" x14ac:dyDescent="0.25">
      <c r="A1533" s="30">
        <v>1.7268569846357671</v>
      </c>
      <c r="B1533" s="30">
        <v>0</v>
      </c>
      <c r="C1533" s="30">
        <v>20.299999999999997</v>
      </c>
      <c r="G1533" s="18"/>
    </row>
    <row r="1534" spans="1:7" x14ac:dyDescent="0.25">
      <c r="A1534" s="30">
        <v>0.42244662051824217</v>
      </c>
      <c r="B1534" s="30">
        <v>0</v>
      </c>
      <c r="C1534" s="30">
        <v>20.299999999999997</v>
      </c>
      <c r="G1534" s="18"/>
    </row>
    <row r="1535" spans="1:7" x14ac:dyDescent="0.25">
      <c r="A1535" s="30">
        <v>2.3955242239965759</v>
      </c>
      <c r="B1535" s="30">
        <v>0</v>
      </c>
      <c r="C1535" s="30">
        <v>20.299999999999997</v>
      </c>
      <c r="G1535" s="18"/>
    </row>
    <row r="1536" spans="1:7" x14ac:dyDescent="0.25">
      <c r="A1536" s="30">
        <v>0.81363581654026673</v>
      </c>
      <c r="B1536" s="30">
        <v>0</v>
      </c>
      <c r="C1536" s="30">
        <v>20.299999999999997</v>
      </c>
      <c r="G1536" s="18"/>
    </row>
    <row r="1537" spans="1:7" x14ac:dyDescent="0.25">
      <c r="A1537" s="30">
        <v>0.78381832833454979</v>
      </c>
      <c r="B1537" s="30">
        <v>0</v>
      </c>
      <c r="C1537" s="30">
        <v>20.299999999999997</v>
      </c>
      <c r="G1537" s="18"/>
    </row>
    <row r="1538" spans="1:7" x14ac:dyDescent="0.25">
      <c r="A1538" s="30">
        <v>1.0025244922723968</v>
      </c>
      <c r="B1538" s="30">
        <v>0</v>
      </c>
      <c r="C1538" s="30">
        <v>20.299999999999997</v>
      </c>
      <c r="G1538" s="18"/>
    </row>
    <row r="1539" spans="1:7" x14ac:dyDescent="0.25">
      <c r="A1539" s="30">
        <v>7.2391904600036042E-2</v>
      </c>
      <c r="B1539" s="30">
        <v>0</v>
      </c>
      <c r="C1539" s="30">
        <v>20.299999999999997</v>
      </c>
      <c r="G1539" s="18"/>
    </row>
    <row r="1540" spans="1:7" x14ac:dyDescent="0.25">
      <c r="A1540" s="30">
        <v>0.72643293349112215</v>
      </c>
      <c r="B1540" s="30">
        <v>0</v>
      </c>
      <c r="C1540" s="30">
        <v>20.299999999999997</v>
      </c>
      <c r="G1540" s="18"/>
    </row>
    <row r="1541" spans="1:7" x14ac:dyDescent="0.25">
      <c r="A1541" s="30">
        <v>1.6604820997259904</v>
      </c>
      <c r="B1541" s="30">
        <v>0</v>
      </c>
      <c r="C1541" s="30">
        <v>20.299999999999997</v>
      </c>
      <c r="G1541" s="18"/>
    </row>
    <row r="1542" spans="1:7" x14ac:dyDescent="0.25">
      <c r="A1542" s="30">
        <v>0.29994382648868384</v>
      </c>
      <c r="B1542" s="30">
        <v>0</v>
      </c>
      <c r="C1542" s="30">
        <v>21</v>
      </c>
      <c r="G1542" s="18"/>
    </row>
    <row r="1543" spans="1:7" x14ac:dyDescent="0.25">
      <c r="A1543" s="30">
        <v>0.16211650800351601</v>
      </c>
      <c r="B1543" s="30">
        <v>0</v>
      </c>
      <c r="C1543" s="30">
        <v>21</v>
      </c>
      <c r="G1543" s="18"/>
    </row>
    <row r="1544" spans="1:7" x14ac:dyDescent="0.25">
      <c r="A1544" s="30">
        <v>0.96834393463164936</v>
      </c>
      <c r="B1544" s="30">
        <v>0</v>
      </c>
      <c r="C1544" s="30">
        <v>21</v>
      </c>
      <c r="G1544" s="18"/>
    </row>
    <row r="1545" spans="1:7" x14ac:dyDescent="0.25">
      <c r="A1545" s="30">
        <v>0.32057204958806745</v>
      </c>
      <c r="B1545" s="30">
        <v>0</v>
      </c>
      <c r="C1545" s="30">
        <v>21</v>
      </c>
      <c r="G1545" s="18"/>
    </row>
    <row r="1546" spans="1:7" x14ac:dyDescent="0.25">
      <c r="A1546" s="30">
        <v>1.2401267931241533</v>
      </c>
      <c r="B1546" s="30">
        <v>0</v>
      </c>
      <c r="C1546" s="30">
        <v>21</v>
      </c>
      <c r="G1546" s="18"/>
    </row>
    <row r="1547" spans="1:7" x14ac:dyDescent="0.25">
      <c r="A1547" s="30">
        <v>0.18806717391905742</v>
      </c>
      <c r="B1547" s="30">
        <v>0</v>
      </c>
      <c r="C1547" s="30">
        <v>21</v>
      </c>
      <c r="G1547" s="18"/>
    </row>
    <row r="1548" spans="1:7" x14ac:dyDescent="0.25">
      <c r="A1548" s="30">
        <v>0.95540533371151781</v>
      </c>
      <c r="B1548" s="30">
        <v>0</v>
      </c>
      <c r="C1548" s="30">
        <v>21</v>
      </c>
      <c r="G1548" s="18"/>
    </row>
    <row r="1549" spans="1:7" x14ac:dyDescent="0.25">
      <c r="A1549" s="30">
        <v>1.1193873650933901</v>
      </c>
      <c r="B1549" s="30">
        <v>0</v>
      </c>
      <c r="C1549" s="30">
        <v>21</v>
      </c>
      <c r="G1549" s="18"/>
    </row>
    <row r="1550" spans="1:7" x14ac:dyDescent="0.25">
      <c r="A1550" s="30">
        <v>0.38821580330692751</v>
      </c>
      <c r="B1550" s="30">
        <v>0</v>
      </c>
      <c r="C1550" s="30">
        <v>21</v>
      </c>
      <c r="G1550" s="18"/>
    </row>
    <row r="1551" spans="1:7" x14ac:dyDescent="0.25">
      <c r="A1551" s="30">
        <v>2.258460594271213</v>
      </c>
      <c r="B1551" s="30">
        <v>0</v>
      </c>
      <c r="C1551" s="30">
        <v>21</v>
      </c>
      <c r="G1551" s="18"/>
    </row>
    <row r="1552" spans="1:7" x14ac:dyDescent="0.25">
      <c r="A1552" s="30">
        <v>1.0700617822932919</v>
      </c>
      <c r="B1552" s="30">
        <v>0</v>
      </c>
      <c r="C1552" s="30">
        <v>21</v>
      </c>
      <c r="G1552" s="18"/>
    </row>
    <row r="1553" spans="1:7" x14ac:dyDescent="0.25">
      <c r="A1553" s="30">
        <v>2.304726781285706</v>
      </c>
      <c r="B1553" s="30">
        <v>0</v>
      </c>
      <c r="C1553" s="30">
        <v>21</v>
      </c>
      <c r="G1553" s="18"/>
    </row>
    <row r="1554" spans="1:7" x14ac:dyDescent="0.25">
      <c r="A1554" s="30">
        <v>1.2968547790925664</v>
      </c>
      <c r="B1554" s="30">
        <v>0</v>
      </c>
      <c r="C1554" s="30">
        <v>21</v>
      </c>
      <c r="G1554" s="18"/>
    </row>
    <row r="1555" spans="1:7" x14ac:dyDescent="0.25">
      <c r="A1555" s="30">
        <v>3.2929416761924733E-3</v>
      </c>
      <c r="B1555" s="30">
        <v>0</v>
      </c>
      <c r="C1555" s="30">
        <v>21</v>
      </c>
      <c r="G1555" s="18"/>
    </row>
    <row r="1556" spans="1:7" x14ac:dyDescent="0.25">
      <c r="A1556" s="30">
        <v>1.2505311102246108</v>
      </c>
      <c r="B1556" s="30">
        <v>0</v>
      </c>
      <c r="C1556" s="30">
        <v>21</v>
      </c>
      <c r="G1556" s="18"/>
    </row>
    <row r="1557" spans="1:7" x14ac:dyDescent="0.25">
      <c r="A1557" s="30">
        <v>0.52046945122584176</v>
      </c>
      <c r="B1557" s="30">
        <v>0</v>
      </c>
      <c r="C1557" s="30">
        <v>21</v>
      </c>
      <c r="G1557" s="18"/>
    </row>
    <row r="1558" spans="1:7" x14ac:dyDescent="0.25">
      <c r="A1558" s="30">
        <v>0.59458794365905954</v>
      </c>
      <c r="B1558" s="30">
        <v>0</v>
      </c>
      <c r="C1558" s="30">
        <v>21</v>
      </c>
      <c r="G1558" s="18"/>
    </row>
    <row r="1559" spans="1:7" x14ac:dyDescent="0.25">
      <c r="A1559" s="30">
        <v>1.0756364757502692</v>
      </c>
      <c r="B1559" s="30">
        <v>0</v>
      </c>
      <c r="C1559" s="30">
        <v>19.179999999999996</v>
      </c>
      <c r="G1559" s="18"/>
    </row>
    <row r="1560" spans="1:7" x14ac:dyDescent="0.25">
      <c r="A1560" s="30">
        <v>1.1449612530578643</v>
      </c>
      <c r="B1560" s="30">
        <v>0</v>
      </c>
      <c r="C1560" s="30">
        <v>19.179999999999996</v>
      </c>
      <c r="G1560" s="18"/>
    </row>
    <row r="1561" spans="1:7" x14ac:dyDescent="0.25">
      <c r="A1561" s="30">
        <v>2.2677880540645581</v>
      </c>
      <c r="B1561" s="30">
        <v>0</v>
      </c>
      <c r="C1561" s="30">
        <v>19.179999999999996</v>
      </c>
      <c r="G1561" s="18"/>
    </row>
    <row r="1562" spans="1:7" x14ac:dyDescent="0.25">
      <c r="A1562" s="30">
        <v>0.29804120457732386</v>
      </c>
      <c r="B1562" s="30">
        <v>0</v>
      </c>
      <c r="C1562" s="30">
        <v>19.179999999999996</v>
      </c>
      <c r="G1562" s="18"/>
    </row>
    <row r="1563" spans="1:7" x14ac:dyDescent="0.25">
      <c r="A1563" s="30">
        <v>0.94761679013825106</v>
      </c>
      <c r="B1563" s="30">
        <v>0</v>
      </c>
      <c r="C1563" s="30">
        <v>19.179999999999996</v>
      </c>
      <c r="G1563" s="18"/>
    </row>
    <row r="1564" spans="1:7" x14ac:dyDescent="0.25">
      <c r="A1564" s="30">
        <v>0.775918978106243</v>
      </c>
      <c r="B1564" s="30">
        <v>0</v>
      </c>
      <c r="C1564" s="30">
        <v>19.179999999999996</v>
      </c>
      <c r="G1564" s="18"/>
    </row>
    <row r="1565" spans="1:7" x14ac:dyDescent="0.25">
      <c r="A1565" s="30">
        <v>2.1934415225731838</v>
      </c>
      <c r="B1565" s="30">
        <v>0</v>
      </c>
      <c r="C1565" s="30">
        <v>19.179999999999996</v>
      </c>
      <c r="G1565" s="18"/>
    </row>
    <row r="1566" spans="1:7" x14ac:dyDescent="0.25">
      <c r="A1566" s="30">
        <v>0.66320862116728452</v>
      </c>
      <c r="B1566" s="30">
        <v>0</v>
      </c>
      <c r="C1566" s="30">
        <v>19.179999999999996</v>
      </c>
      <c r="G1566" s="18"/>
    </row>
    <row r="1567" spans="1:7" x14ac:dyDescent="0.25">
      <c r="A1567" s="30">
        <v>0.81188588267876227</v>
      </c>
      <c r="B1567" s="30">
        <v>0</v>
      </c>
      <c r="C1567" s="30">
        <v>19.179999999999996</v>
      </c>
      <c r="G1567" s="18"/>
    </row>
    <row r="1568" spans="1:7" x14ac:dyDescent="0.25">
      <c r="A1568" s="30">
        <v>0.72938898384189932</v>
      </c>
      <c r="B1568" s="30">
        <v>0</v>
      </c>
      <c r="C1568" s="30">
        <v>19.179999999999996</v>
      </c>
      <c r="G1568" s="18"/>
    </row>
    <row r="1569" spans="1:7" x14ac:dyDescent="0.25">
      <c r="A1569" s="30">
        <v>0.99816677385733943</v>
      </c>
      <c r="B1569" s="30">
        <v>0</v>
      </c>
      <c r="C1569" s="30">
        <v>19.179999999999996</v>
      </c>
      <c r="G1569" s="18"/>
    </row>
    <row r="1570" spans="1:7" x14ac:dyDescent="0.25">
      <c r="A1570" s="30">
        <v>0.80188428724011496</v>
      </c>
      <c r="B1570" s="30">
        <v>0</v>
      </c>
      <c r="C1570" s="30">
        <v>19.179999999999996</v>
      </c>
      <c r="G1570" s="18"/>
    </row>
    <row r="1571" spans="1:7" x14ac:dyDescent="0.25">
      <c r="A1571" s="30">
        <v>1.4229921215089061</v>
      </c>
      <c r="B1571" s="30">
        <v>0</v>
      </c>
      <c r="C1571" s="30">
        <v>19.179999999999996</v>
      </c>
      <c r="G1571" s="18"/>
    </row>
    <row r="1572" spans="1:7" x14ac:dyDescent="0.25">
      <c r="A1572" s="30">
        <v>1.3383857266204586</v>
      </c>
      <c r="B1572" s="30">
        <v>0</v>
      </c>
      <c r="C1572" s="30">
        <v>19.179999999999996</v>
      </c>
      <c r="G1572" s="18"/>
    </row>
    <row r="1573" spans="1:7" x14ac:dyDescent="0.25">
      <c r="A1573" s="30">
        <v>0.70318984869116419</v>
      </c>
      <c r="B1573" s="30">
        <v>0</v>
      </c>
      <c r="C1573" s="30">
        <v>19.179999999999996</v>
      </c>
      <c r="G1573" s="18"/>
    </row>
    <row r="1574" spans="1:7" x14ac:dyDescent="0.25">
      <c r="A1574" s="30">
        <v>0.31960640839765642</v>
      </c>
      <c r="B1574" s="30">
        <v>0</v>
      </c>
      <c r="C1574" s="30">
        <v>19.179999999999996</v>
      </c>
      <c r="G1574" s="18"/>
    </row>
    <row r="1575" spans="1:7" x14ac:dyDescent="0.25">
      <c r="A1575" s="30">
        <v>1.6364061319176422</v>
      </c>
      <c r="B1575" s="30">
        <v>0</v>
      </c>
      <c r="C1575" s="30">
        <v>19.179999999999996</v>
      </c>
      <c r="G1575" s="18"/>
    </row>
    <row r="1576" spans="1:7" x14ac:dyDescent="0.25">
      <c r="A1576" s="30">
        <v>1.2240454017921463</v>
      </c>
      <c r="B1576" s="30">
        <v>0</v>
      </c>
      <c r="C1576" s="30">
        <v>31.499999999999996</v>
      </c>
      <c r="G1576" s="18"/>
    </row>
    <row r="1577" spans="1:7" x14ac:dyDescent="0.25">
      <c r="A1577" s="30">
        <v>0.23324263649116234</v>
      </c>
      <c r="B1577" s="30">
        <v>0</v>
      </c>
      <c r="C1577" s="30">
        <v>31.499999999999996</v>
      </c>
      <c r="G1577" s="18"/>
    </row>
    <row r="1578" spans="1:7" x14ac:dyDescent="0.25">
      <c r="A1578" s="30">
        <v>0.32997176464981054</v>
      </c>
      <c r="B1578" s="30">
        <v>0</v>
      </c>
      <c r="C1578" s="30">
        <v>31.499999999999996</v>
      </c>
      <c r="G1578" s="18"/>
    </row>
    <row r="1579" spans="1:7" x14ac:dyDescent="0.25">
      <c r="A1579" s="30">
        <v>0.15850334177143025</v>
      </c>
      <c r="B1579" s="30">
        <v>0</v>
      </c>
      <c r="C1579" s="30">
        <v>31.499999999999996</v>
      </c>
      <c r="G1579" s="18"/>
    </row>
    <row r="1580" spans="1:7" x14ac:dyDescent="0.25">
      <c r="A1580" s="30">
        <v>0.85060822984984696</v>
      </c>
      <c r="B1580" s="30">
        <v>0</v>
      </c>
      <c r="C1580" s="30">
        <v>31.499999999999996</v>
      </c>
      <c r="G1580" s="18"/>
    </row>
    <row r="1581" spans="1:7" x14ac:dyDescent="0.25">
      <c r="A1581" s="30">
        <v>0.32605853552080521</v>
      </c>
      <c r="B1581" s="30">
        <v>0</v>
      </c>
      <c r="C1581" s="30">
        <v>31.499999999999996</v>
      </c>
      <c r="G1581" s="18"/>
    </row>
    <row r="1582" spans="1:7" x14ac:dyDescent="0.25">
      <c r="A1582" s="30">
        <v>0.64979006214994628</v>
      </c>
      <c r="B1582" s="30">
        <v>0</v>
      </c>
      <c r="C1582" s="30">
        <v>31.499999999999996</v>
      </c>
      <c r="G1582" s="18"/>
    </row>
    <row r="1583" spans="1:7" x14ac:dyDescent="0.25">
      <c r="A1583" s="30">
        <v>1.4544427601522396</v>
      </c>
      <c r="B1583" s="30">
        <v>0</v>
      </c>
      <c r="C1583" s="30">
        <v>31.499999999999996</v>
      </c>
      <c r="G1583" s="18"/>
    </row>
    <row r="1584" spans="1:7" x14ac:dyDescent="0.25">
      <c r="A1584" s="30">
        <v>0.17321654470304332</v>
      </c>
      <c r="B1584" s="30">
        <v>0</v>
      </c>
      <c r="C1584" s="30">
        <v>31.499999999999996</v>
      </c>
      <c r="G1584" s="18"/>
    </row>
    <row r="1585" spans="1:7" x14ac:dyDescent="0.25">
      <c r="A1585" s="30">
        <v>0.39854633210304824</v>
      </c>
      <c r="B1585" s="30">
        <v>0</v>
      </c>
      <c r="C1585" s="30">
        <v>31.499999999999996</v>
      </c>
      <c r="G1585" s="18"/>
    </row>
    <row r="1586" spans="1:7" x14ac:dyDescent="0.25">
      <c r="A1586" s="30">
        <v>0.71449791862368306</v>
      </c>
      <c r="B1586" s="30">
        <v>0</v>
      </c>
      <c r="C1586" s="30">
        <v>31.499999999999996</v>
      </c>
      <c r="G1586" s="18"/>
    </row>
    <row r="1587" spans="1:7" x14ac:dyDescent="0.25">
      <c r="A1587" s="30">
        <v>1.9691708575937246</v>
      </c>
      <c r="B1587" s="30">
        <v>0</v>
      </c>
      <c r="C1587" s="30">
        <v>31.499999999999996</v>
      </c>
      <c r="G1587" s="18"/>
    </row>
    <row r="1588" spans="1:7" x14ac:dyDescent="0.25">
      <c r="A1588" s="30">
        <v>0.19804970870034277</v>
      </c>
      <c r="B1588" s="30">
        <v>0</v>
      </c>
      <c r="C1588" s="30">
        <v>31.499999999999996</v>
      </c>
      <c r="G1588" s="18"/>
    </row>
    <row r="1589" spans="1:7" x14ac:dyDescent="0.25">
      <c r="A1589" s="30">
        <v>0.9569373802657285</v>
      </c>
      <c r="B1589" s="30">
        <v>0</v>
      </c>
      <c r="C1589" s="30">
        <v>31.499999999999996</v>
      </c>
      <c r="G1589" s="18"/>
    </row>
    <row r="1590" spans="1:7" x14ac:dyDescent="0.25">
      <c r="A1590" s="30">
        <v>0.10991036925684361</v>
      </c>
      <c r="B1590" s="30">
        <v>0</v>
      </c>
      <c r="C1590" s="30">
        <v>31.499999999999996</v>
      </c>
      <c r="G1590" s="18"/>
    </row>
    <row r="1591" spans="1:7" x14ac:dyDescent="0.25">
      <c r="A1591" s="30">
        <v>0.70792937364963315</v>
      </c>
      <c r="B1591" s="30">
        <v>0</v>
      </c>
      <c r="C1591" s="30">
        <v>31.499999999999996</v>
      </c>
      <c r="G1591" s="18"/>
    </row>
    <row r="1592" spans="1:7" x14ac:dyDescent="0.25">
      <c r="A1592" s="30">
        <v>0.46314350020931505</v>
      </c>
      <c r="B1592" s="30">
        <v>0</v>
      </c>
      <c r="C1592" s="30">
        <v>31.499999999999996</v>
      </c>
      <c r="G1592" s="18"/>
    </row>
    <row r="1593" spans="1:7" x14ac:dyDescent="0.25">
      <c r="A1593" s="30">
        <v>0.24627932046312423</v>
      </c>
      <c r="B1593" s="30">
        <v>0</v>
      </c>
      <c r="C1593" s="30">
        <v>25.34</v>
      </c>
      <c r="G1593" s="18"/>
    </row>
    <row r="1594" spans="1:7" x14ac:dyDescent="0.25">
      <c r="A1594" s="30">
        <v>0.18752298653237204</v>
      </c>
      <c r="B1594" s="30">
        <v>0</v>
      </c>
      <c r="C1594" s="30">
        <v>25.34</v>
      </c>
      <c r="G1594" s="18"/>
    </row>
    <row r="1595" spans="1:7" x14ac:dyDescent="0.25">
      <c r="A1595" s="30">
        <v>1.8034984184218512</v>
      </c>
      <c r="B1595" s="30">
        <v>0</v>
      </c>
      <c r="C1595" s="30">
        <v>25.34</v>
      </c>
      <c r="G1595" s="18"/>
    </row>
    <row r="1596" spans="1:7" x14ac:dyDescent="0.25">
      <c r="A1596" s="30">
        <v>1.0869265148131695</v>
      </c>
      <c r="B1596" s="30">
        <v>0</v>
      </c>
      <c r="C1596" s="30">
        <v>25.34</v>
      </c>
      <c r="G1596" s="18"/>
    </row>
    <row r="1597" spans="1:7" x14ac:dyDescent="0.25">
      <c r="A1597" s="30">
        <v>2.2282832364510875E-2</v>
      </c>
      <c r="B1597" s="30">
        <v>0</v>
      </c>
      <c r="C1597" s="30">
        <v>25.34</v>
      </c>
      <c r="G1597" s="18"/>
    </row>
    <row r="1598" spans="1:7" x14ac:dyDescent="0.25">
      <c r="A1598" s="30">
        <v>8.7400181142722438E-2</v>
      </c>
      <c r="B1598" s="30">
        <v>0</v>
      </c>
      <c r="C1598" s="30">
        <v>25.34</v>
      </c>
      <c r="G1598" s="18"/>
    </row>
    <row r="1599" spans="1:7" x14ac:dyDescent="0.25">
      <c r="A1599" s="30">
        <v>0.66467394823661496</v>
      </c>
      <c r="B1599" s="30">
        <v>0</v>
      </c>
      <c r="C1599" s="30">
        <v>25.34</v>
      </c>
      <c r="G1599" s="18"/>
    </row>
    <row r="1600" spans="1:7" x14ac:dyDescent="0.25">
      <c r="A1600" s="30">
        <v>0.31159139650502182</v>
      </c>
      <c r="B1600" s="30">
        <v>0</v>
      </c>
      <c r="C1600" s="30">
        <v>25.34</v>
      </c>
      <c r="G1600" s="18"/>
    </row>
    <row r="1601" spans="1:7" x14ac:dyDescent="0.25">
      <c r="A1601" s="30">
        <v>1.4731951329148352</v>
      </c>
      <c r="B1601" s="30">
        <v>0</v>
      </c>
      <c r="C1601" s="30">
        <v>25.34</v>
      </c>
      <c r="G1601" s="18"/>
    </row>
    <row r="1602" spans="1:7" x14ac:dyDescent="0.25">
      <c r="A1602" s="30">
        <v>6.7279313564586982E-2</v>
      </c>
      <c r="B1602" s="30">
        <v>0</v>
      </c>
      <c r="C1602" s="30">
        <v>25.34</v>
      </c>
      <c r="G1602" s="18"/>
    </row>
    <row r="1603" spans="1:7" x14ac:dyDescent="0.25">
      <c r="A1603" s="30">
        <v>5.3899508572933554E-2</v>
      </c>
      <c r="B1603" s="30">
        <v>0</v>
      </c>
      <c r="C1603" s="30">
        <v>25.34</v>
      </c>
      <c r="G1603" s="18"/>
    </row>
    <row r="1604" spans="1:7" x14ac:dyDescent="0.25">
      <c r="A1604" s="30">
        <v>0.41437069060949383</v>
      </c>
      <c r="B1604" s="30">
        <v>0</v>
      </c>
      <c r="C1604" s="30">
        <v>25.34</v>
      </c>
      <c r="G1604" s="18"/>
    </row>
    <row r="1605" spans="1:7" x14ac:dyDescent="0.25">
      <c r="A1605" s="30">
        <v>0.58718895251596426</v>
      </c>
      <c r="B1605" s="30">
        <v>0</v>
      </c>
      <c r="C1605" s="30">
        <v>25.34</v>
      </c>
      <c r="G1605" s="18"/>
    </row>
    <row r="1606" spans="1:7" x14ac:dyDescent="0.25">
      <c r="A1606" s="30">
        <v>0.80134369353183954</v>
      </c>
      <c r="B1606" s="30">
        <v>0</v>
      </c>
      <c r="C1606" s="30">
        <v>25.34</v>
      </c>
      <c r="G1606" s="18"/>
    </row>
    <row r="1607" spans="1:7" x14ac:dyDescent="0.25">
      <c r="A1607" s="30">
        <v>0.35950750830749784</v>
      </c>
      <c r="B1607" s="30">
        <v>0</v>
      </c>
      <c r="C1607" s="30">
        <v>25.34</v>
      </c>
      <c r="G1607" s="18"/>
    </row>
    <row r="1608" spans="1:7" x14ac:dyDescent="0.25">
      <c r="A1608" s="30">
        <v>0.85970152647483622</v>
      </c>
      <c r="B1608" s="30">
        <v>0</v>
      </c>
      <c r="C1608" s="30">
        <v>25.34</v>
      </c>
      <c r="G1608" s="18"/>
    </row>
    <row r="1609" spans="1:7" x14ac:dyDescent="0.25">
      <c r="A1609" s="30">
        <v>1.6597639675300144</v>
      </c>
      <c r="B1609" s="30">
        <v>0</v>
      </c>
      <c r="C1609" s="30">
        <v>25.34</v>
      </c>
      <c r="G1609" s="18"/>
    </row>
    <row r="1610" spans="1:7" x14ac:dyDescent="0.25">
      <c r="A1610" s="30">
        <v>1.1855426062954E-2</v>
      </c>
      <c r="B1610" s="30">
        <v>0</v>
      </c>
      <c r="C1610" s="30">
        <v>22.82</v>
      </c>
      <c r="G1610" s="18"/>
    </row>
    <row r="1611" spans="1:7" x14ac:dyDescent="0.25">
      <c r="A1611" s="30">
        <v>1.6551404572140658</v>
      </c>
      <c r="B1611" s="30">
        <v>0</v>
      </c>
      <c r="C1611" s="30">
        <v>22.82</v>
      </c>
      <c r="G1611" s="18"/>
    </row>
    <row r="1612" spans="1:7" x14ac:dyDescent="0.25">
      <c r="A1612" s="30">
        <v>1.1962979699994269</v>
      </c>
      <c r="B1612" s="30">
        <v>0</v>
      </c>
      <c r="C1612" s="30">
        <v>22.82</v>
      </c>
      <c r="G1612" s="18"/>
    </row>
    <row r="1613" spans="1:7" x14ac:dyDescent="0.25">
      <c r="A1613" s="30">
        <v>0.11466899944647953</v>
      </c>
      <c r="B1613" s="30">
        <v>0</v>
      </c>
      <c r="C1613" s="30">
        <v>22.82</v>
      </c>
      <c r="G1613" s="18"/>
    </row>
    <row r="1614" spans="1:7" x14ac:dyDescent="0.25">
      <c r="A1614" s="30">
        <v>0.92084008894765823</v>
      </c>
      <c r="B1614" s="30">
        <v>0</v>
      </c>
      <c r="C1614" s="30">
        <v>22.82</v>
      </c>
      <c r="G1614" s="18"/>
    </row>
    <row r="1615" spans="1:7" x14ac:dyDescent="0.25">
      <c r="A1615" s="30">
        <v>1.2408606009146035</v>
      </c>
      <c r="B1615" s="30">
        <v>0</v>
      </c>
      <c r="C1615" s="30">
        <v>22.82</v>
      </c>
      <c r="G1615" s="18"/>
    </row>
    <row r="1616" spans="1:7" x14ac:dyDescent="0.25">
      <c r="A1616" s="30">
        <v>1.332010886556652</v>
      </c>
      <c r="B1616" s="30">
        <v>0</v>
      </c>
      <c r="C1616" s="30">
        <v>22.82</v>
      </c>
      <c r="G1616" s="18"/>
    </row>
    <row r="1617" spans="1:7" x14ac:dyDescent="0.25">
      <c r="A1617" s="30">
        <v>2.0503455188087267</v>
      </c>
      <c r="B1617" s="30">
        <v>0</v>
      </c>
      <c r="C1617" s="30">
        <v>22.82</v>
      </c>
      <c r="G1617" s="18"/>
    </row>
    <row r="1618" spans="1:7" x14ac:dyDescent="0.25">
      <c r="A1618" s="30">
        <v>0.93157927081195768</v>
      </c>
      <c r="B1618" s="30">
        <v>0</v>
      </c>
      <c r="C1618" s="30">
        <v>22.82</v>
      </c>
      <c r="G1618" s="18"/>
    </row>
    <row r="1619" spans="1:7" x14ac:dyDescent="0.25">
      <c r="A1619" s="30">
        <v>2.046325943840678</v>
      </c>
      <c r="B1619" s="30">
        <v>0</v>
      </c>
      <c r="C1619" s="30">
        <v>22.82</v>
      </c>
      <c r="G1619" s="18"/>
    </row>
    <row r="1620" spans="1:7" x14ac:dyDescent="0.25">
      <c r="A1620" s="30">
        <v>3.0600282936644563E-2</v>
      </c>
      <c r="B1620" s="30">
        <v>0</v>
      </c>
      <c r="C1620" s="30">
        <v>22.82</v>
      </c>
      <c r="G1620" s="18"/>
    </row>
    <row r="1621" spans="1:7" x14ac:dyDescent="0.25">
      <c r="A1621" s="30">
        <v>0.71241799850993615</v>
      </c>
      <c r="B1621" s="30">
        <v>0</v>
      </c>
      <c r="C1621" s="30">
        <v>22.82</v>
      </c>
      <c r="G1621" s="18"/>
    </row>
    <row r="1622" spans="1:7" x14ac:dyDescent="0.25">
      <c r="A1622" s="30">
        <v>0.75048873940319272</v>
      </c>
      <c r="B1622" s="30">
        <v>0</v>
      </c>
      <c r="C1622" s="30">
        <v>22.82</v>
      </c>
      <c r="G1622" s="18"/>
    </row>
    <row r="1623" spans="1:7" x14ac:dyDescent="0.25">
      <c r="A1623" s="30">
        <v>0.39602926622232537</v>
      </c>
      <c r="B1623" s="30">
        <v>0</v>
      </c>
      <c r="C1623" s="30">
        <v>22.82</v>
      </c>
      <c r="G1623" s="18"/>
    </row>
    <row r="1624" spans="1:7" x14ac:dyDescent="0.25">
      <c r="A1624" s="30">
        <v>0.60010744067015731</v>
      </c>
      <c r="B1624" s="30">
        <v>0</v>
      </c>
      <c r="C1624" s="30">
        <v>22.82</v>
      </c>
      <c r="G1624" s="18"/>
    </row>
    <row r="1625" spans="1:7" x14ac:dyDescent="0.25">
      <c r="A1625" s="30">
        <v>2.1791474536086977</v>
      </c>
      <c r="B1625" s="30">
        <v>0</v>
      </c>
      <c r="C1625" s="30">
        <v>22.82</v>
      </c>
      <c r="G1625" s="18"/>
    </row>
    <row r="1626" spans="1:7" x14ac:dyDescent="0.25">
      <c r="A1626" s="30">
        <v>1.0978775427527601</v>
      </c>
      <c r="B1626" s="30">
        <v>0</v>
      </c>
      <c r="C1626" s="30">
        <v>22.82</v>
      </c>
      <c r="G1626" s="18"/>
    </row>
    <row r="1627" spans="1:7" x14ac:dyDescent="0.25">
      <c r="A1627" s="30">
        <v>0.46505788263594877</v>
      </c>
      <c r="B1627" s="30">
        <v>0</v>
      </c>
      <c r="C1627" s="30">
        <v>18.62</v>
      </c>
      <c r="G1627" s="18"/>
    </row>
    <row r="1628" spans="1:7" x14ac:dyDescent="0.25">
      <c r="A1628" s="30">
        <v>0.47738219060950604</v>
      </c>
      <c r="B1628" s="30">
        <v>0</v>
      </c>
      <c r="C1628" s="30">
        <v>18.62</v>
      </c>
      <c r="G1628" s="18"/>
    </row>
    <row r="1629" spans="1:7" x14ac:dyDescent="0.25">
      <c r="A1629" s="30">
        <v>1.3538150430812297</v>
      </c>
      <c r="B1629" s="30">
        <v>0</v>
      </c>
      <c r="C1629" s="30">
        <v>18.62</v>
      </c>
      <c r="G1629" s="18"/>
    </row>
    <row r="1630" spans="1:7" x14ac:dyDescent="0.25">
      <c r="A1630" s="30">
        <v>0.34829473188482618</v>
      </c>
      <c r="B1630" s="30">
        <v>0</v>
      </c>
      <c r="C1630" s="30">
        <v>18.62</v>
      </c>
      <c r="G1630" s="18"/>
    </row>
    <row r="1631" spans="1:7" x14ac:dyDescent="0.25">
      <c r="A1631" s="30">
        <v>1.6975641366275347</v>
      </c>
      <c r="B1631" s="30">
        <v>0</v>
      </c>
      <c r="C1631" s="30">
        <v>18.62</v>
      </c>
      <c r="G1631" s="18"/>
    </row>
    <row r="1632" spans="1:7" x14ac:dyDescent="0.25">
      <c r="A1632" s="30">
        <v>0.32829515314143043</v>
      </c>
      <c r="B1632" s="30">
        <v>0</v>
      </c>
      <c r="C1632" s="30">
        <v>18.62</v>
      </c>
      <c r="G1632" s="18"/>
    </row>
    <row r="1633" spans="1:7" x14ac:dyDescent="0.25">
      <c r="A1633" s="30">
        <v>3.5032903402753758E-2</v>
      </c>
      <c r="B1633" s="30">
        <v>0</v>
      </c>
      <c r="C1633" s="30">
        <v>18.62</v>
      </c>
      <c r="G1633" s="18"/>
    </row>
    <row r="1634" spans="1:7" x14ac:dyDescent="0.25">
      <c r="A1634" s="30">
        <v>1.290014851312423</v>
      </c>
      <c r="B1634" s="30">
        <v>0</v>
      </c>
      <c r="C1634" s="30">
        <v>18.62</v>
      </c>
      <c r="G1634" s="18"/>
    </row>
    <row r="1635" spans="1:7" x14ac:dyDescent="0.25">
      <c r="A1635" s="30">
        <v>0.34538732655898741</v>
      </c>
      <c r="B1635" s="30">
        <v>0</v>
      </c>
      <c r="C1635" s="30">
        <v>18.62</v>
      </c>
      <c r="G1635" s="18"/>
    </row>
    <row r="1636" spans="1:7" x14ac:dyDescent="0.25">
      <c r="A1636" s="30">
        <v>1.0633558909296108</v>
      </c>
      <c r="B1636" s="30">
        <v>0</v>
      </c>
      <c r="C1636" s="30">
        <v>18.62</v>
      </c>
      <c r="G1636" s="18"/>
    </row>
    <row r="1637" spans="1:7" x14ac:dyDescent="0.25">
      <c r="A1637" s="30">
        <v>0.31163452019304144</v>
      </c>
      <c r="B1637" s="30">
        <v>0</v>
      </c>
      <c r="C1637" s="30">
        <v>18.62</v>
      </c>
      <c r="G1637" s="18"/>
    </row>
    <row r="1638" spans="1:7" x14ac:dyDescent="0.25">
      <c r="A1638" s="30">
        <v>1.121782026350161</v>
      </c>
      <c r="B1638" s="30">
        <v>0</v>
      </c>
      <c r="C1638" s="30">
        <v>18.62</v>
      </c>
      <c r="G1638" s="18"/>
    </row>
    <row r="1639" spans="1:7" x14ac:dyDescent="0.25">
      <c r="A1639" s="30">
        <v>0.97107003446957818</v>
      </c>
      <c r="B1639" s="30">
        <v>0</v>
      </c>
      <c r="C1639" s="30">
        <v>18.62</v>
      </c>
      <c r="G1639" s="18"/>
    </row>
    <row r="1640" spans="1:7" x14ac:dyDescent="0.25">
      <c r="A1640" s="30">
        <v>7.2295556818834955E-2</v>
      </c>
      <c r="B1640" s="30">
        <v>0</v>
      </c>
      <c r="C1640" s="30">
        <v>18.62</v>
      </c>
      <c r="G1640" s="18"/>
    </row>
    <row r="1641" spans="1:7" x14ac:dyDescent="0.25">
      <c r="A1641" s="30">
        <v>0.50864009260037824</v>
      </c>
      <c r="B1641" s="30">
        <v>0</v>
      </c>
      <c r="C1641" s="30">
        <v>18.62</v>
      </c>
      <c r="G1641" s="18"/>
    </row>
    <row r="1642" spans="1:7" x14ac:dyDescent="0.25">
      <c r="A1642" s="30">
        <v>0.46264707265085231</v>
      </c>
      <c r="B1642" s="30">
        <v>0</v>
      </c>
      <c r="C1642" s="30">
        <v>18.62</v>
      </c>
      <c r="G1642" s="18"/>
    </row>
    <row r="1643" spans="1:7" x14ac:dyDescent="0.25">
      <c r="A1643" s="30">
        <v>1.2674542835777469</v>
      </c>
      <c r="B1643" s="30">
        <v>0</v>
      </c>
      <c r="C1643" s="30">
        <v>18.62</v>
      </c>
      <c r="G1643" s="18"/>
    </row>
    <row r="1644" spans="1:7" x14ac:dyDescent="0.25">
      <c r="A1644" s="30">
        <v>0.32273350232086262</v>
      </c>
      <c r="B1644" s="30">
        <v>0</v>
      </c>
      <c r="C1644" s="30">
        <v>29.82</v>
      </c>
      <c r="G1644" s="18"/>
    </row>
    <row r="1645" spans="1:7" x14ac:dyDescent="0.25">
      <c r="A1645" s="30">
        <v>0.72822467032612437</v>
      </c>
      <c r="B1645" s="30">
        <v>0</v>
      </c>
      <c r="C1645" s="30">
        <v>29.82</v>
      </c>
      <c r="G1645" s="18"/>
    </row>
    <row r="1646" spans="1:7" x14ac:dyDescent="0.25">
      <c r="A1646" s="30">
        <v>0.65163344525319</v>
      </c>
      <c r="B1646" s="30">
        <v>0</v>
      </c>
      <c r="C1646" s="30">
        <v>29.82</v>
      </c>
      <c r="G1646" s="18"/>
    </row>
    <row r="1647" spans="1:7" x14ac:dyDescent="0.25">
      <c r="A1647" s="30">
        <v>1.5175686449266841</v>
      </c>
      <c r="B1647" s="30">
        <v>0</v>
      </c>
      <c r="C1647" s="30">
        <v>29.82</v>
      </c>
      <c r="G1647" s="18"/>
    </row>
    <row r="1648" spans="1:7" x14ac:dyDescent="0.25">
      <c r="A1648" s="30">
        <v>1.3299416976810692</v>
      </c>
      <c r="B1648" s="30">
        <v>0</v>
      </c>
      <c r="C1648" s="30">
        <v>29.82</v>
      </c>
      <c r="G1648" s="18"/>
    </row>
    <row r="1649" spans="1:7" x14ac:dyDescent="0.25">
      <c r="A1649" s="30">
        <v>2.2954436731958037</v>
      </c>
      <c r="B1649" s="30">
        <v>0</v>
      </c>
      <c r="C1649" s="30">
        <v>29.82</v>
      </c>
      <c r="G1649" s="18"/>
    </row>
    <row r="1650" spans="1:7" x14ac:dyDescent="0.25">
      <c r="A1650" s="30">
        <v>0.55608025514133597</v>
      </c>
      <c r="B1650" s="30">
        <v>0</v>
      </c>
      <c r="C1650" s="30">
        <v>29.82</v>
      </c>
      <c r="G1650" s="18"/>
    </row>
    <row r="1651" spans="1:7" x14ac:dyDescent="0.25">
      <c r="A1651" s="30">
        <v>1.7450740994299516</v>
      </c>
      <c r="B1651" s="30">
        <v>0</v>
      </c>
      <c r="C1651" s="30">
        <v>29.82</v>
      </c>
      <c r="G1651" s="18"/>
    </row>
    <row r="1652" spans="1:7" x14ac:dyDescent="0.25">
      <c r="A1652" s="30">
        <v>0.64993870502555751</v>
      </c>
      <c r="B1652" s="30">
        <v>0</v>
      </c>
      <c r="C1652" s="30">
        <v>29.82</v>
      </c>
      <c r="G1652" s="18"/>
    </row>
    <row r="1653" spans="1:7" x14ac:dyDescent="0.25">
      <c r="A1653" s="30">
        <v>0.78294752922886357</v>
      </c>
      <c r="B1653" s="30">
        <v>0</v>
      </c>
      <c r="C1653" s="30">
        <v>29.82</v>
      </c>
      <c r="G1653" s="18"/>
    </row>
    <row r="1654" spans="1:7" x14ac:dyDescent="0.25">
      <c r="A1654" s="30">
        <v>0.4843714993532684</v>
      </c>
      <c r="B1654" s="30">
        <v>0</v>
      </c>
      <c r="C1654" s="30">
        <v>29.82</v>
      </c>
      <c r="G1654" s="18"/>
    </row>
    <row r="1655" spans="1:7" x14ac:dyDescent="0.25">
      <c r="A1655" s="30">
        <v>0.4449832965908983</v>
      </c>
      <c r="B1655" s="30">
        <v>0</v>
      </c>
      <c r="C1655" s="30">
        <v>29.82</v>
      </c>
      <c r="G1655" s="18"/>
    </row>
    <row r="1656" spans="1:7" x14ac:dyDescent="0.25">
      <c r="A1656" s="30">
        <v>1.131106367164072</v>
      </c>
      <c r="B1656" s="30">
        <v>0</v>
      </c>
      <c r="C1656" s="30">
        <v>29.82</v>
      </c>
      <c r="G1656" s="18"/>
    </row>
    <row r="1657" spans="1:7" x14ac:dyDescent="0.25">
      <c r="A1657" s="30">
        <v>0.73722384197411983</v>
      </c>
      <c r="B1657" s="30">
        <v>0</v>
      </c>
      <c r="C1657" s="30">
        <v>29.82</v>
      </c>
      <c r="G1657" s="18"/>
    </row>
    <row r="1658" spans="1:7" x14ac:dyDescent="0.25">
      <c r="A1658" s="30">
        <v>0.74083153012417802</v>
      </c>
      <c r="B1658" s="30">
        <v>0</v>
      </c>
      <c r="C1658" s="30">
        <v>29.82</v>
      </c>
      <c r="G1658" s="18"/>
    </row>
    <row r="1659" spans="1:7" x14ac:dyDescent="0.25">
      <c r="A1659" s="30">
        <v>0.39256092833447537</v>
      </c>
      <c r="B1659" s="30">
        <v>0</v>
      </c>
      <c r="C1659" s="30">
        <v>29.82</v>
      </c>
      <c r="G1659" s="18"/>
    </row>
    <row r="1660" spans="1:7" x14ac:dyDescent="0.25">
      <c r="A1660" s="30">
        <v>0.71336106273948319</v>
      </c>
      <c r="B1660" s="30">
        <v>0</v>
      </c>
      <c r="C1660" s="30">
        <v>16.239999999999998</v>
      </c>
      <c r="G1660" s="18"/>
    </row>
    <row r="1661" spans="1:7" x14ac:dyDescent="0.25">
      <c r="A1661" s="30">
        <v>2.1731148920988366</v>
      </c>
      <c r="B1661" s="30">
        <v>0</v>
      </c>
      <c r="C1661" s="30">
        <v>16.239999999999998</v>
      </c>
      <c r="G1661" s="18"/>
    </row>
    <row r="1662" spans="1:7" x14ac:dyDescent="0.25">
      <c r="A1662" s="30">
        <v>1.0052029702056937</v>
      </c>
      <c r="B1662" s="30">
        <v>0</v>
      </c>
      <c r="C1662" s="30">
        <v>16.239999999999998</v>
      </c>
      <c r="G1662" s="18"/>
    </row>
    <row r="1663" spans="1:7" x14ac:dyDescent="0.25">
      <c r="A1663" s="30">
        <v>0.78016721031155245</v>
      </c>
      <c r="B1663" s="30">
        <v>0</v>
      </c>
      <c r="C1663" s="30">
        <v>16.239999999999998</v>
      </c>
      <c r="G1663" s="18"/>
    </row>
    <row r="1664" spans="1:7" x14ac:dyDescent="0.25">
      <c r="A1664" s="30">
        <v>0.77592620391775857</v>
      </c>
      <c r="B1664" s="30">
        <v>0</v>
      </c>
      <c r="C1664" s="30">
        <v>16.239999999999998</v>
      </c>
      <c r="G1664" s="18"/>
    </row>
    <row r="1665" spans="1:7" x14ac:dyDescent="0.25">
      <c r="A1665" s="30">
        <v>0.18324024464215913</v>
      </c>
      <c r="B1665" s="30">
        <v>0</v>
      </c>
      <c r="C1665" s="30">
        <v>16.239999999999998</v>
      </c>
      <c r="G1665" s="18"/>
    </row>
    <row r="1666" spans="1:7" x14ac:dyDescent="0.25">
      <c r="A1666" s="30">
        <v>1.5420330785073899E-2</v>
      </c>
      <c r="B1666" s="30">
        <v>0</v>
      </c>
      <c r="C1666" s="30">
        <v>16.239999999999998</v>
      </c>
      <c r="G1666" s="18"/>
    </row>
    <row r="1667" spans="1:7" x14ac:dyDescent="0.25">
      <c r="A1667" s="30">
        <v>2.2352423593416284</v>
      </c>
      <c r="B1667" s="30">
        <v>0</v>
      </c>
      <c r="C1667" s="30">
        <v>16.239999999999998</v>
      </c>
      <c r="G1667" s="18"/>
    </row>
    <row r="1668" spans="1:7" x14ac:dyDescent="0.25">
      <c r="A1668" s="30">
        <v>2.3254260775384707E-2</v>
      </c>
      <c r="B1668" s="30">
        <v>0</v>
      </c>
      <c r="C1668" s="30">
        <v>16.239999999999998</v>
      </c>
      <c r="G1668" s="18"/>
    </row>
    <row r="1669" spans="1:7" x14ac:dyDescent="0.25">
      <c r="A1669" s="30">
        <v>1.3634794957573004</v>
      </c>
      <c r="B1669" s="30">
        <v>0</v>
      </c>
      <c r="C1669" s="30">
        <v>16.239999999999998</v>
      </c>
      <c r="G1669" s="18"/>
    </row>
    <row r="1670" spans="1:7" x14ac:dyDescent="0.25">
      <c r="A1670" s="30">
        <v>1.2219723848517468</v>
      </c>
      <c r="B1670" s="30">
        <v>0</v>
      </c>
      <c r="C1670" s="30">
        <v>16.239999999999998</v>
      </c>
      <c r="G1670" s="18"/>
    </row>
    <row r="1671" spans="1:7" x14ac:dyDescent="0.25">
      <c r="A1671" s="30">
        <v>2.0280791503585207</v>
      </c>
      <c r="B1671" s="30">
        <v>0</v>
      </c>
      <c r="C1671" s="30">
        <v>16.239999999999998</v>
      </c>
      <c r="G1671" s="18"/>
    </row>
    <row r="1672" spans="1:7" x14ac:dyDescent="0.25">
      <c r="A1672" s="30">
        <v>0.55111800690681279</v>
      </c>
      <c r="B1672" s="30">
        <v>0</v>
      </c>
      <c r="C1672" s="30">
        <v>16.239999999999998</v>
      </c>
      <c r="G1672" s="18"/>
    </row>
    <row r="1673" spans="1:7" x14ac:dyDescent="0.25">
      <c r="A1673" s="30">
        <v>1.2101018080361001</v>
      </c>
      <c r="B1673" s="30">
        <v>0</v>
      </c>
      <c r="C1673" s="30">
        <v>16.239999999999998</v>
      </c>
      <c r="G1673" s="18"/>
    </row>
    <row r="1674" spans="1:7" x14ac:dyDescent="0.25">
      <c r="A1674" s="30">
        <v>4.3884308332562384E-2</v>
      </c>
      <c r="B1674" s="30">
        <v>0</v>
      </c>
      <c r="C1674" s="30">
        <v>16.239999999999998</v>
      </c>
      <c r="G1674" s="18"/>
    </row>
    <row r="1675" spans="1:7" x14ac:dyDescent="0.25">
      <c r="A1675" s="30">
        <v>0.21449773673451639</v>
      </c>
      <c r="B1675" s="30">
        <v>0</v>
      </c>
      <c r="C1675" s="30">
        <v>16.239999999999998</v>
      </c>
      <c r="G1675" s="18"/>
    </row>
    <row r="1676" spans="1:7" x14ac:dyDescent="0.25">
      <c r="A1676" s="30">
        <v>1.1163266030136507</v>
      </c>
      <c r="B1676" s="30">
        <v>0</v>
      </c>
      <c r="C1676" s="30">
        <v>20.299999999999997</v>
      </c>
      <c r="G1676" s="18"/>
    </row>
    <row r="1677" spans="1:7" x14ac:dyDescent="0.25">
      <c r="A1677" s="30">
        <v>4.1586986392542172E-2</v>
      </c>
      <c r="B1677" s="30">
        <v>0</v>
      </c>
      <c r="C1677" s="30">
        <v>20.299999999999997</v>
      </c>
      <c r="G1677" s="18"/>
    </row>
    <row r="1678" spans="1:7" x14ac:dyDescent="0.25">
      <c r="A1678" s="30">
        <v>0.20070618814971136</v>
      </c>
      <c r="B1678" s="30">
        <v>0</v>
      </c>
      <c r="C1678" s="30">
        <v>20.299999999999997</v>
      </c>
      <c r="G1678" s="18"/>
    </row>
    <row r="1679" spans="1:7" x14ac:dyDescent="0.25">
      <c r="A1679" s="30">
        <v>1.1337777789603161</v>
      </c>
      <c r="B1679" s="30">
        <v>0</v>
      </c>
      <c r="C1679" s="30">
        <v>20.299999999999997</v>
      </c>
      <c r="G1679" s="18"/>
    </row>
    <row r="1680" spans="1:7" x14ac:dyDescent="0.25">
      <c r="A1680" s="30">
        <v>1.3636467878356853</v>
      </c>
      <c r="B1680" s="30">
        <v>0</v>
      </c>
      <c r="C1680" s="30">
        <v>20.299999999999997</v>
      </c>
      <c r="G1680" s="18"/>
    </row>
    <row r="1681" spans="1:7" x14ac:dyDescent="0.25">
      <c r="A1681" s="30">
        <v>2.2834189515981187</v>
      </c>
      <c r="B1681" s="30">
        <v>0</v>
      </c>
      <c r="C1681" s="30">
        <v>20.299999999999997</v>
      </c>
      <c r="G1681" s="18"/>
    </row>
    <row r="1682" spans="1:7" x14ac:dyDescent="0.25">
      <c r="A1682" s="30">
        <v>0.35443620486621741</v>
      </c>
      <c r="B1682" s="30">
        <v>0</v>
      </c>
      <c r="C1682" s="30">
        <v>20.299999999999997</v>
      </c>
      <c r="G1682" s="18"/>
    </row>
    <row r="1683" spans="1:7" x14ac:dyDescent="0.25">
      <c r="A1683" s="30">
        <v>1.3364722741919943</v>
      </c>
      <c r="B1683" s="30">
        <v>0</v>
      </c>
      <c r="C1683" s="30">
        <v>20.299999999999997</v>
      </c>
      <c r="G1683" s="18"/>
    </row>
    <row r="1684" spans="1:7" x14ac:dyDescent="0.25">
      <c r="A1684" s="30">
        <v>1.0458330319903504</v>
      </c>
      <c r="B1684" s="30">
        <v>0</v>
      </c>
      <c r="C1684" s="30">
        <v>20.299999999999997</v>
      </c>
      <c r="G1684" s="18"/>
    </row>
    <row r="1685" spans="1:7" x14ac:dyDescent="0.25">
      <c r="A1685" s="30">
        <v>1.0863033623666936</v>
      </c>
      <c r="B1685" s="30">
        <v>0</v>
      </c>
      <c r="C1685" s="30">
        <v>20.299999999999997</v>
      </c>
      <c r="G1685" s="18"/>
    </row>
    <row r="1686" spans="1:7" x14ac:dyDescent="0.25">
      <c r="A1686" s="30">
        <v>0.14256927854780718</v>
      </c>
      <c r="B1686" s="30">
        <v>0</v>
      </c>
      <c r="C1686" s="30">
        <v>20.299999999999997</v>
      </c>
      <c r="G1686" s="18"/>
    </row>
    <row r="1687" spans="1:7" x14ac:dyDescent="0.25">
      <c r="A1687" s="30">
        <v>1.3195887885457707</v>
      </c>
      <c r="B1687" s="30">
        <v>0</v>
      </c>
      <c r="C1687" s="30">
        <v>20.299999999999997</v>
      </c>
      <c r="G1687" s="18"/>
    </row>
    <row r="1688" spans="1:7" x14ac:dyDescent="0.25">
      <c r="A1688" s="30">
        <v>1.3794291407422921</v>
      </c>
      <c r="B1688" s="30">
        <v>0</v>
      </c>
      <c r="C1688" s="30">
        <v>20.299999999999997</v>
      </c>
      <c r="G1688" s="18"/>
    </row>
    <row r="1689" spans="1:7" x14ac:dyDescent="0.25">
      <c r="A1689" s="30">
        <v>8.7668254679087815E-2</v>
      </c>
      <c r="B1689" s="30">
        <v>0</v>
      </c>
      <c r="C1689" s="30">
        <v>20.299999999999997</v>
      </c>
      <c r="G1689" s="18"/>
    </row>
    <row r="1690" spans="1:7" x14ac:dyDescent="0.25">
      <c r="A1690" s="30">
        <v>0.97527324806620985</v>
      </c>
      <c r="B1690" s="30">
        <v>0</v>
      </c>
      <c r="C1690" s="30">
        <v>20.299999999999997</v>
      </c>
      <c r="G1690" s="18"/>
    </row>
    <row r="1691" spans="1:7" x14ac:dyDescent="0.25">
      <c r="A1691" s="30">
        <v>2.0269543625406561</v>
      </c>
      <c r="B1691" s="30">
        <v>0</v>
      </c>
      <c r="C1691" s="30">
        <v>20.299999999999997</v>
      </c>
      <c r="G1691" s="18"/>
    </row>
    <row r="1692" spans="1:7" x14ac:dyDescent="0.25">
      <c r="A1692" s="30">
        <v>0.35265840839723717</v>
      </c>
      <c r="B1692" s="30">
        <v>0</v>
      </c>
      <c r="C1692" s="30">
        <v>20.299999999999997</v>
      </c>
      <c r="G1692" s="18"/>
    </row>
    <row r="1693" spans="1:7" x14ac:dyDescent="0.25">
      <c r="A1693" s="30">
        <v>1.3865468082515204</v>
      </c>
      <c r="B1693" s="30">
        <v>0</v>
      </c>
      <c r="C1693" s="30">
        <v>20.86</v>
      </c>
      <c r="G1693" s="18"/>
    </row>
    <row r="1694" spans="1:7" x14ac:dyDescent="0.25">
      <c r="A1694" s="30">
        <v>0.48498786113222014</v>
      </c>
      <c r="B1694" s="30">
        <v>0</v>
      </c>
      <c r="C1694" s="30">
        <v>20.86</v>
      </c>
      <c r="G1694" s="18"/>
    </row>
    <row r="1695" spans="1:7" x14ac:dyDescent="0.25">
      <c r="A1695" s="30">
        <v>1.1623557653748402</v>
      </c>
      <c r="B1695" s="30">
        <v>0</v>
      </c>
      <c r="C1695" s="30">
        <v>20.86</v>
      </c>
      <c r="G1695" s="18"/>
    </row>
    <row r="1696" spans="1:7" x14ac:dyDescent="0.25">
      <c r="A1696" s="30">
        <v>0.75256975895447575</v>
      </c>
      <c r="B1696" s="30">
        <v>0</v>
      </c>
      <c r="C1696" s="30">
        <v>20.86</v>
      </c>
      <c r="G1696" s="18"/>
    </row>
    <row r="1697" spans="1:7" x14ac:dyDescent="0.25">
      <c r="A1697" s="30">
        <v>1.5854017792297634</v>
      </c>
      <c r="B1697" s="30">
        <v>0</v>
      </c>
      <c r="C1697" s="30">
        <v>20.86</v>
      </c>
      <c r="G1697" s="18"/>
    </row>
    <row r="1698" spans="1:7" x14ac:dyDescent="0.25">
      <c r="A1698" s="30">
        <v>0.77833658238459835</v>
      </c>
      <c r="B1698" s="30">
        <v>0</v>
      </c>
      <c r="C1698" s="30">
        <v>20.86</v>
      </c>
      <c r="G1698" s="18"/>
    </row>
    <row r="1699" spans="1:7" x14ac:dyDescent="0.25">
      <c r="A1699" s="30">
        <v>0.39187625270821486</v>
      </c>
      <c r="B1699" s="30">
        <v>0</v>
      </c>
      <c r="C1699" s="30">
        <v>20.86</v>
      </c>
      <c r="G1699" s="18"/>
    </row>
    <row r="1700" spans="1:7" x14ac:dyDescent="0.25">
      <c r="A1700" s="30">
        <v>0.35578387424253349</v>
      </c>
      <c r="B1700" s="30">
        <v>0</v>
      </c>
      <c r="C1700" s="30">
        <v>20.86</v>
      </c>
      <c r="G1700" s="18"/>
    </row>
    <row r="1701" spans="1:7" x14ac:dyDescent="0.25">
      <c r="A1701" s="30">
        <v>1.9576267379158732</v>
      </c>
      <c r="B1701" s="30">
        <v>0</v>
      </c>
      <c r="C1701" s="30">
        <v>20.86</v>
      </c>
      <c r="G1701" s="18"/>
    </row>
    <row r="1702" spans="1:7" x14ac:dyDescent="0.25">
      <c r="A1702" s="30">
        <v>1.0070358005443432</v>
      </c>
      <c r="B1702" s="30">
        <v>0</v>
      </c>
      <c r="C1702" s="30">
        <v>20.86</v>
      </c>
      <c r="G1702" s="18"/>
    </row>
    <row r="1703" spans="1:7" x14ac:dyDescent="0.25">
      <c r="A1703" s="30">
        <v>2.0850229092510841</v>
      </c>
      <c r="B1703" s="30">
        <v>0</v>
      </c>
      <c r="C1703" s="30">
        <v>20.86</v>
      </c>
      <c r="G1703" s="18"/>
    </row>
    <row r="1704" spans="1:7" x14ac:dyDescent="0.25">
      <c r="A1704" s="30">
        <v>3.7929276418393255E-2</v>
      </c>
      <c r="B1704" s="30">
        <v>0</v>
      </c>
      <c r="C1704" s="30">
        <v>20.86</v>
      </c>
      <c r="G1704" s="18"/>
    </row>
    <row r="1705" spans="1:7" x14ac:dyDescent="0.25">
      <c r="A1705" s="30">
        <v>1.1296296319679202</v>
      </c>
      <c r="B1705" s="30">
        <v>0</v>
      </c>
      <c r="C1705" s="30">
        <v>20.86</v>
      </c>
      <c r="G1705" s="18"/>
    </row>
    <row r="1706" spans="1:7" x14ac:dyDescent="0.25">
      <c r="A1706" s="30">
        <v>0.11108350017266036</v>
      </c>
      <c r="B1706" s="30">
        <v>0</v>
      </c>
      <c r="C1706" s="30">
        <v>20.86</v>
      </c>
      <c r="G1706" s="18"/>
    </row>
    <row r="1707" spans="1:7" x14ac:dyDescent="0.25">
      <c r="A1707" s="30">
        <v>1.1531130688390689</v>
      </c>
      <c r="B1707" s="30">
        <v>0</v>
      </c>
      <c r="C1707" s="30">
        <v>20.86</v>
      </c>
      <c r="G1707" s="18"/>
    </row>
    <row r="1708" spans="1:7" x14ac:dyDescent="0.25">
      <c r="A1708" s="30">
        <v>0.72335154819362746</v>
      </c>
      <c r="B1708" s="30">
        <v>0</v>
      </c>
      <c r="C1708" s="30">
        <v>20.86</v>
      </c>
      <c r="G1708" s="18"/>
    </row>
    <row r="1709" spans="1:7" x14ac:dyDescent="0.25">
      <c r="A1709" s="30">
        <v>0.86177428336069783</v>
      </c>
      <c r="B1709" s="30">
        <v>0</v>
      </c>
      <c r="C1709" s="30">
        <v>20.86</v>
      </c>
      <c r="G1709" s="18"/>
    </row>
    <row r="1710" spans="1:7" x14ac:dyDescent="0.25">
      <c r="A1710" s="30">
        <v>1.1502489330357959</v>
      </c>
      <c r="B1710" s="30">
        <v>0</v>
      </c>
      <c r="C1710" s="30">
        <v>23.52</v>
      </c>
      <c r="G1710" s="18"/>
    </row>
    <row r="1711" spans="1:7" x14ac:dyDescent="0.25">
      <c r="A1711" s="30">
        <v>2.1140410318725329</v>
      </c>
      <c r="B1711" s="30">
        <v>0</v>
      </c>
      <c r="C1711" s="30">
        <v>23.52</v>
      </c>
      <c r="G1711" s="18"/>
    </row>
    <row r="1712" spans="1:7" x14ac:dyDescent="0.25">
      <c r="A1712" s="30">
        <v>0.16815018776854104</v>
      </c>
      <c r="B1712" s="30">
        <v>0</v>
      </c>
      <c r="C1712" s="30">
        <v>23.52</v>
      </c>
      <c r="G1712" s="18"/>
    </row>
    <row r="1713" spans="1:7" x14ac:dyDescent="0.25">
      <c r="A1713" s="30">
        <v>2.3300001115828266</v>
      </c>
      <c r="B1713" s="30">
        <v>0</v>
      </c>
      <c r="C1713" s="30">
        <v>23.52</v>
      </c>
      <c r="G1713" s="18"/>
    </row>
    <row r="1714" spans="1:7" x14ac:dyDescent="0.25">
      <c r="A1714" s="30">
        <v>2.5272448545604599E-2</v>
      </c>
      <c r="B1714" s="30">
        <v>0</v>
      </c>
      <c r="C1714" s="30">
        <v>23.52</v>
      </c>
      <c r="G1714" s="18"/>
    </row>
    <row r="1715" spans="1:7" x14ac:dyDescent="0.25">
      <c r="A1715" s="30">
        <v>0.50145173765490392</v>
      </c>
      <c r="B1715" s="30">
        <v>0</v>
      </c>
      <c r="C1715" s="30">
        <v>23.52</v>
      </c>
      <c r="G1715" s="18"/>
    </row>
    <row r="1716" spans="1:7" x14ac:dyDescent="0.25">
      <c r="A1716" s="30">
        <v>9.6237835794623597E-2</v>
      </c>
      <c r="B1716" s="30">
        <v>0</v>
      </c>
      <c r="C1716" s="30">
        <v>23.52</v>
      </c>
      <c r="G1716" s="18"/>
    </row>
    <row r="1717" spans="1:7" x14ac:dyDescent="0.25">
      <c r="A1717" s="30">
        <v>2.2804022578723555</v>
      </c>
      <c r="B1717" s="30">
        <v>0</v>
      </c>
      <c r="C1717" s="30">
        <v>23.52</v>
      </c>
      <c r="G1717" s="18"/>
    </row>
    <row r="1718" spans="1:7" x14ac:dyDescent="0.25">
      <c r="A1718" s="30">
        <v>1.3873773861188861</v>
      </c>
      <c r="B1718" s="30">
        <v>0</v>
      </c>
      <c r="C1718" s="30">
        <v>23.52</v>
      </c>
      <c r="G1718" s="18"/>
    </row>
    <row r="1719" spans="1:7" x14ac:dyDescent="0.25">
      <c r="A1719" s="30">
        <v>1.051625449709044</v>
      </c>
      <c r="B1719" s="30">
        <v>0</v>
      </c>
      <c r="C1719" s="30">
        <v>23.52</v>
      </c>
      <c r="G1719" s="18"/>
    </row>
    <row r="1720" spans="1:7" x14ac:dyDescent="0.25">
      <c r="A1720" s="30">
        <v>0.11497045393284717</v>
      </c>
      <c r="B1720" s="30">
        <v>0</v>
      </c>
      <c r="C1720" s="30">
        <v>23.52</v>
      </c>
      <c r="G1720" s="18"/>
    </row>
    <row r="1721" spans="1:7" x14ac:dyDescent="0.25">
      <c r="A1721" s="30">
        <v>1.3329047637809137</v>
      </c>
      <c r="B1721" s="30">
        <v>0</v>
      </c>
      <c r="C1721" s="30">
        <v>23.52</v>
      </c>
      <c r="G1721" s="18"/>
    </row>
    <row r="1722" spans="1:7" x14ac:dyDescent="0.25">
      <c r="A1722" s="30">
        <v>0.25858966885625972</v>
      </c>
      <c r="B1722" s="30">
        <v>0</v>
      </c>
      <c r="C1722" s="30">
        <v>23.52</v>
      </c>
      <c r="G1722" s="18"/>
    </row>
    <row r="1723" spans="1:7" x14ac:dyDescent="0.25">
      <c r="A1723" s="30">
        <v>1.6421924721195686</v>
      </c>
      <c r="B1723" s="30">
        <v>0</v>
      </c>
      <c r="C1723" s="30">
        <v>23.52</v>
      </c>
      <c r="G1723" s="18"/>
    </row>
    <row r="1724" spans="1:7" x14ac:dyDescent="0.25">
      <c r="A1724" s="30">
        <v>0.74283312548686597</v>
      </c>
      <c r="B1724" s="30">
        <v>0</v>
      </c>
      <c r="C1724" s="30">
        <v>23.52</v>
      </c>
      <c r="G1724" s="18"/>
    </row>
    <row r="1725" spans="1:7" x14ac:dyDescent="0.25">
      <c r="A1725" s="30">
        <v>0.13617973566980845</v>
      </c>
      <c r="B1725" s="30">
        <v>0</v>
      </c>
      <c r="C1725" s="30">
        <v>23.52</v>
      </c>
      <c r="G1725" s="18"/>
    </row>
    <row r="1726" spans="1:7" x14ac:dyDescent="0.25">
      <c r="A1726" s="30">
        <v>0.15468397487769869</v>
      </c>
      <c r="B1726" s="30">
        <v>0</v>
      </c>
      <c r="C1726" s="30">
        <v>23.52</v>
      </c>
      <c r="G1726" s="18"/>
    </row>
    <row r="1727" spans="1:7" x14ac:dyDescent="0.25">
      <c r="A1727" s="30">
        <v>9.0373337899125605E-2</v>
      </c>
      <c r="B1727" s="30">
        <v>0</v>
      </c>
      <c r="C1727" s="30">
        <v>16.799999999999997</v>
      </c>
      <c r="G1727" s="18"/>
    </row>
    <row r="1728" spans="1:7" x14ac:dyDescent="0.25">
      <c r="A1728" s="30">
        <v>1.3402356174818426</v>
      </c>
      <c r="B1728" s="30">
        <v>0</v>
      </c>
      <c r="C1728" s="30">
        <v>16.799999999999997</v>
      </c>
      <c r="G1728" s="18"/>
    </row>
    <row r="1729" spans="1:7" x14ac:dyDescent="0.25">
      <c r="A1729" s="30">
        <v>1.5687075503821053</v>
      </c>
      <c r="B1729" s="30">
        <v>0</v>
      </c>
      <c r="C1729" s="30">
        <v>16.799999999999997</v>
      </c>
      <c r="G1729" s="18"/>
    </row>
    <row r="1730" spans="1:7" x14ac:dyDescent="0.25">
      <c r="A1730" s="30">
        <v>0.10959365963405032</v>
      </c>
      <c r="B1730" s="30">
        <v>0</v>
      </c>
      <c r="C1730" s="30">
        <v>16.799999999999997</v>
      </c>
      <c r="G1730" s="18"/>
    </row>
    <row r="1731" spans="1:7" x14ac:dyDescent="0.25">
      <c r="A1731" s="30">
        <v>1.4762704564534088</v>
      </c>
      <c r="B1731" s="30">
        <v>0</v>
      </c>
      <c r="C1731" s="30">
        <v>16.799999999999997</v>
      </c>
      <c r="G1731" s="18"/>
    </row>
    <row r="1732" spans="1:7" x14ac:dyDescent="0.25">
      <c r="A1732" s="30">
        <v>0.1870237721453438</v>
      </c>
      <c r="B1732" s="30">
        <v>0</v>
      </c>
      <c r="C1732" s="30">
        <v>16.799999999999997</v>
      </c>
      <c r="G1732" s="18"/>
    </row>
    <row r="1733" spans="1:7" x14ac:dyDescent="0.25">
      <c r="A1733" s="30">
        <v>0.47216226655194637</v>
      </c>
      <c r="B1733" s="30">
        <v>0</v>
      </c>
      <c r="C1733" s="30">
        <v>16.799999999999997</v>
      </c>
      <c r="G1733" s="18"/>
    </row>
    <row r="1734" spans="1:7" x14ac:dyDescent="0.25">
      <c r="A1734" s="30">
        <v>0.36030656555784946</v>
      </c>
      <c r="B1734" s="30">
        <v>0</v>
      </c>
      <c r="C1734" s="30">
        <v>16.799999999999997</v>
      </c>
      <c r="G1734" s="18"/>
    </row>
    <row r="1735" spans="1:7" x14ac:dyDescent="0.25">
      <c r="A1735" s="30">
        <v>8.1923241485108628E-2</v>
      </c>
      <c r="B1735" s="30">
        <v>0</v>
      </c>
      <c r="C1735" s="30">
        <v>16.799999999999997</v>
      </c>
      <c r="G1735" s="18"/>
    </row>
    <row r="1736" spans="1:7" x14ac:dyDescent="0.25">
      <c r="A1736" s="30">
        <v>1.125386540893397</v>
      </c>
      <c r="B1736" s="30">
        <v>0</v>
      </c>
      <c r="C1736" s="30">
        <v>16.799999999999997</v>
      </c>
      <c r="G1736" s="18"/>
    </row>
    <row r="1737" spans="1:7" x14ac:dyDescent="0.25">
      <c r="A1737" s="30">
        <v>2.0981718007675942</v>
      </c>
      <c r="B1737" s="30">
        <v>0</v>
      </c>
      <c r="C1737" s="30">
        <v>16.799999999999997</v>
      </c>
      <c r="G1737" s="18"/>
    </row>
    <row r="1738" spans="1:7" x14ac:dyDescent="0.25">
      <c r="A1738" s="30">
        <v>1.1395897688533665</v>
      </c>
      <c r="B1738" s="30">
        <v>0</v>
      </c>
      <c r="C1738" s="30">
        <v>16.799999999999997</v>
      </c>
      <c r="G1738" s="18"/>
    </row>
    <row r="1739" spans="1:7" x14ac:dyDescent="0.25">
      <c r="A1739" s="30">
        <v>1.4244168973983935</v>
      </c>
      <c r="B1739" s="30">
        <v>0</v>
      </c>
      <c r="C1739" s="30">
        <v>16.799999999999997</v>
      </c>
      <c r="G1739" s="18"/>
    </row>
    <row r="1740" spans="1:7" x14ac:dyDescent="0.25">
      <c r="A1740" s="30">
        <v>0.56505199242086379</v>
      </c>
      <c r="B1740" s="30">
        <v>0</v>
      </c>
      <c r="C1740" s="30">
        <v>16.799999999999997</v>
      </c>
      <c r="G1740" s="18"/>
    </row>
    <row r="1741" spans="1:7" x14ac:dyDescent="0.25">
      <c r="A1741" s="30">
        <v>0.87395059253680107</v>
      </c>
      <c r="B1741" s="30">
        <v>0</v>
      </c>
      <c r="C1741" s="30">
        <v>14.839999999999998</v>
      </c>
      <c r="G1741" s="18"/>
    </row>
    <row r="1742" spans="1:7" x14ac:dyDescent="0.25">
      <c r="A1742" s="30">
        <v>5.516750057247255E-2</v>
      </c>
      <c r="B1742" s="30">
        <v>0</v>
      </c>
      <c r="C1742" s="30">
        <v>14.839999999999998</v>
      </c>
      <c r="G1742" s="18"/>
    </row>
    <row r="1743" spans="1:7" x14ac:dyDescent="0.25">
      <c r="A1743" s="30">
        <v>1.6462128121730015</v>
      </c>
      <c r="B1743" s="30">
        <v>0</v>
      </c>
      <c r="C1743" s="30">
        <v>14.839999999999998</v>
      </c>
      <c r="G1743" s="18"/>
    </row>
    <row r="1744" spans="1:7" x14ac:dyDescent="0.25">
      <c r="A1744" s="30">
        <v>0.74715630562197877</v>
      </c>
      <c r="B1744" s="30">
        <v>0</v>
      </c>
      <c r="C1744" s="30">
        <v>14.839999999999998</v>
      </c>
      <c r="G1744" s="18"/>
    </row>
    <row r="1745" spans="1:7" x14ac:dyDescent="0.25">
      <c r="A1745" s="30">
        <v>1.6390926902865282</v>
      </c>
      <c r="B1745" s="30">
        <v>0</v>
      </c>
      <c r="C1745" s="30">
        <v>14.839999999999998</v>
      </c>
      <c r="G1745" s="18"/>
    </row>
    <row r="1746" spans="1:7" x14ac:dyDescent="0.25">
      <c r="A1746" s="30">
        <v>0.54089233656129831</v>
      </c>
      <c r="B1746" s="30">
        <v>0</v>
      </c>
      <c r="C1746" s="30">
        <v>14.839999999999998</v>
      </c>
      <c r="G1746" s="18"/>
    </row>
    <row r="1747" spans="1:7" x14ac:dyDescent="0.25">
      <c r="A1747" s="30">
        <v>0.18053402864358023</v>
      </c>
      <c r="B1747" s="30">
        <v>0</v>
      </c>
      <c r="C1747" s="30">
        <v>14.839999999999998</v>
      </c>
      <c r="G1747" s="18"/>
    </row>
    <row r="1748" spans="1:7" x14ac:dyDescent="0.25">
      <c r="A1748" s="30">
        <v>1.2407592596846069</v>
      </c>
      <c r="B1748" s="30">
        <v>0</v>
      </c>
      <c r="C1748" s="30">
        <v>14.839999999999998</v>
      </c>
      <c r="G1748" s="18"/>
    </row>
    <row r="1749" spans="1:7" x14ac:dyDescent="0.25">
      <c r="A1749" s="30">
        <v>1.2151798906739935</v>
      </c>
      <c r="B1749" s="30">
        <v>0</v>
      </c>
      <c r="C1749" s="30">
        <v>14.839999999999998</v>
      </c>
      <c r="G1749" s="18"/>
    </row>
    <row r="1750" spans="1:7" x14ac:dyDescent="0.25">
      <c r="A1750" s="30">
        <v>0.19438295686727516</v>
      </c>
      <c r="B1750" s="30">
        <v>0</v>
      </c>
      <c r="C1750" s="30">
        <v>14.839999999999998</v>
      </c>
      <c r="G1750" s="18"/>
    </row>
    <row r="1751" spans="1:7" x14ac:dyDescent="0.25">
      <c r="A1751" s="30">
        <v>0.36849721454361878</v>
      </c>
      <c r="B1751" s="30">
        <v>0</v>
      </c>
      <c r="C1751" s="30">
        <v>14.839999999999998</v>
      </c>
      <c r="G1751" s="18"/>
    </row>
    <row r="1752" spans="1:7" x14ac:dyDescent="0.25">
      <c r="A1752" s="30">
        <v>0.92118762623029637</v>
      </c>
      <c r="B1752" s="30">
        <v>0</v>
      </c>
      <c r="C1752" s="30">
        <v>14.839999999999998</v>
      </c>
      <c r="G1752" s="18"/>
    </row>
    <row r="1753" spans="1:7" x14ac:dyDescent="0.25">
      <c r="A1753" s="30">
        <v>0.44198891137106744</v>
      </c>
      <c r="B1753" s="30">
        <v>0</v>
      </c>
      <c r="C1753" s="30">
        <v>14.839999999999998</v>
      </c>
      <c r="G1753" s="18"/>
    </row>
    <row r="1754" spans="1:7" x14ac:dyDescent="0.25">
      <c r="A1754" s="30">
        <v>3.7637096566315975E-2</v>
      </c>
      <c r="B1754" s="30">
        <v>0</v>
      </c>
      <c r="C1754" s="30">
        <v>14.839999999999998</v>
      </c>
      <c r="G1754" s="18"/>
    </row>
    <row r="1755" spans="1:7" x14ac:dyDescent="0.25">
      <c r="A1755" s="30">
        <v>0.7428630570802035</v>
      </c>
      <c r="B1755" s="30">
        <v>0</v>
      </c>
      <c r="C1755" s="30">
        <v>14.839999999999998</v>
      </c>
      <c r="G1755" s="18"/>
    </row>
    <row r="1756" spans="1:7" x14ac:dyDescent="0.25">
      <c r="A1756" s="30">
        <v>0.20563075603876974</v>
      </c>
      <c r="B1756" s="30">
        <v>0</v>
      </c>
      <c r="C1756" s="30">
        <v>14.839999999999998</v>
      </c>
      <c r="G1756" s="18"/>
    </row>
    <row r="1757" spans="1:7" x14ac:dyDescent="0.25">
      <c r="A1757" s="30">
        <v>1.1068730811466128</v>
      </c>
      <c r="B1757" s="30">
        <v>0</v>
      </c>
      <c r="C1757" s="30">
        <v>21.419999999999998</v>
      </c>
      <c r="G1757" s="18"/>
    </row>
    <row r="1758" spans="1:7" x14ac:dyDescent="0.25">
      <c r="A1758" s="30">
        <v>1.0663478890907929</v>
      </c>
      <c r="B1758" s="30">
        <v>0</v>
      </c>
      <c r="C1758" s="30">
        <v>21.419999999999998</v>
      </c>
      <c r="G1758" s="18"/>
    </row>
    <row r="1759" spans="1:7" x14ac:dyDescent="0.25">
      <c r="A1759" s="30">
        <v>2.2768979280127986</v>
      </c>
      <c r="B1759" s="30">
        <v>0</v>
      </c>
      <c r="C1759" s="30">
        <v>21.419999999999998</v>
      </c>
      <c r="G1759" s="18"/>
    </row>
    <row r="1760" spans="1:7" x14ac:dyDescent="0.25">
      <c r="A1760" s="30">
        <v>0.83428991809591702</v>
      </c>
      <c r="B1760" s="30">
        <v>0</v>
      </c>
      <c r="C1760" s="30">
        <v>21.419999999999998</v>
      </c>
      <c r="G1760" s="18"/>
    </row>
    <row r="1761" spans="1:7" x14ac:dyDescent="0.25">
      <c r="A1761" s="30">
        <v>0.23833505535025168</v>
      </c>
      <c r="B1761" s="30">
        <v>0</v>
      </c>
      <c r="C1761" s="30">
        <v>21.419999999999998</v>
      </c>
      <c r="G1761" s="18"/>
    </row>
    <row r="1762" spans="1:7" x14ac:dyDescent="0.25">
      <c r="A1762" s="30">
        <v>1.248451187863687</v>
      </c>
      <c r="B1762" s="30">
        <v>0</v>
      </c>
      <c r="C1762" s="30">
        <v>21.419999999999998</v>
      </c>
      <c r="G1762" s="18"/>
    </row>
    <row r="1763" spans="1:7" x14ac:dyDescent="0.25">
      <c r="A1763" s="30">
        <v>2.1722952296811493</v>
      </c>
      <c r="B1763" s="30">
        <v>0</v>
      </c>
      <c r="C1763" s="30">
        <v>21.419999999999998</v>
      </c>
      <c r="G1763" s="18"/>
    </row>
    <row r="1764" spans="1:7" x14ac:dyDescent="0.25">
      <c r="A1764" s="30">
        <v>0.4031547052732094</v>
      </c>
      <c r="B1764" s="30">
        <v>0</v>
      </c>
      <c r="C1764" s="30">
        <v>21.419999999999998</v>
      </c>
      <c r="G1764" s="18"/>
    </row>
    <row r="1765" spans="1:7" x14ac:dyDescent="0.25">
      <c r="A1765" s="30">
        <v>1.29414137726347</v>
      </c>
      <c r="B1765" s="30">
        <v>0</v>
      </c>
      <c r="C1765" s="30">
        <v>21.419999999999998</v>
      </c>
      <c r="G1765" s="18"/>
    </row>
    <row r="1766" spans="1:7" x14ac:dyDescent="0.25">
      <c r="A1766" s="30">
        <v>0.74832664591160281</v>
      </c>
      <c r="B1766" s="30">
        <v>0</v>
      </c>
      <c r="C1766" s="30">
        <v>21.419999999999998</v>
      </c>
      <c r="G1766" s="18"/>
    </row>
    <row r="1767" spans="1:7" x14ac:dyDescent="0.25">
      <c r="A1767" s="30">
        <v>4.6713722525739243E-2</v>
      </c>
      <c r="B1767" s="30">
        <v>0</v>
      </c>
      <c r="C1767" s="30">
        <v>21.419999999999998</v>
      </c>
      <c r="G1767" s="18"/>
    </row>
    <row r="1768" spans="1:7" x14ac:dyDescent="0.25">
      <c r="A1768" s="30">
        <v>0.60551061032130937</v>
      </c>
      <c r="B1768" s="30">
        <v>0</v>
      </c>
      <c r="C1768" s="30">
        <v>21.419999999999998</v>
      </c>
      <c r="G1768" s="18"/>
    </row>
    <row r="1769" spans="1:7" x14ac:dyDescent="0.25">
      <c r="A1769" s="30">
        <v>1.0556378544502674</v>
      </c>
      <c r="B1769" s="30">
        <v>0</v>
      </c>
      <c r="C1769" s="30">
        <v>21.419999999999998</v>
      </c>
      <c r="G1769" s="18"/>
    </row>
    <row r="1770" spans="1:7" x14ac:dyDescent="0.25">
      <c r="A1770" s="30">
        <v>0.9016426507781945</v>
      </c>
      <c r="B1770" s="30">
        <v>0</v>
      </c>
      <c r="C1770" s="30">
        <v>21.419999999999998</v>
      </c>
      <c r="G1770" s="18"/>
    </row>
    <row r="1771" spans="1:7" x14ac:dyDescent="0.25">
      <c r="A1771" s="30">
        <v>0.54338419940034766</v>
      </c>
      <c r="B1771" s="30">
        <v>0</v>
      </c>
      <c r="C1771" s="30">
        <v>21.419999999999998</v>
      </c>
      <c r="G1771" s="18"/>
    </row>
    <row r="1772" spans="1:7" x14ac:dyDescent="0.25">
      <c r="A1772" s="30">
        <v>0.17359261477012417</v>
      </c>
      <c r="B1772" s="30">
        <v>0</v>
      </c>
      <c r="C1772" s="30">
        <v>21.419999999999998</v>
      </c>
      <c r="G1772" s="18"/>
    </row>
    <row r="1773" spans="1:7" x14ac:dyDescent="0.25">
      <c r="A1773" s="30">
        <v>2.308187478427373</v>
      </c>
      <c r="B1773" s="30">
        <v>0</v>
      </c>
      <c r="C1773" s="30">
        <v>19.739999999999998</v>
      </c>
      <c r="G1773" s="18"/>
    </row>
    <row r="1774" spans="1:7" x14ac:dyDescent="0.25">
      <c r="A1774" s="30">
        <v>1.0733529202015595</v>
      </c>
      <c r="B1774" s="30">
        <v>0</v>
      </c>
      <c r="C1774" s="30">
        <v>19.739999999999998</v>
      </c>
      <c r="G1774" s="18"/>
    </row>
    <row r="1775" spans="1:7" x14ac:dyDescent="0.25">
      <c r="A1775" s="30">
        <v>0.75256312093805411</v>
      </c>
      <c r="B1775" s="30">
        <v>0</v>
      </c>
      <c r="C1775" s="30">
        <v>19.739999999999998</v>
      </c>
      <c r="G1775" s="18"/>
    </row>
    <row r="1776" spans="1:7" x14ac:dyDescent="0.25">
      <c r="A1776" s="30">
        <v>0.9944030096061397</v>
      </c>
      <c r="B1776" s="30">
        <v>0</v>
      </c>
      <c r="C1776" s="30">
        <v>19.739999999999998</v>
      </c>
      <c r="G1776" s="18"/>
    </row>
    <row r="1777" spans="1:7" x14ac:dyDescent="0.25">
      <c r="A1777" s="30">
        <v>1.1040743267467974</v>
      </c>
      <c r="B1777" s="30">
        <v>0</v>
      </c>
      <c r="C1777" s="30">
        <v>19.739999999999998</v>
      </c>
      <c r="G1777" s="18"/>
    </row>
    <row r="1778" spans="1:7" x14ac:dyDescent="0.25">
      <c r="A1778" s="30">
        <v>0.83286369024328866</v>
      </c>
      <c r="B1778" s="30">
        <v>0</v>
      </c>
      <c r="C1778" s="30">
        <v>19.739999999999998</v>
      </c>
      <c r="G1778" s="18"/>
    </row>
    <row r="1779" spans="1:7" x14ac:dyDescent="0.25">
      <c r="A1779" s="30">
        <v>2.1034344269883483</v>
      </c>
      <c r="B1779" s="30">
        <v>0</v>
      </c>
      <c r="C1779" s="30">
        <v>19.739999999999998</v>
      </c>
      <c r="G1779" s="18"/>
    </row>
    <row r="1780" spans="1:7" x14ac:dyDescent="0.25">
      <c r="A1780" s="30">
        <v>1.3896128794712372</v>
      </c>
      <c r="B1780" s="30">
        <v>0</v>
      </c>
      <c r="C1780" s="30">
        <v>19.739999999999998</v>
      </c>
      <c r="G1780" s="18"/>
    </row>
    <row r="1781" spans="1:7" x14ac:dyDescent="0.25">
      <c r="A1781" s="30">
        <v>1.7577046116552366</v>
      </c>
      <c r="B1781" s="30">
        <v>0</v>
      </c>
      <c r="C1781" s="30">
        <v>19.739999999999998</v>
      </c>
      <c r="G1781" s="18"/>
    </row>
    <row r="1782" spans="1:7" x14ac:dyDescent="0.25">
      <c r="A1782" s="30">
        <v>0.2009906532744937</v>
      </c>
      <c r="B1782" s="30">
        <v>0</v>
      </c>
      <c r="C1782" s="30">
        <v>19.739999999999998</v>
      </c>
      <c r="G1782" s="18"/>
    </row>
    <row r="1783" spans="1:7" x14ac:dyDescent="0.25">
      <c r="A1783" s="30">
        <v>0.66204962493774822</v>
      </c>
      <c r="B1783" s="30">
        <v>0</v>
      </c>
      <c r="C1783" s="30">
        <v>19.739999999999998</v>
      </c>
      <c r="G1783" s="18"/>
    </row>
    <row r="1784" spans="1:7" x14ac:dyDescent="0.25">
      <c r="A1784" s="30">
        <v>1.398731657826064</v>
      </c>
      <c r="B1784" s="30">
        <v>0</v>
      </c>
      <c r="C1784" s="30">
        <v>19.739999999999998</v>
      </c>
      <c r="G1784" s="18"/>
    </row>
    <row r="1785" spans="1:7" x14ac:dyDescent="0.25">
      <c r="A1785" s="30">
        <v>1.8379687477936746</v>
      </c>
      <c r="B1785" s="30">
        <v>0</v>
      </c>
      <c r="C1785" s="30">
        <v>19.739999999999998</v>
      </c>
      <c r="G1785" s="18"/>
    </row>
    <row r="1786" spans="1:7" x14ac:dyDescent="0.25">
      <c r="A1786" s="30">
        <v>1.3973683543046662</v>
      </c>
      <c r="B1786" s="30">
        <v>0</v>
      </c>
      <c r="C1786" s="30">
        <v>19.739999999999998</v>
      </c>
      <c r="G1786" s="18"/>
    </row>
    <row r="1787" spans="1:7" x14ac:dyDescent="0.25">
      <c r="A1787" s="30">
        <v>0.67144062127464732</v>
      </c>
      <c r="B1787" s="30">
        <v>0</v>
      </c>
      <c r="C1787" s="30">
        <v>19.739999999999998</v>
      </c>
      <c r="G1787" s="18"/>
    </row>
    <row r="1788" spans="1:7" x14ac:dyDescent="0.25">
      <c r="A1788" s="30">
        <v>0.6298161800803691</v>
      </c>
      <c r="B1788" s="30">
        <v>0</v>
      </c>
      <c r="C1788" s="30">
        <v>19.739999999999998</v>
      </c>
      <c r="G1788" s="18"/>
    </row>
    <row r="1789" spans="1:7" x14ac:dyDescent="0.25">
      <c r="A1789" s="30">
        <v>0.20078185222883391</v>
      </c>
      <c r="B1789" s="30">
        <v>0</v>
      </c>
      <c r="C1789" s="30">
        <v>19.739999999999998</v>
      </c>
      <c r="G1789" s="18"/>
    </row>
    <row r="1790" spans="1:7" x14ac:dyDescent="0.25">
      <c r="A1790" s="30">
        <v>1.1829625957453116</v>
      </c>
      <c r="B1790" s="30">
        <v>0</v>
      </c>
      <c r="C1790" s="30">
        <v>14.7</v>
      </c>
      <c r="G1790" s="18"/>
    </row>
    <row r="1791" spans="1:7" x14ac:dyDescent="0.25">
      <c r="A1791" s="30">
        <v>1.5740071937256945</v>
      </c>
      <c r="B1791" s="30">
        <v>0</v>
      </c>
      <c r="C1791" s="30">
        <v>14.7</v>
      </c>
      <c r="G1791" s="18"/>
    </row>
    <row r="1792" spans="1:7" x14ac:dyDescent="0.25">
      <c r="A1792" s="30">
        <v>0.11772306412627495</v>
      </c>
      <c r="B1792" s="30">
        <v>0</v>
      </c>
      <c r="C1792" s="30">
        <v>14.7</v>
      </c>
      <c r="G1792" s="18"/>
    </row>
    <row r="1793" spans="1:7" x14ac:dyDescent="0.25">
      <c r="A1793" s="30">
        <v>0.78188172343251849</v>
      </c>
      <c r="B1793" s="30">
        <v>0</v>
      </c>
      <c r="C1793" s="30">
        <v>14.7</v>
      </c>
      <c r="G1793" s="18"/>
    </row>
    <row r="1794" spans="1:7" x14ac:dyDescent="0.25">
      <c r="A1794" s="30">
        <v>0.83263441104248792</v>
      </c>
      <c r="B1794" s="30">
        <v>0</v>
      </c>
      <c r="C1794" s="30">
        <v>14.7</v>
      </c>
      <c r="G1794" s="18"/>
    </row>
    <row r="1795" spans="1:7" x14ac:dyDescent="0.25">
      <c r="A1795" s="30">
        <v>1.0854008284596546</v>
      </c>
      <c r="B1795" s="30">
        <v>0</v>
      </c>
      <c r="C1795" s="30">
        <v>14.7</v>
      </c>
      <c r="G1795" s="18"/>
    </row>
    <row r="1796" spans="1:7" x14ac:dyDescent="0.25">
      <c r="A1796" s="30">
        <v>0.96227538714022631</v>
      </c>
      <c r="B1796" s="30">
        <v>0</v>
      </c>
      <c r="C1796" s="30">
        <v>14.7</v>
      </c>
      <c r="G1796" s="18"/>
    </row>
    <row r="1797" spans="1:7" x14ac:dyDescent="0.25">
      <c r="A1797" s="30">
        <v>1.6413547931329027</v>
      </c>
      <c r="B1797" s="30">
        <v>0</v>
      </c>
      <c r="C1797" s="30">
        <v>14.7</v>
      </c>
      <c r="G1797" s="18"/>
    </row>
    <row r="1798" spans="1:7" x14ac:dyDescent="0.25">
      <c r="A1798" s="30">
        <v>0.82351195413298917</v>
      </c>
      <c r="B1798" s="30">
        <v>0</v>
      </c>
      <c r="C1798" s="30">
        <v>14.7</v>
      </c>
      <c r="G1798" s="18"/>
    </row>
    <row r="1799" spans="1:7" x14ac:dyDescent="0.25">
      <c r="A1799" s="30">
        <v>0.78399493175934798</v>
      </c>
      <c r="B1799" s="30">
        <v>0</v>
      </c>
      <c r="C1799" s="30">
        <v>14.7</v>
      </c>
      <c r="G1799" s="18"/>
    </row>
    <row r="1800" spans="1:7" x14ac:dyDescent="0.25">
      <c r="A1800" s="30">
        <v>1.33661879065748</v>
      </c>
      <c r="B1800" s="30">
        <v>0</v>
      </c>
      <c r="C1800" s="30">
        <v>14.7</v>
      </c>
      <c r="G1800" s="18"/>
    </row>
    <row r="1801" spans="1:7" x14ac:dyDescent="0.25">
      <c r="A1801" s="30">
        <v>1.3949365684210107</v>
      </c>
      <c r="B1801" s="30">
        <v>0</v>
      </c>
      <c r="C1801" s="30">
        <v>14.7</v>
      </c>
      <c r="G1801" s="18"/>
    </row>
    <row r="1802" spans="1:7" x14ac:dyDescent="0.25">
      <c r="A1802" s="30">
        <v>1.2430724389612229</v>
      </c>
      <c r="B1802" s="30">
        <v>0</v>
      </c>
      <c r="C1802" s="30">
        <v>14.7</v>
      </c>
      <c r="G1802" s="18"/>
    </row>
    <row r="1803" spans="1:7" x14ac:dyDescent="0.25">
      <c r="A1803" s="30">
        <v>1.2088422418886073</v>
      </c>
      <c r="B1803" s="30">
        <v>0</v>
      </c>
      <c r="C1803" s="30">
        <v>14.7</v>
      </c>
      <c r="G1803" s="18"/>
    </row>
    <row r="1804" spans="1:7" x14ac:dyDescent="0.25">
      <c r="A1804" s="30">
        <v>0.29418824516429087</v>
      </c>
      <c r="B1804" s="30">
        <v>0</v>
      </c>
      <c r="C1804" s="30">
        <v>14.7</v>
      </c>
      <c r="G1804" s="18"/>
    </row>
    <row r="1805" spans="1:7" x14ac:dyDescent="0.25">
      <c r="A1805" s="30">
        <v>2.1214297378960705</v>
      </c>
      <c r="B1805" s="30">
        <v>0</v>
      </c>
      <c r="C1805" s="30">
        <v>14.7</v>
      </c>
      <c r="G1805" s="18"/>
    </row>
    <row r="1806" spans="1:7" x14ac:dyDescent="0.25">
      <c r="A1806" s="30">
        <v>0.77583945777502872</v>
      </c>
      <c r="B1806" s="30">
        <v>0</v>
      </c>
      <c r="C1806" s="30">
        <v>14.7</v>
      </c>
      <c r="G1806" s="18"/>
    </row>
    <row r="1807" spans="1:7" x14ac:dyDescent="0.25">
      <c r="A1807" s="30">
        <v>2.1672723265400271</v>
      </c>
      <c r="B1807" s="30">
        <v>0</v>
      </c>
      <c r="C1807" s="30">
        <v>36.68</v>
      </c>
      <c r="G1807" s="18"/>
    </row>
    <row r="1808" spans="1:7" x14ac:dyDescent="0.25">
      <c r="A1808" s="30">
        <v>1.3760329202447399</v>
      </c>
      <c r="B1808" s="30">
        <v>0</v>
      </c>
      <c r="C1808" s="30">
        <v>36.68</v>
      </c>
      <c r="G1808" s="18"/>
    </row>
    <row r="1809" spans="1:7" x14ac:dyDescent="0.25">
      <c r="A1809" s="30">
        <v>2.1723487147955676</v>
      </c>
      <c r="B1809" s="30">
        <v>0</v>
      </c>
      <c r="C1809" s="30">
        <v>36.68</v>
      </c>
      <c r="G1809" s="18"/>
    </row>
    <row r="1810" spans="1:7" x14ac:dyDescent="0.25">
      <c r="A1810" s="30">
        <v>7.646131267664491E-2</v>
      </c>
      <c r="B1810" s="30">
        <v>0</v>
      </c>
      <c r="C1810" s="30">
        <v>36.68</v>
      </c>
      <c r="G1810" s="18"/>
    </row>
    <row r="1811" spans="1:7" x14ac:dyDescent="0.25">
      <c r="A1811" s="30">
        <v>1.2758740034692679</v>
      </c>
      <c r="B1811" s="30">
        <v>0</v>
      </c>
      <c r="C1811" s="30">
        <v>36.68</v>
      </c>
      <c r="G1811" s="18"/>
    </row>
    <row r="1812" spans="1:7" x14ac:dyDescent="0.25">
      <c r="A1812" s="30">
        <v>0.31611804575633984</v>
      </c>
      <c r="B1812" s="30">
        <v>0</v>
      </c>
      <c r="C1812" s="30">
        <v>36.68</v>
      </c>
      <c r="G1812" s="18"/>
    </row>
    <row r="1813" spans="1:7" x14ac:dyDescent="0.25">
      <c r="A1813" s="30">
        <v>1.1533069482023297</v>
      </c>
      <c r="B1813" s="30">
        <v>0</v>
      </c>
      <c r="C1813" s="30">
        <v>36.68</v>
      </c>
      <c r="G1813" s="18"/>
    </row>
    <row r="1814" spans="1:7" x14ac:dyDescent="0.25">
      <c r="A1814" s="30">
        <v>0.34430386403629332</v>
      </c>
      <c r="B1814" s="30">
        <v>0</v>
      </c>
      <c r="C1814" s="30">
        <v>36.68</v>
      </c>
      <c r="G1814" s="18"/>
    </row>
    <row r="1815" spans="1:7" x14ac:dyDescent="0.25">
      <c r="A1815" s="30">
        <v>2.1316764448527215</v>
      </c>
      <c r="B1815" s="30">
        <v>0</v>
      </c>
      <c r="C1815" s="30">
        <v>36.68</v>
      </c>
      <c r="G1815" s="18"/>
    </row>
    <row r="1816" spans="1:7" x14ac:dyDescent="0.25">
      <c r="A1816" s="30">
        <v>0.47288985929169147</v>
      </c>
      <c r="B1816" s="30">
        <v>0</v>
      </c>
      <c r="C1816" s="30">
        <v>36.68</v>
      </c>
      <c r="G1816" s="18"/>
    </row>
    <row r="1817" spans="1:7" x14ac:dyDescent="0.25">
      <c r="A1817" s="30">
        <v>2.2294314048075523</v>
      </c>
      <c r="B1817" s="30">
        <v>0</v>
      </c>
      <c r="C1817" s="30">
        <v>36.68</v>
      </c>
      <c r="G1817" s="18"/>
    </row>
    <row r="1818" spans="1:7" x14ac:dyDescent="0.25">
      <c r="A1818" s="30">
        <v>5.8026976290041984E-2</v>
      </c>
      <c r="B1818" s="30">
        <v>0</v>
      </c>
      <c r="C1818" s="30">
        <v>36.68</v>
      </c>
      <c r="G1818" s="18"/>
    </row>
    <row r="1819" spans="1:7" x14ac:dyDescent="0.25">
      <c r="A1819" s="30">
        <v>0.27454531044496722</v>
      </c>
      <c r="B1819" s="30">
        <v>0</v>
      </c>
      <c r="C1819" s="30">
        <v>36.68</v>
      </c>
      <c r="G1819" s="18"/>
    </row>
    <row r="1820" spans="1:7" x14ac:dyDescent="0.25">
      <c r="A1820" s="30">
        <v>1.3215642502027869</v>
      </c>
      <c r="B1820" s="30">
        <v>0</v>
      </c>
      <c r="C1820" s="30">
        <v>36.68</v>
      </c>
      <c r="G1820" s="18"/>
    </row>
    <row r="1821" spans="1:7" x14ac:dyDescent="0.25">
      <c r="A1821" s="30">
        <v>0.39258980947598382</v>
      </c>
      <c r="B1821" s="30">
        <v>0</v>
      </c>
      <c r="C1821" s="30">
        <v>21.279999999999998</v>
      </c>
      <c r="G1821" s="18"/>
    </row>
    <row r="1822" spans="1:7" x14ac:dyDescent="0.25">
      <c r="A1822" s="30">
        <v>0.3948910425480226</v>
      </c>
      <c r="B1822" s="30">
        <v>0</v>
      </c>
      <c r="C1822" s="30">
        <v>21.279999999999998</v>
      </c>
      <c r="G1822" s="18"/>
    </row>
    <row r="1823" spans="1:7" x14ac:dyDescent="0.25">
      <c r="A1823" s="30">
        <v>1.3693479202549064</v>
      </c>
      <c r="B1823" s="30">
        <v>0</v>
      </c>
      <c r="C1823" s="30">
        <v>21.279999999999998</v>
      </c>
      <c r="G1823" s="18"/>
    </row>
    <row r="1824" spans="1:7" x14ac:dyDescent="0.25">
      <c r="A1824" s="30">
        <v>0.14345740351879172</v>
      </c>
      <c r="B1824" s="30">
        <v>0</v>
      </c>
      <c r="C1824" s="30">
        <v>21.279999999999998</v>
      </c>
      <c r="G1824" s="18"/>
    </row>
    <row r="1825" spans="1:7" x14ac:dyDescent="0.25">
      <c r="A1825" s="30">
        <v>0.54314592038739984</v>
      </c>
      <c r="B1825" s="30">
        <v>0</v>
      </c>
      <c r="C1825" s="30">
        <v>21.279999999999998</v>
      </c>
      <c r="G1825" s="18"/>
    </row>
    <row r="1826" spans="1:7" x14ac:dyDescent="0.25">
      <c r="A1826" s="30">
        <v>0.66817621522082538</v>
      </c>
      <c r="B1826" s="30">
        <v>0</v>
      </c>
      <c r="C1826" s="30">
        <v>21.279999999999998</v>
      </c>
      <c r="G1826" s="18"/>
    </row>
    <row r="1827" spans="1:7" x14ac:dyDescent="0.25">
      <c r="A1827" s="30">
        <v>1.1300899877132748</v>
      </c>
      <c r="B1827" s="30">
        <v>0</v>
      </c>
      <c r="C1827" s="30">
        <v>21.279999999999998</v>
      </c>
      <c r="G1827" s="18"/>
    </row>
    <row r="1828" spans="1:7" x14ac:dyDescent="0.25">
      <c r="A1828" s="30">
        <v>1.181684458891509</v>
      </c>
      <c r="B1828" s="30">
        <v>0</v>
      </c>
      <c r="C1828" s="30">
        <v>21.279999999999998</v>
      </c>
      <c r="G1828" s="18"/>
    </row>
    <row r="1829" spans="1:7" x14ac:dyDescent="0.25">
      <c r="A1829" s="30">
        <v>0.19098567811555656</v>
      </c>
      <c r="B1829" s="30">
        <v>0</v>
      </c>
      <c r="C1829" s="30">
        <v>21.279999999999998</v>
      </c>
      <c r="G1829" s="18"/>
    </row>
    <row r="1830" spans="1:7" x14ac:dyDescent="0.25">
      <c r="A1830" s="30">
        <v>0.87953590257947201</v>
      </c>
      <c r="B1830" s="30">
        <v>0</v>
      </c>
      <c r="C1830" s="30">
        <v>21.279999999999998</v>
      </c>
      <c r="G1830" s="18"/>
    </row>
    <row r="1831" spans="1:7" x14ac:dyDescent="0.25">
      <c r="A1831" s="30">
        <v>0.98694531426908338</v>
      </c>
      <c r="B1831" s="30">
        <v>0</v>
      </c>
      <c r="C1831" s="30">
        <v>21.279999999999998</v>
      </c>
      <c r="G1831" s="18"/>
    </row>
    <row r="1832" spans="1:7" x14ac:dyDescent="0.25">
      <c r="A1832" s="30">
        <v>1.2539650417968549</v>
      </c>
      <c r="B1832" s="30">
        <v>0</v>
      </c>
      <c r="C1832" s="30">
        <v>21.279999999999998</v>
      </c>
      <c r="G1832" s="18"/>
    </row>
    <row r="1833" spans="1:7" x14ac:dyDescent="0.25">
      <c r="A1833" s="30">
        <v>1.0360235065608521</v>
      </c>
      <c r="B1833" s="30">
        <v>0</v>
      </c>
      <c r="C1833" s="30">
        <v>21.279999999999998</v>
      </c>
      <c r="G1833" s="18"/>
    </row>
    <row r="1834" spans="1:7" x14ac:dyDescent="0.25">
      <c r="A1834" s="30">
        <v>1.3136926635551844</v>
      </c>
      <c r="B1834" s="30">
        <v>0</v>
      </c>
      <c r="C1834" s="30">
        <v>21.279999999999998</v>
      </c>
      <c r="G1834" s="18"/>
    </row>
    <row r="1835" spans="1:7" x14ac:dyDescent="0.25">
      <c r="A1835" s="30">
        <v>2.2354978509502894</v>
      </c>
      <c r="B1835" s="30">
        <v>0</v>
      </c>
      <c r="C1835" s="30">
        <v>21.279999999999998</v>
      </c>
      <c r="G1835" s="18"/>
    </row>
    <row r="1836" spans="1:7" x14ac:dyDescent="0.25">
      <c r="A1836" s="30">
        <v>0.78481206623185362</v>
      </c>
      <c r="B1836" s="30">
        <v>0</v>
      </c>
      <c r="C1836" s="30">
        <v>21.279999999999998</v>
      </c>
      <c r="G1836" s="18"/>
    </row>
    <row r="1837" spans="1:7" x14ac:dyDescent="0.25">
      <c r="A1837" s="30">
        <v>1.6693027396337556</v>
      </c>
      <c r="B1837" s="30">
        <v>0</v>
      </c>
      <c r="C1837" s="30">
        <v>21.279999999999998</v>
      </c>
      <c r="G1837" s="18"/>
    </row>
    <row r="1838" spans="1:7" x14ac:dyDescent="0.25">
      <c r="A1838" s="30">
        <v>1.2327399685046343</v>
      </c>
      <c r="B1838" s="30">
        <v>0</v>
      </c>
      <c r="C1838" s="30">
        <v>12.04</v>
      </c>
      <c r="G1838" s="18"/>
    </row>
    <row r="1839" spans="1:7" x14ac:dyDescent="0.25">
      <c r="A1839" s="30">
        <v>0.81150555362888388</v>
      </c>
      <c r="B1839" s="30">
        <v>0</v>
      </c>
      <c r="C1839" s="30">
        <v>12.04</v>
      </c>
      <c r="G1839" s="18"/>
    </row>
    <row r="1840" spans="1:7" x14ac:dyDescent="0.25">
      <c r="A1840" s="30">
        <v>0.42445761307064334</v>
      </c>
      <c r="B1840" s="30">
        <v>0</v>
      </c>
      <c r="C1840" s="30">
        <v>12.04</v>
      </c>
      <c r="G1840" s="18"/>
    </row>
    <row r="1841" spans="1:7" x14ac:dyDescent="0.25">
      <c r="A1841" s="30">
        <v>2.034669045673557</v>
      </c>
      <c r="B1841" s="30">
        <v>0</v>
      </c>
      <c r="C1841" s="30">
        <v>12.04</v>
      </c>
      <c r="G1841" s="18"/>
    </row>
    <row r="1842" spans="1:7" x14ac:dyDescent="0.25">
      <c r="A1842" s="30">
        <v>0.45300923087845524</v>
      </c>
      <c r="B1842" s="30">
        <v>0</v>
      </c>
      <c r="C1842" s="30">
        <v>12.04</v>
      </c>
      <c r="G1842" s="18"/>
    </row>
    <row r="1843" spans="1:7" x14ac:dyDescent="0.25">
      <c r="A1843" s="30">
        <v>1.1196670311257773</v>
      </c>
      <c r="B1843" s="30">
        <v>0</v>
      </c>
      <c r="C1843" s="30">
        <v>12.04</v>
      </c>
      <c r="G1843" s="18"/>
    </row>
    <row r="1844" spans="1:7" x14ac:dyDescent="0.25">
      <c r="A1844" s="30">
        <v>1.2368276038123391</v>
      </c>
      <c r="B1844" s="30">
        <v>0</v>
      </c>
      <c r="C1844" s="30">
        <v>12.04</v>
      </c>
      <c r="G1844" s="18"/>
    </row>
    <row r="1845" spans="1:7" x14ac:dyDescent="0.25">
      <c r="A1845" s="30">
        <v>1.3468795827832016</v>
      </c>
      <c r="B1845" s="30">
        <v>0</v>
      </c>
      <c r="C1845" s="30">
        <v>12.04</v>
      </c>
      <c r="G1845" s="18"/>
    </row>
    <row r="1846" spans="1:7" x14ac:dyDescent="0.25">
      <c r="A1846" s="30">
        <v>0.65201400415915456</v>
      </c>
      <c r="B1846" s="30">
        <v>0</v>
      </c>
      <c r="C1846" s="30">
        <v>12.04</v>
      </c>
      <c r="G1846" s="18"/>
    </row>
    <row r="1847" spans="1:7" x14ac:dyDescent="0.25">
      <c r="A1847" s="30">
        <v>0.31429789983938994</v>
      </c>
      <c r="B1847" s="30">
        <v>0</v>
      </c>
      <c r="C1847" s="30">
        <v>12.04</v>
      </c>
      <c r="G1847" s="18"/>
    </row>
    <row r="1848" spans="1:7" x14ac:dyDescent="0.25">
      <c r="A1848" s="30">
        <v>0.78641407004348185</v>
      </c>
      <c r="B1848" s="30">
        <v>0</v>
      </c>
      <c r="C1848" s="30">
        <v>12.04</v>
      </c>
      <c r="G1848" s="18"/>
    </row>
    <row r="1849" spans="1:7" x14ac:dyDescent="0.25">
      <c r="A1849" s="30">
        <v>2.2580845938038827</v>
      </c>
      <c r="B1849" s="30">
        <v>0</v>
      </c>
      <c r="C1849" s="30">
        <v>12.04</v>
      </c>
      <c r="G1849" s="18"/>
    </row>
    <row r="1850" spans="1:7" x14ac:dyDescent="0.25">
      <c r="A1850" s="30">
        <v>0.44278572647535752</v>
      </c>
      <c r="B1850" s="30">
        <v>0</v>
      </c>
      <c r="C1850" s="30">
        <v>12.04</v>
      </c>
      <c r="G1850" s="18"/>
    </row>
    <row r="1851" spans="1:7" x14ac:dyDescent="0.25">
      <c r="A1851" s="30">
        <v>7.5393273560501767E-2</v>
      </c>
      <c r="B1851" s="30">
        <v>0</v>
      </c>
      <c r="C1851" s="30">
        <v>12.04</v>
      </c>
      <c r="G1851" s="18"/>
    </row>
    <row r="1852" spans="1:7" x14ac:dyDescent="0.25">
      <c r="A1852" s="30">
        <v>3.2260099807834265E-2</v>
      </c>
      <c r="B1852" s="30">
        <v>0</v>
      </c>
      <c r="C1852" s="30">
        <v>12.04</v>
      </c>
      <c r="G1852" s="18"/>
    </row>
    <row r="1853" spans="1:7" x14ac:dyDescent="0.25">
      <c r="A1853" s="30">
        <v>0.93810587857102701</v>
      </c>
      <c r="B1853" s="30">
        <v>0</v>
      </c>
      <c r="C1853" s="30">
        <v>12.04</v>
      </c>
      <c r="G1853" s="18"/>
    </row>
    <row r="1854" spans="1:7" x14ac:dyDescent="0.25">
      <c r="A1854" s="30">
        <v>0.57795499929995919</v>
      </c>
      <c r="B1854" s="30">
        <v>0</v>
      </c>
      <c r="C1854" s="30">
        <v>12.459999999999999</v>
      </c>
      <c r="G1854" s="18"/>
    </row>
    <row r="1855" spans="1:7" x14ac:dyDescent="0.25">
      <c r="A1855" s="30">
        <v>1.2828942502862</v>
      </c>
      <c r="B1855" s="30">
        <v>0</v>
      </c>
      <c r="C1855" s="30">
        <v>12.459999999999999</v>
      </c>
      <c r="G1855" s="18"/>
    </row>
    <row r="1856" spans="1:7" x14ac:dyDescent="0.25">
      <c r="A1856" s="30">
        <v>2.0258127781795608E-2</v>
      </c>
      <c r="B1856" s="30">
        <v>0</v>
      </c>
      <c r="C1856" s="30">
        <v>12.459999999999999</v>
      </c>
      <c r="G1856" s="18"/>
    </row>
    <row r="1857" spans="1:7" x14ac:dyDescent="0.25">
      <c r="A1857" s="30">
        <v>1.496589060702701</v>
      </c>
      <c r="B1857" s="30">
        <v>0</v>
      </c>
      <c r="C1857" s="30">
        <v>12.459999999999999</v>
      </c>
      <c r="G1857" s="18"/>
    </row>
    <row r="1858" spans="1:7" x14ac:dyDescent="0.25">
      <c r="A1858" s="30">
        <v>1.0317973716046858</v>
      </c>
      <c r="B1858" s="30">
        <v>0</v>
      </c>
      <c r="C1858" s="30">
        <v>12.459999999999999</v>
      </c>
      <c r="G1858" s="18"/>
    </row>
    <row r="1859" spans="1:7" x14ac:dyDescent="0.25">
      <c r="A1859" s="30">
        <v>1.1579898747993673</v>
      </c>
      <c r="B1859" s="30">
        <v>0</v>
      </c>
      <c r="C1859" s="30">
        <v>12.459999999999999</v>
      </c>
      <c r="G1859" s="18"/>
    </row>
    <row r="1860" spans="1:7" x14ac:dyDescent="0.25">
      <c r="A1860" s="30">
        <v>0.1120837606367369</v>
      </c>
      <c r="B1860" s="30">
        <v>0</v>
      </c>
      <c r="C1860" s="30">
        <v>12.459999999999999</v>
      </c>
      <c r="G1860" s="18"/>
    </row>
    <row r="1861" spans="1:7" x14ac:dyDescent="0.25">
      <c r="A1861" s="30">
        <v>2.1680817370716534</v>
      </c>
      <c r="B1861" s="30">
        <v>0</v>
      </c>
      <c r="C1861" s="30">
        <v>12.459999999999999</v>
      </c>
      <c r="G1861" s="18"/>
    </row>
    <row r="1862" spans="1:7" x14ac:dyDescent="0.25">
      <c r="A1862" s="30">
        <v>0.73486668144239053</v>
      </c>
      <c r="B1862" s="30">
        <v>0</v>
      </c>
      <c r="C1862" s="30">
        <v>12.459999999999999</v>
      </c>
      <c r="G1862" s="18"/>
    </row>
    <row r="1863" spans="1:7" x14ac:dyDescent="0.25">
      <c r="A1863" s="30">
        <v>1.5474277581625255</v>
      </c>
      <c r="B1863" s="30">
        <v>0</v>
      </c>
      <c r="C1863" s="30">
        <v>12.459999999999999</v>
      </c>
      <c r="G1863" s="18"/>
    </row>
    <row r="1864" spans="1:7" x14ac:dyDescent="0.25">
      <c r="A1864" s="30">
        <v>1.327871150861673</v>
      </c>
      <c r="B1864" s="30">
        <v>0</v>
      </c>
      <c r="C1864" s="30">
        <v>12.459999999999999</v>
      </c>
      <c r="G1864" s="18"/>
    </row>
    <row r="1865" spans="1:7" x14ac:dyDescent="0.25">
      <c r="A1865" s="30">
        <v>2.1150193734603961</v>
      </c>
      <c r="B1865" s="30">
        <v>0</v>
      </c>
      <c r="C1865" s="30">
        <v>12.459999999999999</v>
      </c>
      <c r="G1865" s="18"/>
    </row>
    <row r="1866" spans="1:7" x14ac:dyDescent="0.25">
      <c r="A1866" s="30">
        <v>0.72249748368607669</v>
      </c>
      <c r="B1866" s="30">
        <v>0</v>
      </c>
      <c r="C1866" s="30">
        <v>12.459999999999999</v>
      </c>
      <c r="G1866" s="18"/>
    </row>
    <row r="1867" spans="1:7" x14ac:dyDescent="0.25">
      <c r="A1867" s="30">
        <v>2.3602558006215495</v>
      </c>
      <c r="B1867" s="30">
        <v>0</v>
      </c>
      <c r="C1867" s="30">
        <v>12.459999999999999</v>
      </c>
      <c r="G1867" s="18"/>
    </row>
    <row r="1868" spans="1:7" x14ac:dyDescent="0.25">
      <c r="A1868" s="30">
        <v>0.38991376852372939</v>
      </c>
      <c r="B1868" s="30">
        <v>0</v>
      </c>
      <c r="C1868" s="30">
        <v>12.459999999999999</v>
      </c>
      <c r="G1868" s="18"/>
    </row>
    <row r="1869" spans="1:7" x14ac:dyDescent="0.25">
      <c r="A1869" s="30">
        <v>0.42480669600087123</v>
      </c>
      <c r="B1869" s="30">
        <v>0</v>
      </c>
      <c r="C1869" s="30">
        <v>12.459999999999999</v>
      </c>
      <c r="G1869" s="18"/>
    </row>
    <row r="1870" spans="1:7" x14ac:dyDescent="0.25">
      <c r="A1870" s="30">
        <v>0.71201324363792418</v>
      </c>
      <c r="B1870" s="30">
        <v>0</v>
      </c>
      <c r="C1870" s="30">
        <v>28.7</v>
      </c>
      <c r="G1870" s="18"/>
    </row>
    <row r="1871" spans="1:7" x14ac:dyDescent="0.25">
      <c r="A1871" s="30">
        <v>1.3613642717336529</v>
      </c>
      <c r="B1871" s="30">
        <v>0</v>
      </c>
      <c r="C1871" s="30">
        <v>28.7</v>
      </c>
      <c r="G1871" s="18"/>
    </row>
    <row r="1872" spans="1:7" x14ac:dyDescent="0.25">
      <c r="A1872" s="30">
        <v>1.348325052673053</v>
      </c>
      <c r="B1872" s="30">
        <v>0</v>
      </c>
      <c r="C1872" s="30">
        <v>28.7</v>
      </c>
      <c r="G1872" s="18"/>
    </row>
    <row r="1873" spans="1:7" x14ac:dyDescent="0.25">
      <c r="A1873" s="30">
        <v>2.0045743668380278</v>
      </c>
      <c r="B1873" s="30">
        <v>0</v>
      </c>
      <c r="C1873" s="30">
        <v>28.7</v>
      </c>
      <c r="G1873" s="18"/>
    </row>
    <row r="1874" spans="1:7" x14ac:dyDescent="0.25">
      <c r="A1874" s="30">
        <v>0.86109927762190064</v>
      </c>
      <c r="B1874" s="30">
        <v>0</v>
      </c>
      <c r="C1874" s="30">
        <v>28.7</v>
      </c>
      <c r="G1874" s="18"/>
    </row>
    <row r="1875" spans="1:7" x14ac:dyDescent="0.25">
      <c r="A1875" s="30">
        <v>1.7628764037302169</v>
      </c>
      <c r="B1875" s="30">
        <v>0</v>
      </c>
      <c r="C1875" s="30">
        <v>28.7</v>
      </c>
      <c r="G1875" s="18"/>
    </row>
    <row r="1876" spans="1:7" x14ac:dyDescent="0.25">
      <c r="A1876" s="30">
        <v>0.52225787744810426</v>
      </c>
      <c r="B1876" s="30">
        <v>0</v>
      </c>
      <c r="C1876" s="30">
        <v>28.7</v>
      </c>
      <c r="G1876" s="18"/>
    </row>
    <row r="1877" spans="1:7" x14ac:dyDescent="0.25">
      <c r="A1877" s="30">
        <v>1.838357107480352</v>
      </c>
      <c r="B1877" s="30">
        <v>0</v>
      </c>
      <c r="C1877" s="30">
        <v>28.7</v>
      </c>
      <c r="G1877" s="18"/>
    </row>
    <row r="1878" spans="1:7" x14ac:dyDescent="0.25">
      <c r="A1878" s="30">
        <v>0.1223710838608197</v>
      </c>
      <c r="B1878" s="30">
        <v>0</v>
      </c>
      <c r="C1878" s="30">
        <v>28.7</v>
      </c>
      <c r="G1878" s="18"/>
    </row>
    <row r="1879" spans="1:7" x14ac:dyDescent="0.25">
      <c r="A1879" s="30">
        <v>7.0227940828803431E-2</v>
      </c>
      <c r="B1879" s="30">
        <v>0</v>
      </c>
      <c r="C1879" s="30">
        <v>28.7</v>
      </c>
      <c r="G1879" s="18"/>
    </row>
    <row r="1880" spans="1:7" x14ac:dyDescent="0.25">
      <c r="A1880" s="30">
        <v>0.24094632806830424</v>
      </c>
      <c r="B1880" s="30">
        <v>0</v>
      </c>
      <c r="C1880" s="30">
        <v>28.7</v>
      </c>
      <c r="G1880" s="18"/>
    </row>
    <row r="1881" spans="1:7" x14ac:dyDescent="0.25">
      <c r="A1881" s="30">
        <v>0.66229584702577626</v>
      </c>
      <c r="B1881" s="30">
        <v>0</v>
      </c>
      <c r="C1881" s="30">
        <v>28.7</v>
      </c>
      <c r="G1881" s="18"/>
    </row>
    <row r="1882" spans="1:7" x14ac:dyDescent="0.25">
      <c r="A1882" s="30">
        <v>1.2388617555358641</v>
      </c>
      <c r="B1882" s="30">
        <v>0</v>
      </c>
      <c r="C1882" s="30">
        <v>28.7</v>
      </c>
      <c r="G1882" s="18"/>
    </row>
    <row r="1883" spans="1:7" x14ac:dyDescent="0.25">
      <c r="A1883" s="30">
        <v>1.4911541780339772</v>
      </c>
      <c r="B1883" s="30">
        <v>0</v>
      </c>
      <c r="C1883" s="30">
        <v>28.7</v>
      </c>
      <c r="G1883" s="18"/>
    </row>
    <row r="1884" spans="1:7" x14ac:dyDescent="0.25">
      <c r="A1884" s="30">
        <v>0.45959889689171601</v>
      </c>
      <c r="B1884" s="30">
        <v>0</v>
      </c>
      <c r="C1884" s="30">
        <v>28.7</v>
      </c>
      <c r="G1884" s="18"/>
    </row>
    <row r="1885" spans="1:7" x14ac:dyDescent="0.25">
      <c r="A1885" s="30">
        <v>2.2636728130926267</v>
      </c>
      <c r="B1885" s="30">
        <v>0</v>
      </c>
      <c r="C1885" s="30">
        <v>28.7</v>
      </c>
      <c r="G1885" s="18"/>
    </row>
    <row r="1886" spans="1:7" x14ac:dyDescent="0.25">
      <c r="A1886" s="30">
        <v>0.12488396665809573</v>
      </c>
      <c r="B1886" s="30">
        <v>0</v>
      </c>
      <c r="C1886" s="30">
        <v>11.76</v>
      </c>
      <c r="G1886" s="18"/>
    </row>
    <row r="1887" spans="1:7" x14ac:dyDescent="0.25">
      <c r="A1887" s="30">
        <v>1.6584535370327753</v>
      </c>
      <c r="B1887" s="30">
        <v>0</v>
      </c>
      <c r="C1887" s="30">
        <v>11.76</v>
      </c>
      <c r="G1887" s="18"/>
    </row>
    <row r="1888" spans="1:7" x14ac:dyDescent="0.25">
      <c r="A1888" s="30">
        <v>0.61412281156263693</v>
      </c>
      <c r="B1888" s="30">
        <v>0</v>
      </c>
      <c r="C1888" s="30">
        <v>11.76</v>
      </c>
      <c r="G1888" s="18"/>
    </row>
    <row r="1889" spans="1:7" x14ac:dyDescent="0.25">
      <c r="A1889" s="30">
        <v>1.6720667909530351</v>
      </c>
      <c r="B1889" s="30">
        <v>0</v>
      </c>
      <c r="C1889" s="30">
        <v>11.76</v>
      </c>
      <c r="G1889" s="18"/>
    </row>
    <row r="1890" spans="1:7" x14ac:dyDescent="0.25">
      <c r="A1890" s="30">
        <v>0.86849299117408696</v>
      </c>
      <c r="B1890" s="30">
        <v>0</v>
      </c>
      <c r="C1890" s="30">
        <v>11.76</v>
      </c>
      <c r="G1890" s="18"/>
    </row>
    <row r="1891" spans="1:7" x14ac:dyDescent="0.25">
      <c r="A1891" s="30">
        <v>1.443449914712821</v>
      </c>
      <c r="B1891" s="30">
        <v>0</v>
      </c>
      <c r="C1891" s="30">
        <v>11.76</v>
      </c>
      <c r="G1891" s="18"/>
    </row>
    <row r="1892" spans="1:7" x14ac:dyDescent="0.25">
      <c r="A1892" s="30">
        <v>1.2114076558855043</v>
      </c>
      <c r="B1892" s="30">
        <v>0</v>
      </c>
      <c r="C1892" s="30">
        <v>11.76</v>
      </c>
      <c r="G1892" s="18"/>
    </row>
    <row r="1893" spans="1:7" x14ac:dyDescent="0.25">
      <c r="A1893" s="30">
        <v>4.8671288472683386E-2</v>
      </c>
      <c r="B1893" s="30">
        <v>0</v>
      </c>
      <c r="C1893" s="30">
        <v>11.76</v>
      </c>
      <c r="G1893" s="18"/>
    </row>
    <row r="1894" spans="1:7" x14ac:dyDescent="0.25">
      <c r="A1894" s="30">
        <v>0.2196468208011631</v>
      </c>
      <c r="B1894" s="30">
        <v>0</v>
      </c>
      <c r="C1894" s="30">
        <v>11.76</v>
      </c>
      <c r="G1894" s="18"/>
    </row>
    <row r="1895" spans="1:7" x14ac:dyDescent="0.25">
      <c r="A1895" s="30">
        <v>1.9549146686603223</v>
      </c>
      <c r="B1895" s="30">
        <v>0</v>
      </c>
      <c r="C1895" s="30">
        <v>11.76</v>
      </c>
      <c r="G1895" s="18"/>
    </row>
    <row r="1896" spans="1:7" x14ac:dyDescent="0.25">
      <c r="A1896" s="30">
        <v>1.3009370506693612</v>
      </c>
      <c r="B1896" s="30">
        <v>0</v>
      </c>
      <c r="C1896" s="30">
        <v>11.76</v>
      </c>
      <c r="G1896" s="18"/>
    </row>
    <row r="1897" spans="1:7" x14ac:dyDescent="0.25">
      <c r="A1897" s="30">
        <v>0.37935274284070253</v>
      </c>
      <c r="B1897" s="30">
        <v>0</v>
      </c>
      <c r="C1897" s="30">
        <v>11.76</v>
      </c>
      <c r="G1897" s="18"/>
    </row>
    <row r="1898" spans="1:7" x14ac:dyDescent="0.25">
      <c r="A1898" s="30">
        <v>0.37723827710018365</v>
      </c>
      <c r="B1898" s="30">
        <v>0</v>
      </c>
      <c r="C1898" s="30">
        <v>11.76</v>
      </c>
      <c r="G1898" s="18"/>
    </row>
    <row r="1899" spans="1:7" x14ac:dyDescent="0.25">
      <c r="A1899" s="30">
        <v>2.3344231064584395</v>
      </c>
      <c r="B1899" s="30">
        <v>0</v>
      </c>
      <c r="C1899" s="30">
        <v>11.76</v>
      </c>
      <c r="G1899" s="18"/>
    </row>
    <row r="1900" spans="1:7" x14ac:dyDescent="0.25">
      <c r="A1900" s="30">
        <v>0.30180066779442172</v>
      </c>
      <c r="B1900" s="30">
        <v>0</v>
      </c>
      <c r="C1900" s="30">
        <v>11.76</v>
      </c>
      <c r="G1900" s="18"/>
    </row>
    <row r="1901" spans="1:7" x14ac:dyDescent="0.25">
      <c r="A1901" s="30">
        <v>0.18505005805313396</v>
      </c>
      <c r="B1901" s="30">
        <v>0</v>
      </c>
      <c r="C1901" s="30">
        <v>11.76</v>
      </c>
      <c r="G1901" s="18"/>
    </row>
    <row r="1902" spans="1:7" x14ac:dyDescent="0.25">
      <c r="A1902" s="30">
        <v>0.68554378517710535</v>
      </c>
      <c r="B1902" s="30">
        <v>0</v>
      </c>
      <c r="C1902" s="30">
        <v>11.76</v>
      </c>
      <c r="G1902" s="18"/>
    </row>
    <row r="1903" spans="1:7" x14ac:dyDescent="0.25">
      <c r="A1903" s="30">
        <v>0.57128150137772371</v>
      </c>
      <c r="B1903" s="30">
        <v>0</v>
      </c>
      <c r="C1903" s="30">
        <v>21.419999999999998</v>
      </c>
      <c r="G1903" s="18"/>
    </row>
    <row r="1904" spans="1:7" x14ac:dyDescent="0.25">
      <c r="A1904" s="30">
        <v>0.12009166613265206</v>
      </c>
      <c r="B1904" s="30">
        <v>0</v>
      </c>
      <c r="C1904" s="30">
        <v>21.419999999999998</v>
      </c>
      <c r="G1904" s="18"/>
    </row>
    <row r="1905" spans="1:7" x14ac:dyDescent="0.25">
      <c r="A1905" s="30">
        <v>0.83542380982366082</v>
      </c>
      <c r="B1905" s="30">
        <v>0</v>
      </c>
      <c r="C1905" s="30">
        <v>21.419999999999998</v>
      </c>
      <c r="G1905" s="18"/>
    </row>
    <row r="1906" spans="1:7" x14ac:dyDescent="0.25">
      <c r="A1906" s="30">
        <v>1.1440180224574914</v>
      </c>
      <c r="B1906" s="30">
        <v>0</v>
      </c>
      <c r="C1906" s="30">
        <v>21.419999999999998</v>
      </c>
      <c r="G1906" s="18"/>
    </row>
    <row r="1907" spans="1:7" x14ac:dyDescent="0.25">
      <c r="A1907" s="30">
        <v>1.8277102447701836</v>
      </c>
      <c r="B1907" s="30">
        <v>0</v>
      </c>
      <c r="C1907" s="30">
        <v>21.419999999999998</v>
      </c>
      <c r="G1907" s="18"/>
    </row>
    <row r="1908" spans="1:7" x14ac:dyDescent="0.25">
      <c r="A1908" s="30">
        <v>0.54835824204364414</v>
      </c>
      <c r="B1908" s="30">
        <v>0</v>
      </c>
      <c r="C1908" s="30">
        <v>21.419999999999998</v>
      </c>
      <c r="G1908" s="18"/>
    </row>
    <row r="1909" spans="1:7" x14ac:dyDescent="0.25">
      <c r="A1909" s="30">
        <v>2.1909748244519229</v>
      </c>
      <c r="B1909" s="30">
        <v>0</v>
      </c>
      <c r="C1909" s="30">
        <v>21.419999999999998</v>
      </c>
      <c r="G1909" s="18"/>
    </row>
    <row r="1910" spans="1:7" x14ac:dyDescent="0.25">
      <c r="A1910" s="30">
        <v>0.46234781138853648</v>
      </c>
      <c r="B1910" s="30">
        <v>0</v>
      </c>
      <c r="C1910" s="30">
        <v>21.419999999999998</v>
      </c>
      <c r="G1910" s="18"/>
    </row>
    <row r="1911" spans="1:7" x14ac:dyDescent="0.25">
      <c r="A1911" s="30">
        <v>0.90689490968046071</v>
      </c>
      <c r="B1911" s="30">
        <v>0</v>
      </c>
      <c r="C1911" s="30">
        <v>21.419999999999998</v>
      </c>
      <c r="G1911" s="18"/>
    </row>
    <row r="1912" spans="1:7" x14ac:dyDescent="0.25">
      <c r="A1912" s="30">
        <v>6.3983612964249523E-2</v>
      </c>
      <c r="B1912" s="30">
        <v>0</v>
      </c>
      <c r="C1912" s="30">
        <v>21.419999999999998</v>
      </c>
      <c r="G1912" s="18"/>
    </row>
    <row r="1913" spans="1:7" x14ac:dyDescent="0.25">
      <c r="A1913" s="30">
        <v>1.3268757627588297</v>
      </c>
      <c r="B1913" s="30">
        <v>0</v>
      </c>
      <c r="C1913" s="30">
        <v>21.419999999999998</v>
      </c>
      <c r="G1913" s="18"/>
    </row>
    <row r="1914" spans="1:7" x14ac:dyDescent="0.25">
      <c r="A1914" s="30">
        <v>0.5637974698950462</v>
      </c>
      <c r="B1914" s="30">
        <v>0</v>
      </c>
      <c r="C1914" s="30">
        <v>21.419999999999998</v>
      </c>
      <c r="G1914" s="18"/>
    </row>
    <row r="1915" spans="1:7" x14ac:dyDescent="0.25">
      <c r="A1915" s="30">
        <v>0.67825940895259196</v>
      </c>
      <c r="B1915" s="30">
        <v>0</v>
      </c>
      <c r="C1915" s="30">
        <v>21.419999999999998</v>
      </c>
      <c r="G1915" s="18"/>
    </row>
    <row r="1916" spans="1:7" x14ac:dyDescent="0.25">
      <c r="A1916" s="30">
        <v>0.19879943557529958</v>
      </c>
      <c r="B1916" s="30">
        <v>0</v>
      </c>
      <c r="C1916" s="30">
        <v>21.419999999999998</v>
      </c>
      <c r="G1916" s="18"/>
    </row>
    <row r="1917" spans="1:7" x14ac:dyDescent="0.25">
      <c r="A1917" s="30">
        <v>0.18391422313754413</v>
      </c>
      <c r="B1917" s="30">
        <v>0</v>
      </c>
      <c r="C1917" s="30">
        <v>21.419999999999998</v>
      </c>
      <c r="G1917" s="18"/>
    </row>
    <row r="1918" spans="1:7" x14ac:dyDescent="0.25">
      <c r="A1918" s="30">
        <v>0.60186889130847798</v>
      </c>
      <c r="B1918" s="30">
        <v>0</v>
      </c>
      <c r="C1918" s="30">
        <v>21.419999999999998</v>
      </c>
      <c r="G1918" s="18"/>
    </row>
    <row r="1919" spans="1:7" x14ac:dyDescent="0.25">
      <c r="A1919" s="30">
        <v>1.2767555944230644</v>
      </c>
      <c r="B1919" s="30">
        <v>0</v>
      </c>
      <c r="C1919" s="30">
        <v>21.419999999999998</v>
      </c>
      <c r="G1919" s="18"/>
    </row>
    <row r="1920" spans="1:7" x14ac:dyDescent="0.25">
      <c r="A1920" s="30">
        <v>0.99456012572796415</v>
      </c>
      <c r="B1920" s="30">
        <v>0</v>
      </c>
      <c r="C1920" s="30">
        <v>18.34</v>
      </c>
      <c r="G1920" s="18"/>
    </row>
    <row r="1921" spans="1:7" x14ac:dyDescent="0.25">
      <c r="A1921" s="30">
        <v>2.2625340117742523</v>
      </c>
      <c r="B1921" s="30">
        <v>0</v>
      </c>
      <c r="C1921" s="30">
        <v>18.34</v>
      </c>
      <c r="G1921" s="18"/>
    </row>
    <row r="1922" spans="1:7" x14ac:dyDescent="0.25">
      <c r="A1922" s="30">
        <v>9.3794225095768069E-2</v>
      </c>
      <c r="B1922" s="30">
        <v>0</v>
      </c>
      <c r="C1922" s="30">
        <v>18.34</v>
      </c>
      <c r="G1922" s="18"/>
    </row>
    <row r="1923" spans="1:7" x14ac:dyDescent="0.25">
      <c r="A1923" s="30">
        <v>1.2727203797845608</v>
      </c>
      <c r="B1923" s="30">
        <v>0</v>
      </c>
      <c r="C1923" s="30">
        <v>18.34</v>
      </c>
      <c r="G1923" s="18"/>
    </row>
    <row r="1924" spans="1:7" x14ac:dyDescent="0.25">
      <c r="A1924" s="30">
        <v>3.8291091142505548E-2</v>
      </c>
      <c r="B1924" s="30">
        <v>0</v>
      </c>
      <c r="C1924" s="30">
        <v>18.34</v>
      </c>
      <c r="G1924" s="18"/>
    </row>
    <row r="1925" spans="1:7" x14ac:dyDescent="0.25">
      <c r="A1925" s="30">
        <v>2.1238848930365526</v>
      </c>
      <c r="B1925" s="30">
        <v>0</v>
      </c>
      <c r="C1925" s="30">
        <v>18.34</v>
      </c>
      <c r="G1925" s="18"/>
    </row>
    <row r="1926" spans="1:7" x14ac:dyDescent="0.25">
      <c r="A1926" s="30">
        <v>2.4162724096958122E-2</v>
      </c>
      <c r="B1926" s="30">
        <v>0</v>
      </c>
      <c r="C1926" s="30">
        <v>18.34</v>
      </c>
      <c r="G1926" s="18"/>
    </row>
    <row r="1927" spans="1:7" x14ac:dyDescent="0.25">
      <c r="A1927" s="30">
        <v>1.4828206856676744</v>
      </c>
      <c r="B1927" s="30">
        <v>0</v>
      </c>
      <c r="C1927" s="30">
        <v>18.34</v>
      </c>
      <c r="G1927" s="18"/>
    </row>
    <row r="1928" spans="1:7" x14ac:dyDescent="0.25">
      <c r="A1928" s="30">
        <v>1.3158266176649502</v>
      </c>
      <c r="B1928" s="30">
        <v>0</v>
      </c>
      <c r="C1928" s="30">
        <v>18.34</v>
      </c>
      <c r="G1928" s="18"/>
    </row>
    <row r="1929" spans="1:7" x14ac:dyDescent="0.25">
      <c r="A1929" s="30">
        <v>1.1330448447128441</v>
      </c>
      <c r="B1929" s="30">
        <v>0</v>
      </c>
      <c r="C1929" s="30">
        <v>18.34</v>
      </c>
      <c r="G1929" s="18"/>
    </row>
    <row r="1930" spans="1:7" x14ac:dyDescent="0.25">
      <c r="A1930" s="30">
        <v>1.3580231575008219</v>
      </c>
      <c r="B1930" s="30">
        <v>0</v>
      </c>
      <c r="C1930" s="30">
        <v>18.34</v>
      </c>
      <c r="G1930" s="18"/>
    </row>
    <row r="1931" spans="1:7" x14ac:dyDescent="0.25">
      <c r="A1931" s="30">
        <v>2.375107998202866</v>
      </c>
      <c r="B1931" s="30">
        <v>0</v>
      </c>
      <c r="C1931" s="30">
        <v>18.34</v>
      </c>
      <c r="G1931" s="18"/>
    </row>
    <row r="1932" spans="1:7" x14ac:dyDescent="0.25">
      <c r="A1932" s="30">
        <v>0.18425033830883328</v>
      </c>
      <c r="B1932" s="30">
        <v>0</v>
      </c>
      <c r="C1932" s="30">
        <v>18.34</v>
      </c>
      <c r="G1932" s="18"/>
    </row>
    <row r="1933" spans="1:7" x14ac:dyDescent="0.25">
      <c r="A1933" s="30">
        <v>1.1970881123899086</v>
      </c>
      <c r="B1933" s="30">
        <v>0</v>
      </c>
      <c r="C1933" s="30">
        <v>18.34</v>
      </c>
      <c r="G1933" s="18"/>
    </row>
    <row r="1934" spans="1:7" x14ac:dyDescent="0.25">
      <c r="A1934" s="30">
        <v>1.3826850288809094</v>
      </c>
      <c r="B1934" s="30">
        <v>0</v>
      </c>
      <c r="C1934" s="30">
        <v>18.34</v>
      </c>
      <c r="G1934" s="18"/>
    </row>
    <row r="1935" spans="1:7" x14ac:dyDescent="0.25">
      <c r="A1935" s="30">
        <v>0.35726995386591148</v>
      </c>
      <c r="B1935" s="30">
        <v>0</v>
      </c>
      <c r="C1935" s="30">
        <v>27.44</v>
      </c>
      <c r="G1935" s="18"/>
    </row>
    <row r="1936" spans="1:7" x14ac:dyDescent="0.25">
      <c r="A1936" s="30">
        <v>1.0235789924494294</v>
      </c>
      <c r="B1936" s="30">
        <v>0</v>
      </c>
      <c r="C1936" s="30">
        <v>27.44</v>
      </c>
      <c r="G1936" s="18"/>
    </row>
    <row r="1937" spans="1:7" x14ac:dyDescent="0.25">
      <c r="A1937" s="30">
        <v>1.5498681833860632</v>
      </c>
      <c r="B1937" s="30">
        <v>0</v>
      </c>
      <c r="C1937" s="30">
        <v>27.44</v>
      </c>
      <c r="G1937" s="18"/>
    </row>
    <row r="1938" spans="1:7" x14ac:dyDescent="0.25">
      <c r="A1938" s="30">
        <v>1.3556189946210604</v>
      </c>
      <c r="B1938" s="30">
        <v>0</v>
      </c>
      <c r="C1938" s="30">
        <v>27.44</v>
      </c>
      <c r="G1938" s="18"/>
    </row>
    <row r="1939" spans="1:7" x14ac:dyDescent="0.25">
      <c r="A1939" s="30">
        <v>1.3784385404393109</v>
      </c>
      <c r="B1939" s="30">
        <v>0</v>
      </c>
      <c r="C1939" s="30">
        <v>27.44</v>
      </c>
      <c r="G1939" s="18"/>
    </row>
    <row r="1940" spans="1:7" x14ac:dyDescent="0.25">
      <c r="A1940" s="30">
        <v>0.51529243165954897</v>
      </c>
      <c r="B1940" s="30">
        <v>0</v>
      </c>
      <c r="C1940" s="30">
        <v>27.44</v>
      </c>
      <c r="G1940" s="18"/>
    </row>
    <row r="1941" spans="1:7" x14ac:dyDescent="0.25">
      <c r="A1941" s="30">
        <v>0.77318539109974715</v>
      </c>
      <c r="B1941" s="30">
        <v>0</v>
      </c>
      <c r="C1941" s="30">
        <v>27.44</v>
      </c>
      <c r="G1941" s="18"/>
    </row>
    <row r="1942" spans="1:7" x14ac:dyDescent="0.25">
      <c r="A1942" s="30">
        <v>0.4219800495012665</v>
      </c>
      <c r="B1942" s="30">
        <v>0</v>
      </c>
      <c r="C1942" s="30">
        <v>27.44</v>
      </c>
      <c r="G1942" s="18"/>
    </row>
    <row r="1943" spans="1:7" x14ac:dyDescent="0.25">
      <c r="A1943" s="30">
        <v>1.3932176262387632</v>
      </c>
      <c r="B1943" s="30">
        <v>0</v>
      </c>
      <c r="C1943" s="30">
        <v>27.44</v>
      </c>
      <c r="G1943" s="18"/>
    </row>
    <row r="1944" spans="1:7" x14ac:dyDescent="0.25">
      <c r="A1944" s="30">
        <v>0.2985493571873159</v>
      </c>
      <c r="B1944" s="30">
        <v>0</v>
      </c>
      <c r="C1944" s="30">
        <v>27.44</v>
      </c>
      <c r="G1944" s="18"/>
    </row>
    <row r="1945" spans="1:7" x14ac:dyDescent="0.25">
      <c r="A1945" s="30">
        <v>4.555224488322196E-2</v>
      </c>
      <c r="B1945" s="30">
        <v>0</v>
      </c>
      <c r="C1945" s="30">
        <v>27.44</v>
      </c>
      <c r="G1945" s="18"/>
    </row>
    <row r="1946" spans="1:7" x14ac:dyDescent="0.25">
      <c r="A1946" s="30">
        <v>0.92523811670950606</v>
      </c>
      <c r="B1946" s="30">
        <v>0</v>
      </c>
      <c r="C1946" s="30">
        <v>27.44</v>
      </c>
      <c r="G1946" s="18"/>
    </row>
    <row r="1947" spans="1:7" x14ac:dyDescent="0.25">
      <c r="A1947" s="30">
        <v>0.12554922805140878</v>
      </c>
      <c r="B1947" s="30">
        <v>0</v>
      </c>
      <c r="C1947" s="30">
        <v>27.44</v>
      </c>
      <c r="G1947" s="18"/>
    </row>
    <row r="1948" spans="1:7" x14ac:dyDescent="0.25">
      <c r="A1948" s="30">
        <v>0.30391049678366827</v>
      </c>
      <c r="B1948" s="30">
        <v>0</v>
      </c>
      <c r="C1948" s="30">
        <v>27.44</v>
      </c>
      <c r="G1948" s="18"/>
    </row>
    <row r="1949" spans="1:7" x14ac:dyDescent="0.25">
      <c r="A1949" s="30">
        <v>1.3748601806365255</v>
      </c>
      <c r="B1949" s="30">
        <v>0</v>
      </c>
      <c r="C1949" s="30">
        <v>27.44</v>
      </c>
      <c r="G1949" s="18"/>
    </row>
    <row r="1950" spans="1:7" x14ac:dyDescent="0.25">
      <c r="A1950" s="30">
        <v>1.2748338886949435</v>
      </c>
      <c r="B1950" s="30">
        <v>0</v>
      </c>
      <c r="C1950" s="30">
        <v>27.44</v>
      </c>
      <c r="G1950" s="18"/>
    </row>
    <row r="1951" spans="1:7" x14ac:dyDescent="0.25">
      <c r="A1951" s="30">
        <v>0.3127005631655404</v>
      </c>
      <c r="B1951" s="30">
        <v>0</v>
      </c>
      <c r="C1951" s="30">
        <v>10.78</v>
      </c>
      <c r="G1951" s="18"/>
    </row>
    <row r="1952" spans="1:7" x14ac:dyDescent="0.25">
      <c r="A1952" s="30">
        <v>0.100328535602524</v>
      </c>
      <c r="B1952" s="30">
        <v>0</v>
      </c>
      <c r="C1952" s="30">
        <v>10.78</v>
      </c>
      <c r="G1952" s="18"/>
    </row>
    <row r="1953" spans="1:7" x14ac:dyDescent="0.25">
      <c r="A1953" s="30">
        <v>0.31986607412556795</v>
      </c>
      <c r="B1953" s="30">
        <v>0</v>
      </c>
      <c r="C1953" s="30">
        <v>10.78</v>
      </c>
      <c r="G1953" s="18"/>
    </row>
    <row r="1954" spans="1:7" x14ac:dyDescent="0.25">
      <c r="A1954" s="30">
        <v>0.9570880888661959</v>
      </c>
      <c r="B1954" s="30">
        <v>0</v>
      </c>
      <c r="C1954" s="30">
        <v>10.78</v>
      </c>
      <c r="G1954" s="18"/>
    </row>
    <row r="1955" spans="1:7" x14ac:dyDescent="0.25">
      <c r="A1955" s="30">
        <v>2.1848928731528683</v>
      </c>
      <c r="B1955" s="30">
        <v>0</v>
      </c>
      <c r="C1955" s="30">
        <v>10.78</v>
      </c>
      <c r="G1955" s="18"/>
    </row>
    <row r="1956" spans="1:7" x14ac:dyDescent="0.25">
      <c r="A1956" s="30">
        <v>0.3799116874304912</v>
      </c>
      <c r="B1956" s="30">
        <v>0</v>
      </c>
      <c r="C1956" s="30">
        <v>10.78</v>
      </c>
      <c r="G1956" s="18"/>
    </row>
    <row r="1957" spans="1:7" x14ac:dyDescent="0.25">
      <c r="A1957" s="30">
        <v>1.4264697944291003</v>
      </c>
      <c r="B1957" s="30">
        <v>0</v>
      </c>
      <c r="C1957" s="30">
        <v>10.78</v>
      </c>
      <c r="G1957" s="18"/>
    </row>
    <row r="1958" spans="1:7" x14ac:dyDescent="0.25">
      <c r="A1958" s="30">
        <v>0.86457892351221144</v>
      </c>
      <c r="B1958" s="30">
        <v>0</v>
      </c>
      <c r="C1958" s="30">
        <v>10.78</v>
      </c>
      <c r="G1958" s="18"/>
    </row>
    <row r="1959" spans="1:7" x14ac:dyDescent="0.25">
      <c r="A1959" s="30">
        <v>1.3430980281113007</v>
      </c>
      <c r="B1959" s="30">
        <v>0</v>
      </c>
      <c r="C1959" s="30">
        <v>10.78</v>
      </c>
      <c r="G1959" s="18"/>
    </row>
    <row r="1960" spans="1:7" x14ac:dyDescent="0.25">
      <c r="A1960" s="30">
        <v>6.1305140753005041E-2</v>
      </c>
      <c r="B1960" s="30">
        <v>0</v>
      </c>
      <c r="C1960" s="30">
        <v>10.78</v>
      </c>
      <c r="G1960" s="18"/>
    </row>
    <row r="1961" spans="1:7" x14ac:dyDescent="0.25">
      <c r="A1961" s="30">
        <v>1.8237162322809444</v>
      </c>
      <c r="B1961" s="30">
        <v>0</v>
      </c>
      <c r="C1961" s="30">
        <v>10.78</v>
      </c>
      <c r="G1961" s="18"/>
    </row>
    <row r="1962" spans="1:7" x14ac:dyDescent="0.25">
      <c r="A1962" s="30">
        <v>0.55341816798092514</v>
      </c>
      <c r="B1962" s="30">
        <v>0</v>
      </c>
      <c r="C1962" s="30">
        <v>10.78</v>
      </c>
      <c r="G1962" s="18"/>
    </row>
    <row r="1963" spans="1:7" x14ac:dyDescent="0.25">
      <c r="A1963" s="30">
        <v>0.48924294409116442</v>
      </c>
      <c r="B1963" s="30">
        <v>0</v>
      </c>
      <c r="C1963" s="30">
        <v>10.78</v>
      </c>
      <c r="G1963" s="18"/>
    </row>
    <row r="1964" spans="1:7" x14ac:dyDescent="0.25">
      <c r="A1964" s="30">
        <v>0.65912262732387583</v>
      </c>
      <c r="B1964" s="30">
        <v>0</v>
      </c>
      <c r="C1964" s="30">
        <v>10.78</v>
      </c>
      <c r="G1964" s="18"/>
    </row>
    <row r="1965" spans="1:7" x14ac:dyDescent="0.25">
      <c r="A1965" s="30">
        <v>1.1460829898836056</v>
      </c>
      <c r="B1965" s="30">
        <v>0</v>
      </c>
      <c r="C1965" s="30">
        <v>10.78</v>
      </c>
      <c r="G1965" s="18"/>
    </row>
    <row r="1966" spans="1:7" x14ac:dyDescent="0.25">
      <c r="A1966" s="30">
        <v>0.87763683900967104</v>
      </c>
      <c r="B1966" s="30">
        <v>0</v>
      </c>
      <c r="C1966" s="30">
        <v>10.78</v>
      </c>
      <c r="G1966" s="18"/>
    </row>
    <row r="1967" spans="1:7" x14ac:dyDescent="0.25">
      <c r="A1967" s="30">
        <v>1.3583278357457287</v>
      </c>
      <c r="B1967" s="30">
        <v>0</v>
      </c>
      <c r="C1967" s="30">
        <v>9.94</v>
      </c>
      <c r="G1967" s="18"/>
    </row>
    <row r="1968" spans="1:7" x14ac:dyDescent="0.25">
      <c r="A1968" s="30">
        <v>1.0756412824588713</v>
      </c>
      <c r="B1968" s="30">
        <v>0</v>
      </c>
      <c r="C1968" s="30">
        <v>9.94</v>
      </c>
      <c r="G1968" s="18"/>
    </row>
    <row r="1969" spans="1:7" x14ac:dyDescent="0.25">
      <c r="A1969" s="30">
        <v>2.3980271227550207</v>
      </c>
      <c r="B1969" s="30">
        <v>0</v>
      </c>
      <c r="C1969" s="30">
        <v>9.94</v>
      </c>
      <c r="G1969" s="18"/>
    </row>
    <row r="1970" spans="1:7" x14ac:dyDescent="0.25">
      <c r="A1970" s="30">
        <v>0.62280219102785872</v>
      </c>
      <c r="B1970" s="30">
        <v>0</v>
      </c>
      <c r="C1970" s="30">
        <v>9.94</v>
      </c>
      <c r="G1970" s="18"/>
    </row>
    <row r="1971" spans="1:7" x14ac:dyDescent="0.25">
      <c r="A1971" s="30">
        <v>0.36404357090155726</v>
      </c>
      <c r="B1971" s="30">
        <v>0</v>
      </c>
      <c r="C1971" s="30">
        <v>9.94</v>
      </c>
      <c r="G1971" s="18"/>
    </row>
    <row r="1972" spans="1:7" x14ac:dyDescent="0.25">
      <c r="A1972" s="30">
        <v>0.97169300078777798</v>
      </c>
      <c r="B1972" s="30">
        <v>0</v>
      </c>
      <c r="C1972" s="30">
        <v>9.94</v>
      </c>
      <c r="G1972" s="18"/>
    </row>
    <row r="1973" spans="1:7" x14ac:dyDescent="0.25">
      <c r="A1973" s="30">
        <v>1.5938142701682831</v>
      </c>
      <c r="B1973" s="30">
        <v>0</v>
      </c>
      <c r="C1973" s="30">
        <v>9.94</v>
      </c>
      <c r="G1973" s="18"/>
    </row>
    <row r="1974" spans="1:7" x14ac:dyDescent="0.25">
      <c r="A1974" s="30">
        <v>0.63825618660010996</v>
      </c>
      <c r="B1974" s="30">
        <v>0</v>
      </c>
      <c r="C1974" s="30">
        <v>9.94</v>
      </c>
      <c r="G1974" s="18"/>
    </row>
    <row r="1975" spans="1:7" x14ac:dyDescent="0.25">
      <c r="A1975" s="30">
        <v>1.0993852558768991</v>
      </c>
      <c r="B1975" s="30">
        <v>0</v>
      </c>
      <c r="C1975" s="30">
        <v>9.94</v>
      </c>
      <c r="G1975" s="18"/>
    </row>
    <row r="1976" spans="1:7" x14ac:dyDescent="0.25">
      <c r="A1976" s="30">
        <v>0.27612352827945069</v>
      </c>
      <c r="B1976" s="30">
        <v>0</v>
      </c>
      <c r="C1976" s="30">
        <v>9.94</v>
      </c>
      <c r="G1976" s="18"/>
    </row>
    <row r="1977" spans="1:7" x14ac:dyDescent="0.25">
      <c r="A1977" s="30">
        <v>2.0511067936989313E-2</v>
      </c>
      <c r="B1977" s="30">
        <v>0</v>
      </c>
      <c r="C1977" s="30">
        <v>9.94</v>
      </c>
      <c r="G1977" s="18"/>
    </row>
    <row r="1978" spans="1:7" x14ac:dyDescent="0.25">
      <c r="A1978" s="30">
        <v>1.1485802323283711</v>
      </c>
      <c r="B1978" s="30">
        <v>0</v>
      </c>
      <c r="C1978" s="30">
        <v>9.94</v>
      </c>
      <c r="G1978" s="18"/>
    </row>
    <row r="1979" spans="1:7" x14ac:dyDescent="0.25">
      <c r="A1979" s="30">
        <v>0.96685230082247298</v>
      </c>
      <c r="B1979" s="30">
        <v>0</v>
      </c>
      <c r="C1979" s="30">
        <v>9.94</v>
      </c>
      <c r="G1979" s="18"/>
    </row>
    <row r="1980" spans="1:7" x14ac:dyDescent="0.25">
      <c r="A1980" s="30">
        <v>0.5481183434902438</v>
      </c>
      <c r="B1980" s="30">
        <v>0</v>
      </c>
      <c r="C1980" s="30">
        <v>9.94</v>
      </c>
      <c r="G1980" s="18"/>
    </row>
    <row r="1981" spans="1:7" x14ac:dyDescent="0.25">
      <c r="A1981" s="30">
        <v>1.2803572036115649</v>
      </c>
      <c r="B1981" s="30">
        <v>0</v>
      </c>
      <c r="C1981" s="30">
        <v>9.94</v>
      </c>
      <c r="G1981" s="18"/>
    </row>
    <row r="1982" spans="1:7" x14ac:dyDescent="0.25">
      <c r="A1982" s="30">
        <v>1.0480323122910957</v>
      </c>
      <c r="B1982" s="30">
        <v>0</v>
      </c>
      <c r="C1982" s="30">
        <v>26.740000000000002</v>
      </c>
      <c r="G1982" s="18"/>
    </row>
    <row r="1983" spans="1:7" x14ac:dyDescent="0.25">
      <c r="A1983" s="30">
        <v>1.3445220016169777</v>
      </c>
      <c r="B1983" s="30">
        <v>0</v>
      </c>
      <c r="C1983" s="30">
        <v>26.740000000000002</v>
      </c>
      <c r="G1983" s="18"/>
    </row>
    <row r="1984" spans="1:7" x14ac:dyDescent="0.25">
      <c r="A1984" s="30">
        <v>0.56407648402312627</v>
      </c>
      <c r="B1984" s="30">
        <v>0</v>
      </c>
      <c r="C1984" s="30">
        <v>26.740000000000002</v>
      </c>
      <c r="G1984" s="18"/>
    </row>
    <row r="1985" spans="1:7" x14ac:dyDescent="0.25">
      <c r="A1985" s="30">
        <v>0.93856815393004689</v>
      </c>
      <c r="B1985" s="30">
        <v>0</v>
      </c>
      <c r="C1985" s="30">
        <v>26.740000000000002</v>
      </c>
      <c r="G1985" s="18"/>
    </row>
    <row r="1986" spans="1:7" x14ac:dyDescent="0.25">
      <c r="A1986" s="30">
        <v>0.83978414819351921</v>
      </c>
      <c r="B1986" s="30">
        <v>0</v>
      </c>
      <c r="C1986" s="30">
        <v>26.740000000000002</v>
      </c>
      <c r="G1986" s="18"/>
    </row>
    <row r="1987" spans="1:7" x14ac:dyDescent="0.25">
      <c r="A1987" s="30">
        <v>1.2976703036598307</v>
      </c>
      <c r="B1987" s="30">
        <v>0</v>
      </c>
      <c r="C1987" s="30">
        <v>26.740000000000002</v>
      </c>
      <c r="G1987" s="18"/>
    </row>
    <row r="1988" spans="1:7" x14ac:dyDescent="0.25">
      <c r="A1988" s="30">
        <v>0.32583387564757799</v>
      </c>
      <c r="B1988" s="30">
        <v>0</v>
      </c>
      <c r="C1988" s="30">
        <v>26.740000000000002</v>
      </c>
      <c r="G1988" s="18"/>
    </row>
    <row r="1989" spans="1:7" x14ac:dyDescent="0.25">
      <c r="A1989" s="30">
        <v>1.282331637297947</v>
      </c>
      <c r="B1989" s="30">
        <v>0</v>
      </c>
      <c r="C1989" s="30">
        <v>26.740000000000002</v>
      </c>
      <c r="G1989" s="18"/>
    </row>
    <row r="1990" spans="1:7" x14ac:dyDescent="0.25">
      <c r="A1990" s="30">
        <v>0.20334241863904151</v>
      </c>
      <c r="B1990" s="30">
        <v>0</v>
      </c>
      <c r="C1990" s="30">
        <v>26.740000000000002</v>
      </c>
      <c r="G1990" s="18"/>
    </row>
    <row r="1991" spans="1:7" x14ac:dyDescent="0.25">
      <c r="A1991" s="30">
        <v>2.1623928759752085</v>
      </c>
      <c r="B1991" s="30">
        <v>0</v>
      </c>
      <c r="C1991" s="30">
        <v>26.740000000000002</v>
      </c>
      <c r="G1991" s="18"/>
    </row>
    <row r="1992" spans="1:7" x14ac:dyDescent="0.25">
      <c r="A1992" s="30">
        <v>1.1799376295365409</v>
      </c>
      <c r="B1992" s="30">
        <v>0</v>
      </c>
      <c r="C1992" s="30">
        <v>26.740000000000002</v>
      </c>
      <c r="G1992" s="18"/>
    </row>
    <row r="1993" spans="1:7" x14ac:dyDescent="0.25">
      <c r="A1993" s="30">
        <v>0.22656174984067085</v>
      </c>
      <c r="B1993" s="30">
        <v>0</v>
      </c>
      <c r="C1993" s="30">
        <v>26.740000000000002</v>
      </c>
      <c r="G1993" s="18"/>
    </row>
    <row r="1994" spans="1:7" x14ac:dyDescent="0.25">
      <c r="A1994" s="30">
        <v>1.3483997060156463</v>
      </c>
      <c r="B1994" s="30">
        <v>0</v>
      </c>
      <c r="C1994" s="30">
        <v>26.740000000000002</v>
      </c>
      <c r="G1994" s="18"/>
    </row>
    <row r="1995" spans="1:7" x14ac:dyDescent="0.25">
      <c r="A1995" s="30">
        <v>0.6547518075799863</v>
      </c>
      <c r="B1995" s="30">
        <v>0</v>
      </c>
      <c r="C1995" s="30">
        <v>26.740000000000002</v>
      </c>
      <c r="G1995" s="18"/>
    </row>
    <row r="1996" spans="1:7" x14ac:dyDescent="0.25">
      <c r="A1996" s="30">
        <v>1.1613996254587668</v>
      </c>
      <c r="B1996" s="30">
        <v>0</v>
      </c>
      <c r="C1996" s="30">
        <v>26.740000000000002</v>
      </c>
      <c r="G1996" s="18"/>
    </row>
    <row r="1997" spans="1:7" x14ac:dyDescent="0.25">
      <c r="A1997" s="30">
        <v>1.4096596916562532</v>
      </c>
      <c r="B1997" s="30">
        <v>0</v>
      </c>
      <c r="C1997" s="30">
        <v>26.740000000000002</v>
      </c>
      <c r="G1997" s="18"/>
    </row>
    <row r="1998" spans="1:7" x14ac:dyDescent="0.25">
      <c r="A1998" s="30">
        <v>0.86091742413630978</v>
      </c>
      <c r="B1998" s="30">
        <v>0</v>
      </c>
      <c r="C1998" s="30">
        <v>20.439999999999998</v>
      </c>
      <c r="G1998" s="18"/>
    </row>
    <row r="1999" spans="1:7" x14ac:dyDescent="0.25">
      <c r="A1999" s="30">
        <v>1.8270770714460682</v>
      </c>
      <c r="B1999" s="30">
        <v>0</v>
      </c>
      <c r="C1999" s="30">
        <v>20.439999999999998</v>
      </c>
      <c r="G1999" s="18"/>
    </row>
    <row r="2000" spans="1:7" x14ac:dyDescent="0.25">
      <c r="A2000" s="30">
        <v>0.10583242017280683</v>
      </c>
      <c r="B2000" s="30">
        <v>0</v>
      </c>
      <c r="C2000" s="30">
        <v>20.439999999999998</v>
      </c>
      <c r="G2000" s="18"/>
    </row>
    <row r="2001" spans="1:7" x14ac:dyDescent="0.25">
      <c r="A2001" s="30">
        <v>1.2382246325458746</v>
      </c>
      <c r="B2001" s="30">
        <v>0</v>
      </c>
      <c r="C2001" s="30">
        <v>20.439999999999998</v>
      </c>
      <c r="G2001" s="18"/>
    </row>
    <row r="2002" spans="1:7" x14ac:dyDescent="0.25">
      <c r="A2002" s="30">
        <v>1.3073833785805067</v>
      </c>
      <c r="B2002" s="30">
        <v>0</v>
      </c>
      <c r="C2002" s="30">
        <v>20.439999999999998</v>
      </c>
      <c r="G2002" s="18"/>
    </row>
    <row r="2003" spans="1:7" x14ac:dyDescent="0.25">
      <c r="A2003" s="30">
        <v>1.2169923207601194</v>
      </c>
      <c r="B2003" s="30">
        <v>0</v>
      </c>
      <c r="C2003" s="30">
        <v>20.439999999999998</v>
      </c>
      <c r="G2003" s="18"/>
    </row>
    <row r="2004" spans="1:7" x14ac:dyDescent="0.25">
      <c r="A2004" s="30">
        <v>0.28582628282368444</v>
      </c>
      <c r="B2004" s="30">
        <v>0</v>
      </c>
      <c r="C2004" s="30">
        <v>20.439999999999998</v>
      </c>
      <c r="G2004" s="18"/>
    </row>
    <row r="2005" spans="1:7" x14ac:dyDescent="0.25">
      <c r="A2005" s="30">
        <v>1.0131132163633683</v>
      </c>
      <c r="B2005" s="30">
        <v>0</v>
      </c>
      <c r="C2005" s="30">
        <v>20.439999999999998</v>
      </c>
      <c r="G2005" s="18"/>
    </row>
    <row r="2006" spans="1:7" x14ac:dyDescent="0.25">
      <c r="A2006" s="30">
        <v>0.36744171871939424</v>
      </c>
      <c r="B2006" s="30">
        <v>0</v>
      </c>
      <c r="C2006" s="30">
        <v>20.439999999999998</v>
      </c>
      <c r="G2006" s="18"/>
    </row>
    <row r="2007" spans="1:7" x14ac:dyDescent="0.25">
      <c r="A2007" s="30">
        <v>1.8048823628907313</v>
      </c>
      <c r="B2007" s="30">
        <v>0</v>
      </c>
      <c r="C2007" s="30">
        <v>20.439999999999998</v>
      </c>
      <c r="G2007" s="18"/>
    </row>
    <row r="2008" spans="1:7" x14ac:dyDescent="0.25">
      <c r="A2008" s="30">
        <v>0.96628001701542865</v>
      </c>
      <c r="B2008" s="30">
        <v>0</v>
      </c>
      <c r="C2008" s="30">
        <v>20.439999999999998</v>
      </c>
      <c r="G2008" s="18"/>
    </row>
    <row r="2009" spans="1:7" x14ac:dyDescent="0.25">
      <c r="A2009" s="30">
        <v>1.6924592330318702</v>
      </c>
      <c r="B2009" s="30">
        <v>0</v>
      </c>
      <c r="C2009" s="30">
        <v>20.439999999999998</v>
      </c>
      <c r="G2009" s="18"/>
    </row>
    <row r="2010" spans="1:7" x14ac:dyDescent="0.25">
      <c r="A2010" s="30">
        <v>1.0005883127170581</v>
      </c>
      <c r="B2010" s="30">
        <v>0</v>
      </c>
      <c r="C2010" s="30">
        <v>20.439999999999998</v>
      </c>
      <c r="G2010" s="18"/>
    </row>
    <row r="2011" spans="1:7" x14ac:dyDescent="0.25">
      <c r="A2011" s="30">
        <v>2.1908352956350861</v>
      </c>
      <c r="B2011" s="30">
        <v>0</v>
      </c>
      <c r="C2011" s="30">
        <v>20.439999999999998</v>
      </c>
      <c r="G2011" s="18"/>
    </row>
    <row r="2012" spans="1:7" x14ac:dyDescent="0.25">
      <c r="A2012" s="30">
        <v>0.30686153560245638</v>
      </c>
      <c r="B2012" s="30">
        <v>0</v>
      </c>
      <c r="C2012" s="30">
        <v>20.439999999999998</v>
      </c>
      <c r="G2012" s="18"/>
    </row>
    <row r="2013" spans="1:7" x14ac:dyDescent="0.25">
      <c r="A2013" s="30">
        <v>0.96545646683821607</v>
      </c>
      <c r="B2013" s="30">
        <v>0</v>
      </c>
      <c r="C2013" s="30">
        <v>20.439999999999998</v>
      </c>
      <c r="G2013" s="18"/>
    </row>
    <row r="2014" spans="1:7" x14ac:dyDescent="0.25">
      <c r="A2014" s="30">
        <v>1.1093344326960275</v>
      </c>
      <c r="B2014" s="30">
        <v>0</v>
      </c>
      <c r="C2014" s="30">
        <v>20.439999999999998</v>
      </c>
      <c r="G2014" s="18"/>
    </row>
    <row r="2015" spans="1:7" x14ac:dyDescent="0.25">
      <c r="A2015" s="30">
        <v>1.4708919112582977</v>
      </c>
      <c r="B2015" s="30">
        <v>0</v>
      </c>
      <c r="C2015" s="30">
        <v>14.559999999999999</v>
      </c>
      <c r="G2015" s="18"/>
    </row>
    <row r="2016" spans="1:7" x14ac:dyDescent="0.25">
      <c r="A2016" s="30">
        <v>1.2418670657075253</v>
      </c>
      <c r="B2016" s="30">
        <v>0</v>
      </c>
      <c r="C2016" s="30">
        <v>14.559999999999999</v>
      </c>
      <c r="G2016" s="18"/>
    </row>
    <row r="2017" spans="1:7" x14ac:dyDescent="0.25">
      <c r="A2017" s="30">
        <v>1.7777686927019176</v>
      </c>
      <c r="B2017" s="30">
        <v>0</v>
      </c>
      <c r="C2017" s="30">
        <v>14.559999999999999</v>
      </c>
      <c r="G2017" s="18"/>
    </row>
    <row r="2018" spans="1:7" x14ac:dyDescent="0.25">
      <c r="A2018" s="30">
        <v>1.0240265530026096</v>
      </c>
      <c r="B2018" s="30">
        <v>0</v>
      </c>
      <c r="C2018" s="30">
        <v>14.559999999999999</v>
      </c>
      <c r="G2018" s="18"/>
    </row>
    <row r="2019" spans="1:7" x14ac:dyDescent="0.25">
      <c r="A2019" s="30">
        <v>1.8082466368281573</v>
      </c>
      <c r="B2019" s="30">
        <v>0</v>
      </c>
      <c r="C2019" s="30">
        <v>14.559999999999999</v>
      </c>
      <c r="G2019" s="18"/>
    </row>
    <row r="2020" spans="1:7" x14ac:dyDescent="0.25">
      <c r="A2020" s="30">
        <v>1.1222837970827886</v>
      </c>
      <c r="B2020" s="30">
        <v>0</v>
      </c>
      <c r="C2020" s="30">
        <v>14.559999999999999</v>
      </c>
      <c r="G2020" s="18"/>
    </row>
    <row r="2021" spans="1:7" x14ac:dyDescent="0.25">
      <c r="A2021" s="30">
        <v>2.3135252290602821</v>
      </c>
      <c r="B2021" s="30">
        <v>0</v>
      </c>
      <c r="C2021" s="30">
        <v>14.559999999999999</v>
      </c>
      <c r="G2021" s="18"/>
    </row>
    <row r="2022" spans="1:7" x14ac:dyDescent="0.25">
      <c r="A2022" s="30">
        <v>0.34973613092332023</v>
      </c>
      <c r="B2022" s="30">
        <v>0</v>
      </c>
      <c r="C2022" s="30">
        <v>14.559999999999999</v>
      </c>
      <c r="G2022" s="18"/>
    </row>
    <row r="2023" spans="1:7" x14ac:dyDescent="0.25">
      <c r="A2023" s="30">
        <v>1.2375852146002653</v>
      </c>
      <c r="B2023" s="30">
        <v>0</v>
      </c>
      <c r="C2023" s="30">
        <v>14.559999999999999</v>
      </c>
      <c r="G2023" s="18"/>
    </row>
    <row r="2024" spans="1:7" x14ac:dyDescent="0.25">
      <c r="A2024" s="30">
        <v>1.0741306339936361</v>
      </c>
      <c r="B2024" s="30">
        <v>0</v>
      </c>
      <c r="C2024" s="30">
        <v>14.559999999999999</v>
      </c>
      <c r="G2024" s="18"/>
    </row>
    <row r="2025" spans="1:7" x14ac:dyDescent="0.25">
      <c r="A2025" s="30">
        <v>2.0028580964752409</v>
      </c>
      <c r="B2025" s="30">
        <v>0</v>
      </c>
      <c r="C2025" s="30">
        <v>14.559999999999999</v>
      </c>
      <c r="G2025" s="18"/>
    </row>
    <row r="2026" spans="1:7" x14ac:dyDescent="0.25">
      <c r="A2026" s="30">
        <v>0.42666925075716922</v>
      </c>
      <c r="B2026" s="30">
        <v>0</v>
      </c>
      <c r="C2026" s="30">
        <v>14.559999999999999</v>
      </c>
      <c r="G2026" s="18"/>
    </row>
    <row r="2027" spans="1:7" x14ac:dyDescent="0.25">
      <c r="A2027" s="30">
        <v>0.93569422181693374</v>
      </c>
      <c r="B2027" s="30">
        <v>0</v>
      </c>
      <c r="C2027" s="30">
        <v>14.559999999999999</v>
      </c>
      <c r="G2027" s="18"/>
    </row>
    <row r="2028" spans="1:7" x14ac:dyDescent="0.25">
      <c r="A2028" s="30">
        <v>0.15424860485575037</v>
      </c>
      <c r="B2028" s="30">
        <v>0</v>
      </c>
      <c r="C2028" s="30">
        <v>14.559999999999999</v>
      </c>
      <c r="G2028" s="18"/>
    </row>
    <row r="2029" spans="1:7" x14ac:dyDescent="0.25">
      <c r="A2029" s="30">
        <v>2.3771202324684721</v>
      </c>
      <c r="B2029" s="30">
        <v>0</v>
      </c>
      <c r="C2029" s="30">
        <v>14.559999999999999</v>
      </c>
      <c r="G2029" s="18"/>
    </row>
    <row r="2030" spans="1:7" x14ac:dyDescent="0.25">
      <c r="A2030" s="30">
        <v>1.2060697917748595</v>
      </c>
      <c r="B2030" s="30">
        <v>0</v>
      </c>
      <c r="C2030" s="30">
        <v>14.559999999999999</v>
      </c>
      <c r="G2030" s="18"/>
    </row>
    <row r="2031" spans="1:7" x14ac:dyDescent="0.25">
      <c r="A2031" s="30">
        <v>1.708311639556122</v>
      </c>
      <c r="B2031" s="30">
        <v>0</v>
      </c>
      <c r="C2031" s="30">
        <v>19.32</v>
      </c>
      <c r="G2031" s="18"/>
    </row>
    <row r="2032" spans="1:7" x14ac:dyDescent="0.25">
      <c r="A2032" s="30">
        <v>0.33956950750180953</v>
      </c>
      <c r="B2032" s="30">
        <v>0</v>
      </c>
      <c r="C2032" s="30">
        <v>19.32</v>
      </c>
      <c r="G2032" s="18"/>
    </row>
    <row r="2033" spans="1:7" x14ac:dyDescent="0.25">
      <c r="A2033" s="30">
        <v>1.2212860705247688</v>
      </c>
      <c r="B2033" s="30">
        <v>0</v>
      </c>
      <c r="C2033" s="30">
        <v>19.32</v>
      </c>
      <c r="G2033" s="18"/>
    </row>
    <row r="2034" spans="1:7" x14ac:dyDescent="0.25">
      <c r="A2034" s="30">
        <v>0.96463214041372214</v>
      </c>
      <c r="B2034" s="30">
        <v>0</v>
      </c>
      <c r="C2034" s="30">
        <v>19.32</v>
      </c>
      <c r="G2034" s="18"/>
    </row>
    <row r="2035" spans="1:7" x14ac:dyDescent="0.25">
      <c r="A2035" s="30">
        <v>1.1901567693094962E-2</v>
      </c>
      <c r="B2035" s="30">
        <v>0</v>
      </c>
      <c r="C2035" s="30">
        <v>19.32</v>
      </c>
      <c r="G2035" s="18"/>
    </row>
    <row r="2036" spans="1:7" x14ac:dyDescent="0.25">
      <c r="A2036" s="30">
        <v>9.2316898850696612E-3</v>
      </c>
      <c r="B2036" s="30">
        <v>0</v>
      </c>
      <c r="C2036" s="30">
        <v>19.32</v>
      </c>
      <c r="G2036" s="18"/>
    </row>
    <row r="2037" spans="1:7" x14ac:dyDescent="0.25">
      <c r="A2037" s="30">
        <v>1.7980851768157311</v>
      </c>
      <c r="B2037" s="30">
        <v>0</v>
      </c>
      <c r="C2037" s="30">
        <v>19.32</v>
      </c>
      <c r="G2037" s="18"/>
    </row>
    <row r="2038" spans="1:7" x14ac:dyDescent="0.25">
      <c r="A2038" s="30">
        <v>0.81338295120939219</v>
      </c>
      <c r="B2038" s="30">
        <v>0</v>
      </c>
      <c r="C2038" s="30">
        <v>19.32</v>
      </c>
      <c r="G2038" s="18"/>
    </row>
    <row r="2039" spans="1:7" x14ac:dyDescent="0.25">
      <c r="A2039" s="30">
        <v>0.89959262233990889</v>
      </c>
      <c r="B2039" s="30">
        <v>0</v>
      </c>
      <c r="C2039" s="30">
        <v>19.32</v>
      </c>
      <c r="G2039" s="18"/>
    </row>
    <row r="2040" spans="1:7" x14ac:dyDescent="0.25">
      <c r="A2040" s="30">
        <v>0.36907074773277915</v>
      </c>
      <c r="B2040" s="30">
        <v>0</v>
      </c>
      <c r="C2040" s="30">
        <v>19.32</v>
      </c>
      <c r="G2040" s="18"/>
    </row>
    <row r="2041" spans="1:7" x14ac:dyDescent="0.25">
      <c r="A2041" s="30">
        <v>0.14241772886105872</v>
      </c>
      <c r="B2041" s="30">
        <v>0</v>
      </c>
      <c r="C2041" s="30">
        <v>19.32</v>
      </c>
      <c r="G2041" s="18"/>
    </row>
    <row r="2042" spans="1:7" x14ac:dyDescent="0.25">
      <c r="A2042" s="30">
        <v>3.3793539133294172E-2</v>
      </c>
      <c r="B2042" s="30">
        <v>0</v>
      </c>
      <c r="C2042" s="30">
        <v>19.32</v>
      </c>
      <c r="G2042" s="18"/>
    </row>
    <row r="2043" spans="1:7" x14ac:dyDescent="0.25">
      <c r="A2043" s="30">
        <v>1.7489380528730574</v>
      </c>
      <c r="B2043" s="30">
        <v>0</v>
      </c>
      <c r="C2043" s="30">
        <v>19.32</v>
      </c>
      <c r="G2043" s="18"/>
    </row>
    <row r="2044" spans="1:7" x14ac:dyDescent="0.25">
      <c r="A2044" s="30">
        <v>0.83443183815648181</v>
      </c>
      <c r="B2044" s="30">
        <v>0</v>
      </c>
      <c r="C2044" s="30">
        <v>19.32</v>
      </c>
      <c r="G2044" s="18"/>
    </row>
    <row r="2045" spans="1:7" x14ac:dyDescent="0.25">
      <c r="A2045" s="30">
        <v>1.2170067585598185</v>
      </c>
      <c r="B2045" s="30">
        <v>0</v>
      </c>
      <c r="C2045" s="30">
        <v>19.32</v>
      </c>
      <c r="G2045" s="18"/>
    </row>
    <row r="2046" spans="1:7" x14ac:dyDescent="0.25">
      <c r="A2046" s="30">
        <v>0.41009957711739153</v>
      </c>
      <c r="B2046" s="30">
        <v>0</v>
      </c>
      <c r="C2046" s="30">
        <v>19.32</v>
      </c>
      <c r="G2046" s="18"/>
    </row>
    <row r="2047" spans="1:7" x14ac:dyDescent="0.25">
      <c r="A2047" s="30">
        <v>1.2726060967518127</v>
      </c>
      <c r="B2047" s="30">
        <v>0</v>
      </c>
      <c r="C2047" s="30">
        <v>19.32</v>
      </c>
      <c r="G2047" s="18"/>
    </row>
    <row r="2048" spans="1:7" x14ac:dyDescent="0.25">
      <c r="A2048" s="30">
        <v>1.0368221530200035</v>
      </c>
      <c r="B2048" s="30">
        <v>0</v>
      </c>
      <c r="C2048" s="30">
        <v>24.919999999999998</v>
      </c>
      <c r="G2048" s="18"/>
    </row>
    <row r="2049" spans="1:7" x14ac:dyDescent="0.25">
      <c r="A2049" s="30">
        <v>2.2126791191064892</v>
      </c>
      <c r="B2049" s="30">
        <v>0</v>
      </c>
      <c r="C2049" s="30">
        <v>24.919999999999998</v>
      </c>
      <c r="G2049" s="18"/>
    </row>
    <row r="2050" spans="1:7" x14ac:dyDescent="0.25">
      <c r="A2050" s="30">
        <v>0.75999509421770806</v>
      </c>
      <c r="B2050" s="30">
        <v>0</v>
      </c>
      <c r="C2050" s="30">
        <v>24.919999999999998</v>
      </c>
      <c r="G2050" s="18"/>
    </row>
    <row r="2051" spans="1:7" x14ac:dyDescent="0.25">
      <c r="A2051" s="30">
        <v>0.94656040844208644</v>
      </c>
      <c r="B2051" s="30">
        <v>0</v>
      </c>
      <c r="C2051" s="30">
        <v>24.919999999999998</v>
      </c>
      <c r="G2051" s="18"/>
    </row>
    <row r="2052" spans="1:7" x14ac:dyDescent="0.25">
      <c r="A2052" s="30">
        <v>0.3809032655131796</v>
      </c>
      <c r="B2052" s="30">
        <v>0</v>
      </c>
      <c r="C2052" s="30">
        <v>24.919999999999998</v>
      </c>
      <c r="G2052" s="18"/>
    </row>
    <row r="2053" spans="1:7" x14ac:dyDescent="0.25">
      <c r="A2053" s="30">
        <v>1.3022885429358593</v>
      </c>
      <c r="B2053" s="30">
        <v>0</v>
      </c>
      <c r="C2053" s="30">
        <v>24.919999999999998</v>
      </c>
      <c r="G2053" s="18"/>
    </row>
    <row r="2054" spans="1:7" x14ac:dyDescent="0.25">
      <c r="A2054" s="30">
        <v>0.61268828393681074</v>
      </c>
      <c r="B2054" s="30">
        <v>0</v>
      </c>
      <c r="C2054" s="30">
        <v>24.919999999999998</v>
      </c>
      <c r="G2054" s="18"/>
    </row>
    <row r="2055" spans="1:7" x14ac:dyDescent="0.25">
      <c r="A2055" s="30">
        <v>0.37627532242760431</v>
      </c>
      <c r="B2055" s="30">
        <v>0</v>
      </c>
      <c r="C2055" s="30">
        <v>24.919999999999998</v>
      </c>
      <c r="G2055" s="18"/>
    </row>
    <row r="2056" spans="1:7" x14ac:dyDescent="0.25">
      <c r="A2056" s="30">
        <v>1.0886037160613238</v>
      </c>
      <c r="B2056" s="30">
        <v>0</v>
      </c>
      <c r="C2056" s="30">
        <v>24.919999999999998</v>
      </c>
      <c r="G2056" s="18"/>
    </row>
    <row r="2057" spans="1:7" x14ac:dyDescent="0.25">
      <c r="A2057" s="30">
        <v>0.37659062523760201</v>
      </c>
      <c r="B2057" s="30">
        <v>0</v>
      </c>
      <c r="C2057" s="30">
        <v>24.919999999999998</v>
      </c>
      <c r="G2057" s="18"/>
    </row>
    <row r="2058" spans="1:7" x14ac:dyDescent="0.25">
      <c r="A2058" s="30">
        <v>0.83548822546470913</v>
      </c>
      <c r="B2058" s="30">
        <v>0</v>
      </c>
      <c r="C2058" s="30">
        <v>24.919999999999998</v>
      </c>
      <c r="G2058" s="18"/>
    </row>
    <row r="2059" spans="1:7" x14ac:dyDescent="0.25">
      <c r="A2059" s="30">
        <v>1.6187162512935434</v>
      </c>
      <c r="B2059" s="30">
        <v>0</v>
      </c>
      <c r="C2059" s="30">
        <v>24.919999999999998</v>
      </c>
      <c r="G2059" s="18"/>
    </row>
    <row r="2060" spans="1:7" x14ac:dyDescent="0.25">
      <c r="A2060" s="30">
        <v>0.95244175186781277</v>
      </c>
      <c r="B2060" s="30">
        <v>0</v>
      </c>
      <c r="C2060" s="30">
        <v>24.919999999999998</v>
      </c>
      <c r="G2060" s="18"/>
    </row>
    <row r="2061" spans="1:7" x14ac:dyDescent="0.25">
      <c r="A2061" s="30">
        <v>1.6719830451190039</v>
      </c>
      <c r="B2061" s="30">
        <v>0</v>
      </c>
      <c r="C2061" s="30">
        <v>24.919999999999998</v>
      </c>
      <c r="G2061" s="18"/>
    </row>
    <row r="2062" spans="1:7" x14ac:dyDescent="0.25">
      <c r="A2062" s="30">
        <v>0.15547344304098348</v>
      </c>
      <c r="B2062" s="30">
        <v>0</v>
      </c>
      <c r="C2062" s="30">
        <v>24.919999999999998</v>
      </c>
      <c r="G2062" s="18"/>
    </row>
    <row r="2063" spans="1:7" x14ac:dyDescent="0.25">
      <c r="A2063" s="30">
        <v>0.99445913676434439</v>
      </c>
      <c r="B2063" s="30">
        <v>0</v>
      </c>
      <c r="C2063" s="30">
        <v>24.919999999999998</v>
      </c>
      <c r="G2063" s="18"/>
    </row>
    <row r="2064" spans="1:7" x14ac:dyDescent="0.25">
      <c r="A2064" s="30">
        <v>0.65210742760398921</v>
      </c>
      <c r="B2064" s="30">
        <v>0</v>
      </c>
      <c r="C2064" s="30">
        <v>24.919999999999998</v>
      </c>
      <c r="G2064" s="18"/>
    </row>
    <row r="2065" spans="1:7" x14ac:dyDescent="0.25">
      <c r="A2065" s="30">
        <v>1.3516177196138501</v>
      </c>
      <c r="B2065" s="30">
        <v>0</v>
      </c>
      <c r="C2065" s="30">
        <v>11.479999999999999</v>
      </c>
      <c r="G2065" s="18"/>
    </row>
    <row r="2066" spans="1:7" x14ac:dyDescent="0.25">
      <c r="A2066" s="30">
        <v>0.43369277045091692</v>
      </c>
      <c r="B2066" s="30">
        <v>0</v>
      </c>
      <c r="C2066" s="30">
        <v>11.479999999999999</v>
      </c>
      <c r="G2066" s="18"/>
    </row>
    <row r="2067" spans="1:7" x14ac:dyDescent="0.25">
      <c r="A2067" s="30">
        <v>2.3443634787797278</v>
      </c>
      <c r="B2067" s="30">
        <v>0</v>
      </c>
      <c r="C2067" s="30">
        <v>11.479999999999999</v>
      </c>
      <c r="G2067" s="18"/>
    </row>
    <row r="2068" spans="1:7" x14ac:dyDescent="0.25">
      <c r="A2068" s="30">
        <v>1.1470191871989772</v>
      </c>
      <c r="B2068" s="30">
        <v>0</v>
      </c>
      <c r="C2068" s="30">
        <v>11.479999999999999</v>
      </c>
      <c r="G2068" s="18"/>
    </row>
    <row r="2069" spans="1:7" x14ac:dyDescent="0.25">
      <c r="A2069" s="30">
        <v>1.4965579720935787</v>
      </c>
      <c r="B2069" s="30">
        <v>0</v>
      </c>
      <c r="C2069" s="30">
        <v>11.479999999999999</v>
      </c>
      <c r="G2069" s="18"/>
    </row>
    <row r="2070" spans="1:7" x14ac:dyDescent="0.25">
      <c r="A2070" s="30">
        <v>1.2465803601993373</v>
      </c>
      <c r="B2070" s="30">
        <v>0</v>
      </c>
      <c r="C2070" s="30">
        <v>11.479999999999999</v>
      </c>
      <c r="G2070" s="18"/>
    </row>
    <row r="2071" spans="1:7" x14ac:dyDescent="0.25">
      <c r="A2071" s="30">
        <v>0.42098097776129367</v>
      </c>
      <c r="B2071" s="30">
        <v>0</v>
      </c>
      <c r="C2071" s="30">
        <v>11.479999999999999</v>
      </c>
      <c r="G2071" s="18"/>
    </row>
    <row r="2072" spans="1:7" x14ac:dyDescent="0.25">
      <c r="A2072" s="30">
        <v>0.12876190605195231</v>
      </c>
      <c r="B2072" s="30">
        <v>0</v>
      </c>
      <c r="C2072" s="30">
        <v>11.479999999999999</v>
      </c>
      <c r="G2072" s="18"/>
    </row>
    <row r="2073" spans="1:7" x14ac:dyDescent="0.25">
      <c r="A2073" s="30">
        <v>1.4127028841763254</v>
      </c>
      <c r="B2073" s="30">
        <v>0</v>
      </c>
      <c r="C2073" s="30">
        <v>11.479999999999999</v>
      </c>
      <c r="G2073" s="18"/>
    </row>
    <row r="2074" spans="1:7" x14ac:dyDescent="0.25">
      <c r="A2074" s="30">
        <v>0.68803737322001868</v>
      </c>
      <c r="B2074" s="30">
        <v>0</v>
      </c>
      <c r="C2074" s="30">
        <v>11.479999999999999</v>
      </c>
      <c r="G2074" s="18"/>
    </row>
    <row r="2075" spans="1:7" x14ac:dyDescent="0.25">
      <c r="A2075" s="30">
        <v>1.4496644821050904</v>
      </c>
      <c r="B2075" s="30">
        <v>0</v>
      </c>
      <c r="C2075" s="30">
        <v>11.479999999999999</v>
      </c>
      <c r="G2075" s="18"/>
    </row>
    <row r="2076" spans="1:7" x14ac:dyDescent="0.25">
      <c r="A2076" s="30">
        <v>0.24468566913638159</v>
      </c>
      <c r="B2076" s="30">
        <v>0</v>
      </c>
      <c r="C2076" s="30">
        <v>11.479999999999999</v>
      </c>
      <c r="G2076" s="18"/>
    </row>
    <row r="2077" spans="1:7" x14ac:dyDescent="0.25">
      <c r="A2077" s="30">
        <v>1.8698678338885522</v>
      </c>
      <c r="B2077" s="30">
        <v>0</v>
      </c>
      <c r="C2077" s="30">
        <v>11.479999999999999</v>
      </c>
      <c r="G2077" s="18"/>
    </row>
    <row r="2078" spans="1:7" x14ac:dyDescent="0.25">
      <c r="A2078" s="30">
        <v>0.19505242676289414</v>
      </c>
      <c r="B2078" s="30">
        <v>0</v>
      </c>
      <c r="C2078" s="30">
        <v>11.479999999999999</v>
      </c>
      <c r="G2078" s="18"/>
    </row>
    <row r="2079" spans="1:7" x14ac:dyDescent="0.25">
      <c r="A2079" s="30">
        <v>3.3740306705529924E-2</v>
      </c>
      <c r="B2079" s="30">
        <v>0</v>
      </c>
      <c r="C2079" s="30">
        <v>11.479999999999999</v>
      </c>
      <c r="G2079" s="18"/>
    </row>
    <row r="2080" spans="1:7" x14ac:dyDescent="0.25">
      <c r="A2080" s="30">
        <v>0.52250484044025725</v>
      </c>
      <c r="B2080" s="30">
        <v>0</v>
      </c>
      <c r="C2080" s="30">
        <v>11.479999999999999</v>
      </c>
      <c r="G2080" s="18"/>
    </row>
    <row r="2081" spans="1:7" x14ac:dyDescent="0.25">
      <c r="A2081" s="30">
        <v>1.8690254679945908</v>
      </c>
      <c r="B2081" s="30">
        <v>0</v>
      </c>
      <c r="C2081" s="30">
        <v>11.479999999999999</v>
      </c>
      <c r="G2081" s="18"/>
    </row>
    <row r="2082" spans="1:7" x14ac:dyDescent="0.25">
      <c r="A2082" s="30">
        <v>0.31106428381716467</v>
      </c>
      <c r="B2082" s="30">
        <v>0</v>
      </c>
      <c r="C2082" s="30">
        <v>18.2</v>
      </c>
      <c r="G2082" s="18"/>
    </row>
    <row r="2083" spans="1:7" x14ac:dyDescent="0.25">
      <c r="A2083" s="30">
        <v>1.45094748911952</v>
      </c>
      <c r="B2083" s="30">
        <v>0</v>
      </c>
      <c r="C2083" s="30">
        <v>18.2</v>
      </c>
      <c r="G2083" s="18"/>
    </row>
    <row r="2084" spans="1:7" x14ac:dyDescent="0.25">
      <c r="A2084" s="30">
        <v>0.99842170559093046</v>
      </c>
      <c r="B2084" s="30">
        <v>0</v>
      </c>
      <c r="C2084" s="30">
        <v>18.2</v>
      </c>
      <c r="G2084" s="18"/>
    </row>
    <row r="2085" spans="1:7" x14ac:dyDescent="0.25">
      <c r="A2085" s="30">
        <v>0.74047381568434312</v>
      </c>
      <c r="B2085" s="30">
        <v>0</v>
      </c>
      <c r="C2085" s="30">
        <v>18.2</v>
      </c>
      <c r="G2085" s="18"/>
    </row>
    <row r="2086" spans="1:7" x14ac:dyDescent="0.25">
      <c r="A2086" s="30">
        <v>1.3651540728155169</v>
      </c>
      <c r="B2086" s="30">
        <v>0</v>
      </c>
      <c r="C2086" s="30">
        <v>18.2</v>
      </c>
      <c r="G2086" s="18"/>
    </row>
    <row r="2087" spans="1:7" x14ac:dyDescent="0.25">
      <c r="A2087" s="30">
        <v>2.1728090761443077</v>
      </c>
      <c r="B2087" s="30">
        <v>0</v>
      </c>
      <c r="C2087" s="30">
        <v>18.2</v>
      </c>
      <c r="G2087" s="18"/>
    </row>
    <row r="2088" spans="1:7" x14ac:dyDescent="0.25">
      <c r="A2088" s="30">
        <v>1.340017016903577</v>
      </c>
      <c r="B2088" s="30">
        <v>0</v>
      </c>
      <c r="C2088" s="30">
        <v>18.2</v>
      </c>
      <c r="G2088" s="18"/>
    </row>
    <row r="2089" spans="1:7" x14ac:dyDescent="0.25">
      <c r="A2089" s="30">
        <v>1.3990500087319138</v>
      </c>
      <c r="B2089" s="30">
        <v>0</v>
      </c>
      <c r="C2089" s="30">
        <v>18.2</v>
      </c>
      <c r="G2089" s="18"/>
    </row>
    <row r="2090" spans="1:7" x14ac:dyDescent="0.25">
      <c r="A2090" s="30">
        <v>1.2282776843908114</v>
      </c>
      <c r="B2090" s="30">
        <v>0</v>
      </c>
      <c r="C2090" s="30">
        <v>18.2</v>
      </c>
      <c r="G2090" s="18"/>
    </row>
    <row r="2091" spans="1:7" x14ac:dyDescent="0.25">
      <c r="A2091" s="30">
        <v>2.0044318038380764</v>
      </c>
      <c r="B2091" s="30">
        <v>0</v>
      </c>
      <c r="C2091" s="30">
        <v>18.2</v>
      </c>
      <c r="G2091" s="18"/>
    </row>
    <row r="2092" spans="1:7" x14ac:dyDescent="0.25">
      <c r="A2092" s="30">
        <v>1.3148691422532228</v>
      </c>
      <c r="B2092" s="30">
        <v>0</v>
      </c>
      <c r="C2092" s="30">
        <v>18.2</v>
      </c>
      <c r="G2092" s="18"/>
    </row>
    <row r="2093" spans="1:7" x14ac:dyDescent="0.25">
      <c r="A2093" s="30">
        <v>0.68247384990080473</v>
      </c>
      <c r="B2093" s="30">
        <v>0</v>
      </c>
      <c r="C2093" s="30">
        <v>18.2</v>
      </c>
      <c r="G2093" s="18"/>
    </row>
    <row r="2094" spans="1:7" x14ac:dyDescent="0.25">
      <c r="A2094" s="30">
        <v>1.3693299812559119</v>
      </c>
      <c r="B2094" s="30">
        <v>0</v>
      </c>
      <c r="C2094" s="30">
        <v>18.2</v>
      </c>
      <c r="G2094" s="18"/>
    </row>
    <row r="2095" spans="1:7" x14ac:dyDescent="0.25">
      <c r="A2095" s="30">
        <v>1.4119672328551285</v>
      </c>
      <c r="B2095" s="30">
        <v>0</v>
      </c>
      <c r="C2095" s="30">
        <v>18.2</v>
      </c>
      <c r="G2095" s="18"/>
    </row>
    <row r="2096" spans="1:7" x14ac:dyDescent="0.25">
      <c r="A2096" s="30">
        <v>1.2683746779613598</v>
      </c>
      <c r="B2096" s="30">
        <v>0</v>
      </c>
      <c r="C2096" s="30">
        <v>18.2</v>
      </c>
      <c r="G2096" s="18"/>
    </row>
    <row r="2097" spans="1:7" x14ac:dyDescent="0.25">
      <c r="A2097" s="30">
        <v>0.22522305352432176</v>
      </c>
      <c r="B2097" s="30">
        <v>0</v>
      </c>
      <c r="C2097" s="30">
        <v>18.2</v>
      </c>
      <c r="G2097" s="18"/>
    </row>
    <row r="2098" spans="1:7" x14ac:dyDescent="0.25">
      <c r="A2098" s="30">
        <v>1.2849240106631465</v>
      </c>
      <c r="B2098" s="30">
        <v>0</v>
      </c>
      <c r="C2098" s="30">
        <v>18.2</v>
      </c>
      <c r="G2098" s="18"/>
    </row>
    <row r="2099" spans="1:7" x14ac:dyDescent="0.25">
      <c r="A2099" s="30">
        <v>1.8300076553006552</v>
      </c>
      <c r="B2099" s="30">
        <v>0</v>
      </c>
      <c r="C2099" s="30">
        <v>46.339999999999996</v>
      </c>
      <c r="G2099" s="18"/>
    </row>
    <row r="2100" spans="1:7" x14ac:dyDescent="0.25">
      <c r="A2100" s="30">
        <v>1.2687159237777932</v>
      </c>
      <c r="B2100" s="30">
        <v>0</v>
      </c>
      <c r="C2100" s="30">
        <v>46.339999999999996</v>
      </c>
      <c r="G2100" s="18"/>
    </row>
    <row r="2101" spans="1:7" x14ac:dyDescent="0.25">
      <c r="A2101" s="30">
        <v>4.1559341117763451E-2</v>
      </c>
      <c r="B2101" s="30">
        <v>0</v>
      </c>
      <c r="C2101" s="30">
        <v>46.339999999999996</v>
      </c>
      <c r="G2101" s="18"/>
    </row>
    <row r="2102" spans="1:7" x14ac:dyDescent="0.25">
      <c r="A2102" s="30">
        <v>0.4785970844056755</v>
      </c>
      <c r="B2102" s="30">
        <v>0</v>
      </c>
      <c r="C2102" s="30">
        <v>46.339999999999996</v>
      </c>
      <c r="G2102" s="18"/>
    </row>
    <row r="2103" spans="1:7" x14ac:dyDescent="0.25">
      <c r="A2103" s="30">
        <v>0.4081885959047642</v>
      </c>
      <c r="B2103" s="30">
        <v>0</v>
      </c>
      <c r="C2103" s="30">
        <v>46.339999999999996</v>
      </c>
      <c r="G2103" s="18"/>
    </row>
    <row r="2104" spans="1:7" x14ac:dyDescent="0.25">
      <c r="A2104" s="30">
        <v>1.1424833800311593</v>
      </c>
      <c r="B2104" s="30">
        <v>0</v>
      </c>
      <c r="C2104" s="30">
        <v>46.339999999999996</v>
      </c>
      <c r="G2104" s="18"/>
    </row>
    <row r="2105" spans="1:7" x14ac:dyDescent="0.25">
      <c r="A2105" s="30">
        <v>2.0795348199822712</v>
      </c>
      <c r="B2105" s="30">
        <v>0</v>
      </c>
      <c r="C2105" s="30">
        <v>46.339999999999996</v>
      </c>
      <c r="G2105" s="18"/>
    </row>
    <row r="2106" spans="1:7" x14ac:dyDescent="0.25">
      <c r="A2106" s="30">
        <v>0.28422925930246051</v>
      </c>
      <c r="B2106" s="30">
        <v>0</v>
      </c>
      <c r="C2106" s="30">
        <v>46.339999999999996</v>
      </c>
      <c r="G2106" s="18"/>
    </row>
    <row r="2107" spans="1:7" x14ac:dyDescent="0.25">
      <c r="A2107" s="30">
        <v>0.81850318736520755</v>
      </c>
      <c r="B2107" s="30">
        <v>0</v>
      </c>
      <c r="C2107" s="30">
        <v>46.339999999999996</v>
      </c>
      <c r="G2107" s="18"/>
    </row>
    <row r="2108" spans="1:7" x14ac:dyDescent="0.25">
      <c r="A2108" s="30">
        <v>0.9642185041256488</v>
      </c>
      <c r="B2108" s="30">
        <v>0</v>
      </c>
      <c r="C2108" s="30">
        <v>46.339999999999996</v>
      </c>
      <c r="G2108" s="18"/>
    </row>
    <row r="2109" spans="1:7" x14ac:dyDescent="0.25">
      <c r="A2109" s="30">
        <v>1.2919786057822154</v>
      </c>
      <c r="B2109" s="30">
        <v>0</v>
      </c>
      <c r="C2109" s="30">
        <v>46.339999999999996</v>
      </c>
      <c r="G2109" s="18"/>
    </row>
    <row r="2110" spans="1:7" x14ac:dyDescent="0.25">
      <c r="A2110" s="30">
        <v>0.94343629118928618</v>
      </c>
      <c r="B2110" s="30">
        <v>0</v>
      </c>
      <c r="C2110" s="30">
        <v>46.339999999999996</v>
      </c>
      <c r="G2110" s="18"/>
    </row>
    <row r="2111" spans="1:7" x14ac:dyDescent="0.25">
      <c r="A2111" s="30">
        <v>1.1151614924161262</v>
      </c>
      <c r="B2111" s="30">
        <v>0</v>
      </c>
      <c r="C2111" s="30">
        <v>46.339999999999996</v>
      </c>
      <c r="G2111" s="18"/>
    </row>
    <row r="2112" spans="1:7" x14ac:dyDescent="0.25">
      <c r="A2112" s="30">
        <v>8.2024200627694749E-2</v>
      </c>
      <c r="B2112" s="30">
        <v>0</v>
      </c>
      <c r="C2112" s="30">
        <v>46.339999999999996</v>
      </c>
      <c r="G2112" s="18"/>
    </row>
    <row r="2113" spans="1:7" x14ac:dyDescent="0.25">
      <c r="A2113" s="30">
        <v>2.2606396689278236</v>
      </c>
      <c r="B2113" s="30">
        <v>0</v>
      </c>
      <c r="C2113" s="30">
        <v>46.339999999999996</v>
      </c>
      <c r="G2113" s="18"/>
    </row>
    <row r="2114" spans="1:7" x14ac:dyDescent="0.25">
      <c r="A2114" s="30">
        <v>0.71590696595808734</v>
      </c>
      <c r="B2114" s="30">
        <v>0</v>
      </c>
      <c r="C2114" s="30">
        <v>46.339999999999996</v>
      </c>
      <c r="G2114" s="18"/>
    </row>
    <row r="2115" spans="1:7" x14ac:dyDescent="0.25">
      <c r="A2115" s="30">
        <v>1.0788002568576354</v>
      </c>
      <c r="B2115" s="30">
        <v>0</v>
      </c>
      <c r="C2115" s="30">
        <v>46.339999999999996</v>
      </c>
      <c r="G2115" s="18"/>
    </row>
    <row r="2116" spans="1:7" x14ac:dyDescent="0.25">
      <c r="A2116" s="30">
        <v>0.31029571563612252</v>
      </c>
      <c r="B2116" s="30">
        <v>0</v>
      </c>
      <c r="C2116" s="30">
        <v>25.059999999999995</v>
      </c>
      <c r="G2116" s="18"/>
    </row>
    <row r="2117" spans="1:7" x14ac:dyDescent="0.25">
      <c r="A2117" s="30">
        <v>0.28968847400487496</v>
      </c>
      <c r="B2117" s="30">
        <v>0</v>
      </c>
      <c r="C2117" s="30">
        <v>25.059999999999995</v>
      </c>
      <c r="G2117" s="18"/>
    </row>
    <row r="2118" spans="1:7" x14ac:dyDescent="0.25">
      <c r="A2118" s="30">
        <v>0.77164337366842628</v>
      </c>
      <c r="B2118" s="30">
        <v>0</v>
      </c>
      <c r="C2118" s="30">
        <v>25.059999999999995</v>
      </c>
      <c r="G2118" s="18"/>
    </row>
    <row r="2119" spans="1:7" x14ac:dyDescent="0.25">
      <c r="A2119" s="30">
        <v>1.6196442276184357</v>
      </c>
      <c r="B2119" s="30">
        <v>0</v>
      </c>
      <c r="C2119" s="30">
        <v>25.059999999999995</v>
      </c>
      <c r="G2119" s="18"/>
    </row>
    <row r="2120" spans="1:7" x14ac:dyDescent="0.25">
      <c r="A2120" s="30">
        <v>0.65458697478982031</v>
      </c>
      <c r="B2120" s="30">
        <v>0</v>
      </c>
      <c r="C2120" s="30">
        <v>25.059999999999995</v>
      </c>
      <c r="G2120" s="18"/>
    </row>
    <row r="2121" spans="1:7" x14ac:dyDescent="0.25">
      <c r="A2121" s="30">
        <v>0.58733633523211159</v>
      </c>
      <c r="B2121" s="30">
        <v>0</v>
      </c>
      <c r="C2121" s="30">
        <v>25.059999999999995</v>
      </c>
      <c r="G2121" s="18"/>
    </row>
    <row r="2122" spans="1:7" x14ac:dyDescent="0.25">
      <c r="A2122" s="30">
        <v>1.2283897818928939</v>
      </c>
      <c r="B2122" s="30">
        <v>0</v>
      </c>
      <c r="C2122" s="30">
        <v>25.059999999999995</v>
      </c>
      <c r="G2122" s="18"/>
    </row>
    <row r="2123" spans="1:7" x14ac:dyDescent="0.25">
      <c r="A2123" s="30">
        <v>0.75198811278430855</v>
      </c>
      <c r="B2123" s="30">
        <v>0</v>
      </c>
      <c r="C2123" s="30">
        <v>25.059999999999995</v>
      </c>
      <c r="G2123" s="18"/>
    </row>
    <row r="2124" spans="1:7" x14ac:dyDescent="0.25">
      <c r="A2124" s="30">
        <v>1.3076273890624464</v>
      </c>
      <c r="B2124" s="30">
        <v>0</v>
      </c>
      <c r="C2124" s="30">
        <v>25.059999999999995</v>
      </c>
      <c r="G2124" s="18"/>
    </row>
    <row r="2125" spans="1:7" x14ac:dyDescent="0.25">
      <c r="A2125" s="30">
        <v>1.3464347335700755</v>
      </c>
      <c r="B2125" s="30">
        <v>0</v>
      </c>
      <c r="C2125" s="30">
        <v>25.059999999999995</v>
      </c>
      <c r="G2125" s="18"/>
    </row>
    <row r="2126" spans="1:7" x14ac:dyDescent="0.25">
      <c r="A2126" s="30">
        <v>0.27367912897909702</v>
      </c>
      <c r="B2126" s="30">
        <v>0</v>
      </c>
      <c r="C2126" s="30">
        <v>25.059999999999995</v>
      </c>
      <c r="G2126" s="18"/>
    </row>
    <row r="2127" spans="1:7" x14ac:dyDescent="0.25">
      <c r="A2127" s="30">
        <v>2.3958602178142301</v>
      </c>
      <c r="B2127" s="30">
        <v>0</v>
      </c>
      <c r="C2127" s="30">
        <v>25.059999999999995</v>
      </c>
      <c r="G2127" s="18"/>
    </row>
    <row r="2128" spans="1:7" x14ac:dyDescent="0.25">
      <c r="A2128" s="30">
        <v>1.2358157161576857</v>
      </c>
      <c r="B2128" s="30">
        <v>0</v>
      </c>
      <c r="C2128" s="30">
        <v>25.059999999999995</v>
      </c>
      <c r="G2128" s="18"/>
    </row>
    <row r="2129" spans="1:7" x14ac:dyDescent="0.25">
      <c r="A2129" s="30">
        <v>0.27008996698225507</v>
      </c>
      <c r="B2129" s="30">
        <v>0</v>
      </c>
      <c r="C2129" s="30">
        <v>25.059999999999995</v>
      </c>
      <c r="G2129" s="18"/>
    </row>
    <row r="2130" spans="1:7" x14ac:dyDescent="0.25">
      <c r="A2130" s="30">
        <v>1.2096546656155269</v>
      </c>
      <c r="B2130" s="30">
        <v>0</v>
      </c>
      <c r="C2130" s="30">
        <v>25.059999999999995</v>
      </c>
      <c r="G2130" s="18"/>
    </row>
    <row r="2131" spans="1:7" x14ac:dyDescent="0.25">
      <c r="A2131" s="30">
        <v>0.49764244633644472</v>
      </c>
      <c r="B2131" s="30">
        <v>0</v>
      </c>
      <c r="C2131" s="30">
        <v>25.059999999999995</v>
      </c>
      <c r="G2131" s="18"/>
    </row>
    <row r="2132" spans="1:7" x14ac:dyDescent="0.25">
      <c r="A2132" s="30">
        <v>1.3377279350672486</v>
      </c>
      <c r="B2132" s="30">
        <v>0</v>
      </c>
      <c r="C2132" s="30">
        <v>15.54</v>
      </c>
      <c r="G2132" s="18"/>
    </row>
    <row r="2133" spans="1:7" x14ac:dyDescent="0.25">
      <c r="A2133" s="30">
        <v>1.4158432249644877</v>
      </c>
      <c r="B2133" s="30">
        <v>0</v>
      </c>
      <c r="C2133" s="30">
        <v>15.54</v>
      </c>
      <c r="G2133" s="18"/>
    </row>
    <row r="2134" spans="1:7" x14ac:dyDescent="0.25">
      <c r="A2134" s="30">
        <v>0.10584904697538904</v>
      </c>
      <c r="B2134" s="30">
        <v>0</v>
      </c>
      <c r="C2134" s="30">
        <v>15.54</v>
      </c>
      <c r="G2134" s="18"/>
    </row>
    <row r="2135" spans="1:7" x14ac:dyDescent="0.25">
      <c r="A2135" s="30">
        <v>1.9305129404618466</v>
      </c>
      <c r="B2135" s="30">
        <v>0</v>
      </c>
      <c r="C2135" s="30">
        <v>15.54</v>
      </c>
      <c r="G2135" s="18"/>
    </row>
    <row r="2136" spans="1:7" x14ac:dyDescent="0.25">
      <c r="A2136" s="30">
        <v>1.1606542738865682</v>
      </c>
      <c r="B2136" s="30">
        <v>0</v>
      </c>
      <c r="C2136" s="30">
        <v>15.54</v>
      </c>
      <c r="G2136" s="18"/>
    </row>
    <row r="2137" spans="1:7" x14ac:dyDescent="0.25">
      <c r="A2137" s="30">
        <v>0.63568813877760255</v>
      </c>
      <c r="B2137" s="30">
        <v>0</v>
      </c>
      <c r="C2137" s="30">
        <v>15.54</v>
      </c>
      <c r="G2137" s="18"/>
    </row>
    <row r="2138" spans="1:7" x14ac:dyDescent="0.25">
      <c r="A2138" s="30">
        <v>1.3659887272128475</v>
      </c>
      <c r="B2138" s="30">
        <v>0</v>
      </c>
      <c r="C2138" s="30">
        <v>15.54</v>
      </c>
      <c r="G2138" s="18"/>
    </row>
    <row r="2139" spans="1:7" x14ac:dyDescent="0.25">
      <c r="A2139" s="30">
        <v>0.92906581041309644</v>
      </c>
      <c r="B2139" s="30">
        <v>0</v>
      </c>
      <c r="C2139" s="30">
        <v>15.54</v>
      </c>
      <c r="G2139" s="18"/>
    </row>
    <row r="2140" spans="1:7" x14ac:dyDescent="0.25">
      <c r="A2140" s="30">
        <v>0.50072283052965827</v>
      </c>
      <c r="B2140" s="30">
        <v>0</v>
      </c>
      <c r="C2140" s="30">
        <v>15.54</v>
      </c>
      <c r="G2140" s="18"/>
    </row>
    <row r="2141" spans="1:7" x14ac:dyDescent="0.25">
      <c r="A2141" s="30">
        <v>0.35616737916288016</v>
      </c>
      <c r="B2141" s="30">
        <v>0</v>
      </c>
      <c r="C2141" s="30">
        <v>15.54</v>
      </c>
      <c r="G2141" s="18"/>
    </row>
    <row r="2142" spans="1:7" x14ac:dyDescent="0.25">
      <c r="A2142" s="30">
        <v>0.3143884290959062</v>
      </c>
      <c r="B2142" s="30">
        <v>0</v>
      </c>
      <c r="C2142" s="30">
        <v>15.54</v>
      </c>
      <c r="G2142" s="18"/>
    </row>
    <row r="2143" spans="1:7" x14ac:dyDescent="0.25">
      <c r="A2143" s="30">
        <v>0.92109639344879057</v>
      </c>
      <c r="B2143" s="30">
        <v>0</v>
      </c>
      <c r="C2143" s="30">
        <v>15.54</v>
      </c>
      <c r="G2143" s="18"/>
    </row>
    <row r="2144" spans="1:7" x14ac:dyDescent="0.25">
      <c r="A2144" s="30">
        <v>3.9842535345049092E-2</v>
      </c>
      <c r="B2144" s="30">
        <v>0</v>
      </c>
      <c r="C2144" s="30">
        <v>15.54</v>
      </c>
      <c r="G2144" s="18"/>
    </row>
    <row r="2145" spans="1:7" x14ac:dyDescent="0.25">
      <c r="A2145" s="30">
        <v>0.32345582011651636</v>
      </c>
      <c r="B2145" s="30">
        <v>0</v>
      </c>
      <c r="C2145" s="30">
        <v>15.54</v>
      </c>
      <c r="G2145" s="18"/>
    </row>
    <row r="2146" spans="1:7" x14ac:dyDescent="0.25">
      <c r="A2146" s="30">
        <v>0.19747708919122972</v>
      </c>
      <c r="B2146" s="30">
        <v>0</v>
      </c>
      <c r="C2146" s="30">
        <v>15.54</v>
      </c>
      <c r="G2146" s="18"/>
    </row>
    <row r="2147" spans="1:7" x14ac:dyDescent="0.25">
      <c r="A2147" s="30">
        <v>1.7190382697266766</v>
      </c>
      <c r="B2147" s="30">
        <v>0</v>
      </c>
      <c r="C2147" s="30">
        <v>15.54</v>
      </c>
      <c r="G2147" s="18"/>
    </row>
    <row r="2148" spans="1:7" x14ac:dyDescent="0.25">
      <c r="A2148" s="30">
        <v>1.2816777191031237</v>
      </c>
      <c r="B2148" s="30">
        <v>0</v>
      </c>
      <c r="C2148" s="30">
        <v>11.479999999999999</v>
      </c>
      <c r="G2148" s="18"/>
    </row>
    <row r="2149" spans="1:7" x14ac:dyDescent="0.25">
      <c r="A2149" s="30">
        <v>2.3677444604250599</v>
      </c>
      <c r="B2149" s="30">
        <v>0</v>
      </c>
      <c r="C2149" s="30">
        <v>11.479999999999999</v>
      </c>
      <c r="G2149" s="18"/>
    </row>
    <row r="2150" spans="1:7" x14ac:dyDescent="0.25">
      <c r="A2150" s="30">
        <v>1.2906029729606261</v>
      </c>
      <c r="B2150" s="30">
        <v>0</v>
      </c>
      <c r="C2150" s="30">
        <v>11.479999999999999</v>
      </c>
      <c r="G2150" s="18"/>
    </row>
    <row r="2151" spans="1:7" x14ac:dyDescent="0.25">
      <c r="A2151" s="30">
        <v>0.38712002791266287</v>
      </c>
      <c r="B2151" s="30">
        <v>0</v>
      </c>
      <c r="C2151" s="30">
        <v>11.479999999999999</v>
      </c>
      <c r="G2151" s="18"/>
    </row>
    <row r="2152" spans="1:7" x14ac:dyDescent="0.25">
      <c r="A2152" s="30">
        <v>1.1160182324912153</v>
      </c>
      <c r="B2152" s="30">
        <v>0</v>
      </c>
      <c r="C2152" s="30">
        <v>11.479999999999999</v>
      </c>
      <c r="G2152" s="18"/>
    </row>
    <row r="2153" spans="1:7" x14ac:dyDescent="0.25">
      <c r="A2153" s="30">
        <v>1.3151198197730456</v>
      </c>
      <c r="B2153" s="30">
        <v>0</v>
      </c>
      <c r="C2153" s="30">
        <v>11.479999999999999</v>
      </c>
      <c r="G2153" s="18"/>
    </row>
    <row r="2154" spans="1:7" x14ac:dyDescent="0.25">
      <c r="A2154" s="30">
        <v>9.5347049274119258E-2</v>
      </c>
      <c r="B2154" s="30">
        <v>0</v>
      </c>
      <c r="C2154" s="30">
        <v>11.479999999999999</v>
      </c>
      <c r="G2154" s="18"/>
    </row>
    <row r="2155" spans="1:7" x14ac:dyDescent="0.25">
      <c r="A2155" s="30">
        <v>1.7528540177598142</v>
      </c>
      <c r="B2155" s="30">
        <v>0</v>
      </c>
      <c r="C2155" s="30">
        <v>11.479999999999999</v>
      </c>
      <c r="G2155" s="18"/>
    </row>
    <row r="2156" spans="1:7" x14ac:dyDescent="0.25">
      <c r="A2156" s="30">
        <v>0.81383884770247672</v>
      </c>
      <c r="B2156" s="30">
        <v>0</v>
      </c>
      <c r="C2156" s="30">
        <v>11.479999999999999</v>
      </c>
      <c r="G2156" s="18"/>
    </row>
    <row r="2157" spans="1:7" x14ac:dyDescent="0.25">
      <c r="A2157" s="30">
        <v>1.5335462035938936</v>
      </c>
      <c r="B2157" s="30">
        <v>0</v>
      </c>
      <c r="C2157" s="30">
        <v>11.479999999999999</v>
      </c>
      <c r="G2157" s="18"/>
    </row>
    <row r="2158" spans="1:7" x14ac:dyDescent="0.25">
      <c r="A2158" s="30">
        <v>0.24589822436375361</v>
      </c>
      <c r="B2158" s="30">
        <v>0</v>
      </c>
      <c r="C2158" s="30">
        <v>11.479999999999999</v>
      </c>
      <c r="G2158" s="18"/>
    </row>
    <row r="2159" spans="1:7" x14ac:dyDescent="0.25">
      <c r="A2159" s="30">
        <v>1.3362216762159247</v>
      </c>
      <c r="B2159" s="30">
        <v>0</v>
      </c>
      <c r="C2159" s="30">
        <v>11.479999999999999</v>
      </c>
      <c r="G2159" s="18"/>
    </row>
    <row r="2160" spans="1:7" x14ac:dyDescent="0.25">
      <c r="A2160" s="30">
        <v>0.89281200544902162</v>
      </c>
      <c r="B2160" s="30">
        <v>0</v>
      </c>
      <c r="C2160" s="30">
        <v>11.479999999999999</v>
      </c>
      <c r="G2160" s="18"/>
    </row>
    <row r="2161" spans="1:7" x14ac:dyDescent="0.25">
      <c r="A2161" s="30">
        <v>0.97735985434573536</v>
      </c>
      <c r="B2161" s="30">
        <v>0</v>
      </c>
      <c r="C2161" s="30">
        <v>11.479999999999999</v>
      </c>
      <c r="G2161" s="18"/>
    </row>
    <row r="2162" spans="1:7" x14ac:dyDescent="0.25">
      <c r="A2162" s="30">
        <v>0.37884912629485479</v>
      </c>
      <c r="B2162" s="30">
        <v>0</v>
      </c>
      <c r="C2162" s="30">
        <v>11.479999999999999</v>
      </c>
      <c r="G2162" s="18"/>
    </row>
    <row r="2163" spans="1:7" x14ac:dyDescent="0.25">
      <c r="A2163" s="30">
        <v>1.5807287894504873</v>
      </c>
      <c r="B2163" s="30">
        <v>0</v>
      </c>
      <c r="C2163" s="30">
        <v>11.479999999999999</v>
      </c>
      <c r="G2163" s="18"/>
    </row>
    <row r="2164" spans="1:7" x14ac:dyDescent="0.25">
      <c r="A2164" s="30">
        <v>0.61025619452055146</v>
      </c>
      <c r="B2164" s="30">
        <v>0</v>
      </c>
      <c r="C2164" s="30">
        <v>11.479999999999999</v>
      </c>
      <c r="G2164" s="18"/>
    </row>
    <row r="2165" spans="1:7" x14ac:dyDescent="0.25">
      <c r="A2165" s="30">
        <v>2.3027718081386572</v>
      </c>
      <c r="B2165" s="30">
        <v>0</v>
      </c>
      <c r="C2165" s="30">
        <v>21.56</v>
      </c>
      <c r="G2165" s="18"/>
    </row>
    <row r="2166" spans="1:7" x14ac:dyDescent="0.25">
      <c r="A2166" s="30">
        <v>1.2895879284253697</v>
      </c>
      <c r="B2166" s="30">
        <v>0</v>
      </c>
      <c r="C2166" s="30">
        <v>21.56</v>
      </c>
      <c r="G2166" s="18"/>
    </row>
    <row r="2167" spans="1:7" x14ac:dyDescent="0.25">
      <c r="A2167" s="30">
        <v>1.2787697928815913</v>
      </c>
      <c r="B2167" s="30">
        <v>0</v>
      </c>
      <c r="C2167" s="30">
        <v>21.56</v>
      </c>
      <c r="G2167" s="18"/>
    </row>
    <row r="2168" spans="1:7" x14ac:dyDescent="0.25">
      <c r="A2168" s="30">
        <v>0.68086812506433658</v>
      </c>
      <c r="B2168" s="30">
        <v>0</v>
      </c>
      <c r="C2168" s="30">
        <v>21.56</v>
      </c>
      <c r="G2168" s="18"/>
    </row>
    <row r="2169" spans="1:7" x14ac:dyDescent="0.25">
      <c r="A2169" s="30">
        <v>1.6363147399840106</v>
      </c>
      <c r="B2169" s="30">
        <v>0</v>
      </c>
      <c r="C2169" s="30">
        <v>21.56</v>
      </c>
      <c r="G2169" s="18"/>
    </row>
    <row r="2170" spans="1:7" x14ac:dyDescent="0.25">
      <c r="A2170" s="30">
        <v>0.70912919382687067</v>
      </c>
      <c r="B2170" s="30">
        <v>0</v>
      </c>
      <c r="C2170" s="30">
        <v>21.56</v>
      </c>
      <c r="G2170" s="18"/>
    </row>
    <row r="2171" spans="1:7" x14ac:dyDescent="0.25">
      <c r="A2171" s="30">
        <v>1.3116715141286259</v>
      </c>
      <c r="B2171" s="30">
        <v>0</v>
      </c>
      <c r="C2171" s="30">
        <v>21.56</v>
      </c>
      <c r="G2171" s="18"/>
    </row>
    <row r="2172" spans="1:7" x14ac:dyDescent="0.25">
      <c r="A2172" s="30">
        <v>3.2357512527348732E-2</v>
      </c>
      <c r="B2172" s="30">
        <v>0</v>
      </c>
      <c r="C2172" s="30">
        <v>21.56</v>
      </c>
      <c r="G2172" s="18"/>
    </row>
    <row r="2173" spans="1:7" x14ac:dyDescent="0.25">
      <c r="A2173" s="30">
        <v>2.0192506535662984</v>
      </c>
      <c r="B2173" s="30">
        <v>0</v>
      </c>
      <c r="C2173" s="30">
        <v>21.56</v>
      </c>
      <c r="G2173" s="18"/>
    </row>
    <row r="2174" spans="1:7" x14ac:dyDescent="0.25">
      <c r="A2174" s="30">
        <v>0.93901341558464857</v>
      </c>
      <c r="B2174" s="30">
        <v>0</v>
      </c>
      <c r="C2174" s="30">
        <v>21.56</v>
      </c>
      <c r="G2174" s="18"/>
    </row>
    <row r="2175" spans="1:7" x14ac:dyDescent="0.25">
      <c r="A2175" s="30">
        <v>0.48103814338350698</v>
      </c>
      <c r="B2175" s="30">
        <v>0</v>
      </c>
      <c r="C2175" s="30">
        <v>21.56</v>
      </c>
      <c r="G2175" s="18"/>
    </row>
    <row r="2176" spans="1:7" x14ac:dyDescent="0.25">
      <c r="A2176" s="30">
        <v>1.1968253435109646</v>
      </c>
      <c r="B2176" s="30">
        <v>0</v>
      </c>
      <c r="C2176" s="30">
        <v>21.56</v>
      </c>
      <c r="G2176" s="18"/>
    </row>
    <row r="2177" spans="1:7" x14ac:dyDescent="0.25">
      <c r="A2177" s="30">
        <v>7.0972285715315664E-2</v>
      </c>
      <c r="B2177" s="30">
        <v>0</v>
      </c>
      <c r="C2177" s="30">
        <v>21.56</v>
      </c>
      <c r="G2177" s="18"/>
    </row>
    <row r="2178" spans="1:7" x14ac:dyDescent="0.25">
      <c r="A2178" s="30">
        <v>1.3481979188015487</v>
      </c>
      <c r="B2178" s="30">
        <v>0</v>
      </c>
      <c r="C2178" s="30">
        <v>21.56</v>
      </c>
      <c r="G2178" s="18"/>
    </row>
    <row r="2179" spans="1:7" x14ac:dyDescent="0.25">
      <c r="A2179" s="30">
        <v>0.77544599224305388</v>
      </c>
      <c r="B2179" s="30">
        <v>0</v>
      </c>
      <c r="C2179" s="30">
        <v>21.56</v>
      </c>
      <c r="G2179" s="18"/>
    </row>
    <row r="2180" spans="1:7" x14ac:dyDescent="0.25">
      <c r="A2180" s="30">
        <v>0.30952371577721621</v>
      </c>
      <c r="B2180" s="30">
        <v>0</v>
      </c>
      <c r="C2180" s="30">
        <v>21.56</v>
      </c>
      <c r="G2180" s="18"/>
    </row>
    <row r="2181" spans="1:7" x14ac:dyDescent="0.25">
      <c r="A2181" s="30">
        <v>0.2173160323707882</v>
      </c>
      <c r="B2181" s="30">
        <v>0</v>
      </c>
      <c r="C2181" s="30">
        <v>21.84</v>
      </c>
      <c r="G2181" s="18"/>
    </row>
    <row r="2182" spans="1:7" x14ac:dyDescent="0.25">
      <c r="A2182" s="30">
        <v>0.141609444833076</v>
      </c>
      <c r="B2182" s="30">
        <v>0</v>
      </c>
      <c r="C2182" s="30">
        <v>21.84</v>
      </c>
      <c r="G2182" s="18"/>
    </row>
    <row r="2183" spans="1:7" x14ac:dyDescent="0.25">
      <c r="A2183" s="30">
        <v>1.5368660202654185</v>
      </c>
      <c r="B2183" s="30">
        <v>0</v>
      </c>
      <c r="C2183" s="30">
        <v>21.84</v>
      </c>
      <c r="G2183" s="18"/>
    </row>
    <row r="2184" spans="1:7" x14ac:dyDescent="0.25">
      <c r="A2184" s="30">
        <v>0.33338341231319779</v>
      </c>
      <c r="B2184" s="30">
        <v>0</v>
      </c>
      <c r="C2184" s="30">
        <v>21.84</v>
      </c>
      <c r="G2184" s="18"/>
    </row>
    <row r="2185" spans="1:7" x14ac:dyDescent="0.25">
      <c r="A2185" s="30">
        <v>2.2186039210595245</v>
      </c>
      <c r="B2185" s="30">
        <v>0</v>
      </c>
      <c r="C2185" s="30">
        <v>21.84</v>
      </c>
      <c r="G2185" s="18"/>
    </row>
    <row r="2186" spans="1:7" x14ac:dyDescent="0.25">
      <c r="A2186" s="30">
        <v>0.51387954935075786</v>
      </c>
      <c r="B2186" s="30">
        <v>0</v>
      </c>
      <c r="C2186" s="30">
        <v>21.84</v>
      </c>
      <c r="G2186" s="18"/>
    </row>
    <row r="2187" spans="1:7" x14ac:dyDescent="0.25">
      <c r="A2187" s="30">
        <v>0.20962631735640169</v>
      </c>
      <c r="B2187" s="30">
        <v>0</v>
      </c>
      <c r="C2187" s="30">
        <v>21.84</v>
      </c>
      <c r="G2187" s="18"/>
    </row>
    <row r="2188" spans="1:7" x14ac:dyDescent="0.25">
      <c r="A2188" s="30">
        <v>0.61524323715049556</v>
      </c>
      <c r="B2188" s="30">
        <v>0</v>
      </c>
      <c r="C2188" s="30">
        <v>21.84</v>
      </c>
      <c r="G2188" s="18"/>
    </row>
    <row r="2189" spans="1:7" x14ac:dyDescent="0.25">
      <c r="A2189" s="30">
        <v>0.43101062669506096</v>
      </c>
      <c r="B2189" s="30">
        <v>0</v>
      </c>
      <c r="C2189" s="30">
        <v>21.84</v>
      </c>
      <c r="G2189" s="18"/>
    </row>
    <row r="2190" spans="1:7" x14ac:dyDescent="0.25">
      <c r="A2190" s="30">
        <v>1.3518267463158575</v>
      </c>
      <c r="B2190" s="30">
        <v>0</v>
      </c>
      <c r="C2190" s="30">
        <v>21.84</v>
      </c>
      <c r="G2190" s="18"/>
    </row>
    <row r="2191" spans="1:7" x14ac:dyDescent="0.25">
      <c r="A2191" s="30">
        <v>1.4207098459970768</v>
      </c>
      <c r="B2191" s="30">
        <v>0</v>
      </c>
      <c r="C2191" s="30">
        <v>21.84</v>
      </c>
      <c r="G2191" s="18"/>
    </row>
    <row r="2192" spans="1:7" x14ac:dyDescent="0.25">
      <c r="A2192" s="30">
        <v>0.15194946306586346</v>
      </c>
      <c r="B2192" s="30">
        <v>0</v>
      </c>
      <c r="C2192" s="30">
        <v>21.84</v>
      </c>
      <c r="G2192" s="18"/>
    </row>
    <row r="2193" spans="1:7" x14ac:dyDescent="0.25">
      <c r="A2193" s="30">
        <v>1.1349341085966624</v>
      </c>
      <c r="B2193" s="30">
        <v>0</v>
      </c>
      <c r="C2193" s="30">
        <v>21.84</v>
      </c>
      <c r="G2193" s="18"/>
    </row>
    <row r="2194" spans="1:7" x14ac:dyDescent="0.25">
      <c r="A2194" s="30">
        <v>1.1932979872376128</v>
      </c>
      <c r="B2194" s="30">
        <v>0</v>
      </c>
      <c r="C2194" s="30">
        <v>21.84</v>
      </c>
      <c r="G2194" s="18"/>
    </row>
    <row r="2195" spans="1:7" x14ac:dyDescent="0.25">
      <c r="A2195" s="30">
        <v>1.8705953836888292</v>
      </c>
      <c r="B2195" s="30">
        <v>0</v>
      </c>
      <c r="C2195" s="30">
        <v>21.84</v>
      </c>
      <c r="G2195" s="18"/>
    </row>
    <row r="2196" spans="1:7" x14ac:dyDescent="0.25">
      <c r="A2196" s="30">
        <v>1.1596152250477574</v>
      </c>
      <c r="B2196" s="30">
        <v>0</v>
      </c>
      <c r="C2196" s="30">
        <v>21.84</v>
      </c>
      <c r="G2196" s="18"/>
    </row>
    <row r="2197" spans="1:7" x14ac:dyDescent="0.25">
      <c r="A2197" s="30">
        <v>1.3045580266290755</v>
      </c>
      <c r="B2197" s="30">
        <v>0</v>
      </c>
      <c r="C2197" s="30">
        <v>21.84</v>
      </c>
      <c r="G2197" s="18"/>
    </row>
    <row r="2198" spans="1:7" x14ac:dyDescent="0.25">
      <c r="A2198" s="30">
        <v>1.2630735652581548</v>
      </c>
      <c r="B2198" s="30">
        <v>0</v>
      </c>
      <c r="C2198" s="30">
        <v>10.36</v>
      </c>
      <c r="G2198" s="18"/>
    </row>
    <row r="2199" spans="1:7" x14ac:dyDescent="0.25">
      <c r="A2199" s="30">
        <v>0.49924195363007418</v>
      </c>
      <c r="B2199" s="30">
        <v>0</v>
      </c>
      <c r="C2199" s="30">
        <v>10.36</v>
      </c>
      <c r="G2199" s="18"/>
    </row>
    <row r="2200" spans="1:7" x14ac:dyDescent="0.25">
      <c r="A2200" s="30">
        <v>0.99788307547665522</v>
      </c>
      <c r="B2200" s="30">
        <v>0</v>
      </c>
      <c r="C2200" s="30">
        <v>10.36</v>
      </c>
      <c r="G2200" s="18"/>
    </row>
    <row r="2201" spans="1:7" x14ac:dyDescent="0.25">
      <c r="A2201" s="30">
        <v>2.0022062795995792</v>
      </c>
      <c r="B2201" s="30">
        <v>0</v>
      </c>
      <c r="C2201" s="30">
        <v>10.36</v>
      </c>
      <c r="G2201" s="18"/>
    </row>
    <row r="2202" spans="1:7" x14ac:dyDescent="0.25">
      <c r="A2202" s="30">
        <v>0.46122391622203718</v>
      </c>
      <c r="B2202" s="30">
        <v>0</v>
      </c>
      <c r="C2202" s="30">
        <v>10.36</v>
      </c>
      <c r="G2202" s="18"/>
    </row>
    <row r="2203" spans="1:7" x14ac:dyDescent="0.25">
      <c r="A2203" s="30">
        <v>0.53864036035762997</v>
      </c>
      <c r="B2203" s="30">
        <v>0</v>
      </c>
      <c r="C2203" s="30">
        <v>10.36</v>
      </c>
      <c r="G2203" s="18"/>
    </row>
    <row r="2204" spans="1:7" x14ac:dyDescent="0.25">
      <c r="A2204" s="30">
        <v>0.12949965842806427</v>
      </c>
      <c r="B2204" s="30">
        <v>0</v>
      </c>
      <c r="C2204" s="30">
        <v>10.36</v>
      </c>
      <c r="G2204" s="18"/>
    </row>
    <row r="2205" spans="1:7" x14ac:dyDescent="0.25">
      <c r="A2205" s="30">
        <v>0.15554583899261748</v>
      </c>
      <c r="B2205" s="30">
        <v>0</v>
      </c>
      <c r="C2205" s="30">
        <v>10.36</v>
      </c>
      <c r="G2205" s="18"/>
    </row>
    <row r="2206" spans="1:7" x14ac:dyDescent="0.25">
      <c r="A2206" s="30">
        <v>0.44513922441550147</v>
      </c>
      <c r="B2206" s="30">
        <v>0</v>
      </c>
      <c r="C2206" s="30">
        <v>10.36</v>
      </c>
      <c r="G2206" s="18"/>
    </row>
    <row r="2207" spans="1:7" x14ac:dyDescent="0.25">
      <c r="A2207" s="30">
        <v>0.15797083252556715</v>
      </c>
      <c r="B2207" s="30">
        <v>0</v>
      </c>
      <c r="C2207" s="30">
        <v>10.36</v>
      </c>
      <c r="G2207" s="18"/>
    </row>
    <row r="2208" spans="1:7" x14ac:dyDescent="0.25">
      <c r="A2208" s="30">
        <v>1.2154540369284503</v>
      </c>
      <c r="B2208" s="30">
        <v>0</v>
      </c>
      <c r="C2208" s="30">
        <v>10.36</v>
      </c>
      <c r="G2208" s="18"/>
    </row>
    <row r="2209" spans="1:7" x14ac:dyDescent="0.25">
      <c r="A2209" s="30">
        <v>2.3744435783793043</v>
      </c>
      <c r="B2209" s="30">
        <v>0</v>
      </c>
      <c r="C2209" s="30">
        <v>10.36</v>
      </c>
      <c r="G2209" s="18"/>
    </row>
    <row r="2210" spans="1:7" x14ac:dyDescent="0.25">
      <c r="A2210" s="30">
        <v>0.88574529241828426</v>
      </c>
      <c r="B2210" s="30">
        <v>0</v>
      </c>
      <c r="C2210" s="30">
        <v>10.36</v>
      </c>
      <c r="G2210" s="18"/>
    </row>
    <row r="2211" spans="1:7" x14ac:dyDescent="0.25">
      <c r="A2211" s="30">
        <v>0.63496402561294896</v>
      </c>
      <c r="B2211" s="30">
        <v>0</v>
      </c>
      <c r="C2211" s="30">
        <v>10.36</v>
      </c>
      <c r="G2211" s="18"/>
    </row>
    <row r="2212" spans="1:7" x14ac:dyDescent="0.25">
      <c r="A2212" s="30">
        <v>1.0948691615228574</v>
      </c>
      <c r="B2212" s="30">
        <v>0</v>
      </c>
      <c r="C2212" s="30">
        <v>10.36</v>
      </c>
      <c r="G2212" s="18"/>
    </row>
    <row r="2213" spans="1:7" x14ac:dyDescent="0.25">
      <c r="A2213" s="30">
        <v>1.3308030901336632</v>
      </c>
      <c r="B2213" s="30">
        <v>0</v>
      </c>
      <c r="C2213" s="30">
        <v>10.36</v>
      </c>
      <c r="G2213" s="18"/>
    </row>
    <row r="2214" spans="1:7" x14ac:dyDescent="0.25">
      <c r="A2214" s="30">
        <v>0.14046456287517417</v>
      </c>
      <c r="B2214" s="30">
        <v>0</v>
      </c>
      <c r="C2214" s="30">
        <v>13.86</v>
      </c>
      <c r="G2214" s="18"/>
    </row>
    <row r="2215" spans="1:7" x14ac:dyDescent="0.25">
      <c r="A2215" s="30">
        <v>0.57883809884953086</v>
      </c>
      <c r="B2215" s="30">
        <v>0</v>
      </c>
      <c r="C2215" s="30">
        <v>13.86</v>
      </c>
      <c r="G2215" s="18"/>
    </row>
    <row r="2216" spans="1:7" x14ac:dyDescent="0.25">
      <c r="A2216" s="30">
        <v>0.67260687787781537</v>
      </c>
      <c r="B2216" s="30">
        <v>0</v>
      </c>
      <c r="C2216" s="30">
        <v>13.86</v>
      </c>
      <c r="G2216" s="18"/>
    </row>
    <row r="2217" spans="1:7" x14ac:dyDescent="0.25">
      <c r="A2217" s="30">
        <v>1.584078083995458</v>
      </c>
      <c r="B2217" s="30">
        <v>0</v>
      </c>
      <c r="C2217" s="30">
        <v>13.86</v>
      </c>
      <c r="G2217" s="18"/>
    </row>
    <row r="2218" spans="1:7" x14ac:dyDescent="0.25">
      <c r="A2218" s="30">
        <v>0.20287191551279413</v>
      </c>
      <c r="B2218" s="30">
        <v>0</v>
      </c>
      <c r="C2218" s="30">
        <v>13.86</v>
      </c>
      <c r="G2218" s="18"/>
    </row>
    <row r="2219" spans="1:7" x14ac:dyDescent="0.25">
      <c r="A2219" s="30">
        <v>2.0547598062852659</v>
      </c>
      <c r="B2219" s="30">
        <v>0</v>
      </c>
      <c r="C2219" s="30">
        <v>13.86</v>
      </c>
      <c r="G2219" s="18"/>
    </row>
    <row r="2220" spans="1:7" x14ac:dyDescent="0.25">
      <c r="A2220" s="30">
        <v>0.12893045014344956</v>
      </c>
      <c r="B2220" s="30">
        <v>0</v>
      </c>
      <c r="C2220" s="30">
        <v>13.86</v>
      </c>
      <c r="G2220" s="18"/>
    </row>
    <row r="2221" spans="1:7" x14ac:dyDescent="0.25">
      <c r="A2221" s="30">
        <v>2.0115147887649294</v>
      </c>
      <c r="B2221" s="30">
        <v>0</v>
      </c>
      <c r="C2221" s="30">
        <v>13.86</v>
      </c>
      <c r="G2221" s="18"/>
    </row>
    <row r="2222" spans="1:7" x14ac:dyDescent="0.25">
      <c r="A2222" s="30">
        <v>1.3038879628106133</v>
      </c>
      <c r="B2222" s="30">
        <v>0</v>
      </c>
      <c r="C2222" s="30">
        <v>13.86</v>
      </c>
      <c r="G2222" s="18"/>
    </row>
    <row r="2223" spans="1:7" x14ac:dyDescent="0.25">
      <c r="A2223" s="30">
        <v>1.0679907271974702</v>
      </c>
      <c r="B2223" s="30">
        <v>0</v>
      </c>
      <c r="C2223" s="30">
        <v>13.86</v>
      </c>
      <c r="G2223" s="18"/>
    </row>
    <row r="2224" spans="1:7" x14ac:dyDescent="0.25">
      <c r="A2224" s="30">
        <v>0.29550404419642889</v>
      </c>
      <c r="B2224" s="30">
        <v>0</v>
      </c>
      <c r="C2224" s="30">
        <v>13.86</v>
      </c>
      <c r="G2224" s="18"/>
    </row>
    <row r="2225" spans="1:7" x14ac:dyDescent="0.25">
      <c r="A2225" s="30">
        <v>3.1047204498667823E-3</v>
      </c>
      <c r="B2225" s="30">
        <v>0</v>
      </c>
      <c r="C2225" s="30">
        <v>13.86</v>
      </c>
      <c r="G2225" s="18"/>
    </row>
    <row r="2226" spans="1:7" x14ac:dyDescent="0.25">
      <c r="A2226" s="30">
        <v>1.3870692436323984</v>
      </c>
      <c r="B2226" s="30">
        <v>0</v>
      </c>
      <c r="C2226" s="30">
        <v>13.86</v>
      </c>
      <c r="G2226" s="18"/>
    </row>
    <row r="2227" spans="1:7" x14ac:dyDescent="0.25">
      <c r="A2227" s="30">
        <v>0.51327438611334253</v>
      </c>
      <c r="B2227" s="30">
        <v>0</v>
      </c>
      <c r="C2227" s="30">
        <v>13.86</v>
      </c>
      <c r="G2227" s="18"/>
    </row>
    <row r="2228" spans="1:7" x14ac:dyDescent="0.25">
      <c r="A2228" s="30">
        <v>1.2821995866546105</v>
      </c>
      <c r="B2228" s="30">
        <v>0</v>
      </c>
      <c r="C2228" s="30">
        <v>13.86</v>
      </c>
      <c r="G2228" s="18"/>
    </row>
    <row r="2229" spans="1:7" x14ac:dyDescent="0.25">
      <c r="A2229" s="30">
        <v>0.31855591404622025</v>
      </c>
      <c r="B2229" s="30">
        <v>0</v>
      </c>
      <c r="C2229" s="30">
        <v>13.86</v>
      </c>
      <c r="G2229" s="18"/>
    </row>
    <row r="2230" spans="1:7" x14ac:dyDescent="0.25">
      <c r="A2230" s="30">
        <v>0.59963065501089119</v>
      </c>
      <c r="B2230" s="30">
        <v>0</v>
      </c>
      <c r="C2230" s="30">
        <v>32.340000000000003</v>
      </c>
      <c r="G2230" s="18"/>
    </row>
    <row r="2231" spans="1:7" x14ac:dyDescent="0.25">
      <c r="A2231" s="30">
        <v>2.0189335911001516</v>
      </c>
      <c r="B2231" s="30">
        <v>0</v>
      </c>
      <c r="C2231" s="30">
        <v>32.340000000000003</v>
      </c>
      <c r="G2231" s="18"/>
    </row>
    <row r="2232" spans="1:7" x14ac:dyDescent="0.25">
      <c r="A2232" s="30">
        <v>4.3799527761038994E-2</v>
      </c>
      <c r="B2232" s="30">
        <v>0</v>
      </c>
      <c r="C2232" s="30">
        <v>32.340000000000003</v>
      </c>
      <c r="G2232" s="18"/>
    </row>
    <row r="2233" spans="1:7" x14ac:dyDescent="0.25">
      <c r="A2233" s="30">
        <v>1.7333889249292551</v>
      </c>
      <c r="B2233" s="30">
        <v>0</v>
      </c>
      <c r="C2233" s="30">
        <v>32.340000000000003</v>
      </c>
      <c r="G2233" s="18"/>
    </row>
    <row r="2234" spans="1:7" x14ac:dyDescent="0.25">
      <c r="A2234" s="30">
        <v>1.1678677134464559</v>
      </c>
      <c r="B2234" s="30">
        <v>0</v>
      </c>
      <c r="C2234" s="30">
        <v>32.340000000000003</v>
      </c>
      <c r="G2234" s="18"/>
    </row>
    <row r="2235" spans="1:7" x14ac:dyDescent="0.25">
      <c r="A2235" s="30">
        <v>1.5845100772776</v>
      </c>
      <c r="B2235" s="30">
        <v>0</v>
      </c>
      <c r="C2235" s="30">
        <v>32.340000000000003</v>
      </c>
      <c r="G2235" s="18"/>
    </row>
    <row r="2236" spans="1:7" x14ac:dyDescent="0.25">
      <c r="A2236" s="30">
        <v>5.8476110745256604E-2</v>
      </c>
      <c r="B2236" s="30">
        <v>0</v>
      </c>
      <c r="C2236" s="30">
        <v>32.340000000000003</v>
      </c>
      <c r="G2236" s="18"/>
    </row>
    <row r="2237" spans="1:7" x14ac:dyDescent="0.25">
      <c r="A2237" s="30">
        <v>1.4738909994615443</v>
      </c>
      <c r="B2237" s="30">
        <v>0</v>
      </c>
      <c r="C2237" s="30">
        <v>32.340000000000003</v>
      </c>
      <c r="G2237" s="18"/>
    </row>
    <row r="2238" spans="1:7" x14ac:dyDescent="0.25">
      <c r="A2238" s="30">
        <v>0.21438912789698028</v>
      </c>
      <c r="B2238" s="30">
        <v>0</v>
      </c>
      <c r="C2238" s="30">
        <v>32.340000000000003</v>
      </c>
      <c r="G2238" s="18"/>
    </row>
    <row r="2239" spans="1:7" x14ac:dyDescent="0.25">
      <c r="A2239" s="30">
        <v>0.87959185545810903</v>
      </c>
      <c r="B2239" s="30">
        <v>0</v>
      </c>
      <c r="C2239" s="30">
        <v>32.340000000000003</v>
      </c>
      <c r="G2239" s="18"/>
    </row>
    <row r="2240" spans="1:7" x14ac:dyDescent="0.25">
      <c r="A2240" s="30">
        <v>0.18078978990903757</v>
      </c>
      <c r="B2240" s="30">
        <v>0</v>
      </c>
      <c r="C2240" s="30">
        <v>32.340000000000003</v>
      </c>
      <c r="G2240" s="18"/>
    </row>
    <row r="2241" spans="1:7" x14ac:dyDescent="0.25">
      <c r="A2241" s="30">
        <v>1.0280734900496484</v>
      </c>
      <c r="B2241" s="30">
        <v>0</v>
      </c>
      <c r="C2241" s="30">
        <v>32.340000000000003</v>
      </c>
      <c r="G2241" s="18"/>
    </row>
    <row r="2242" spans="1:7" x14ac:dyDescent="0.25">
      <c r="A2242" s="30">
        <v>0.16462237268456809</v>
      </c>
      <c r="B2242" s="30">
        <v>0</v>
      </c>
      <c r="C2242" s="30">
        <v>32.340000000000003</v>
      </c>
      <c r="G2242" s="18"/>
    </row>
    <row r="2243" spans="1:7" x14ac:dyDescent="0.25">
      <c r="A2243" s="30">
        <v>1.7154337567766273</v>
      </c>
      <c r="B2243" s="30">
        <v>0</v>
      </c>
      <c r="C2243" s="30">
        <v>32.340000000000003</v>
      </c>
      <c r="G2243" s="18"/>
    </row>
    <row r="2244" spans="1:7" x14ac:dyDescent="0.25">
      <c r="A2244" s="30">
        <v>1.3808210375287053</v>
      </c>
      <c r="B2244" s="30">
        <v>0</v>
      </c>
      <c r="C2244" s="30">
        <v>32.340000000000003</v>
      </c>
      <c r="G2244" s="18"/>
    </row>
    <row r="2245" spans="1:7" x14ac:dyDescent="0.25">
      <c r="A2245" s="30">
        <v>2.2317531646647297</v>
      </c>
      <c r="B2245" s="30">
        <v>0</v>
      </c>
      <c r="C2245" s="30">
        <v>32.340000000000003</v>
      </c>
      <c r="G2245" s="18"/>
    </row>
    <row r="2246" spans="1:7" x14ac:dyDescent="0.25">
      <c r="A2246" s="30">
        <v>0.77719825201918535</v>
      </c>
      <c r="B2246" s="30">
        <v>0</v>
      </c>
      <c r="C2246" s="30">
        <v>32.340000000000003</v>
      </c>
      <c r="G2246" s="18"/>
    </row>
    <row r="2247" spans="1:7" x14ac:dyDescent="0.25">
      <c r="A2247" s="30">
        <v>2.2426663081531637</v>
      </c>
      <c r="B2247" s="30">
        <v>0</v>
      </c>
      <c r="C2247" s="30">
        <v>12.459999999999999</v>
      </c>
      <c r="G2247" s="18"/>
    </row>
    <row r="2248" spans="1:7" x14ac:dyDescent="0.25">
      <c r="A2248" s="30">
        <v>0.21987625357119533</v>
      </c>
      <c r="B2248" s="30">
        <v>0</v>
      </c>
      <c r="C2248" s="30">
        <v>12.459999999999999</v>
      </c>
      <c r="G2248" s="18"/>
    </row>
    <row r="2249" spans="1:7" x14ac:dyDescent="0.25">
      <c r="A2249" s="30">
        <v>1.9028427590064383</v>
      </c>
      <c r="B2249" s="30">
        <v>0</v>
      </c>
      <c r="C2249" s="30">
        <v>12.459999999999999</v>
      </c>
      <c r="G2249" s="18"/>
    </row>
    <row r="2250" spans="1:7" x14ac:dyDescent="0.25">
      <c r="A2250" s="30">
        <v>0.88411751897880131</v>
      </c>
      <c r="B2250" s="30">
        <v>0</v>
      </c>
      <c r="C2250" s="30">
        <v>12.459999999999999</v>
      </c>
      <c r="G2250" s="18"/>
    </row>
    <row r="2251" spans="1:7" x14ac:dyDescent="0.25">
      <c r="A2251" s="30">
        <v>1.410970413640477</v>
      </c>
      <c r="B2251" s="30">
        <v>0</v>
      </c>
      <c r="C2251" s="30">
        <v>12.459999999999999</v>
      </c>
      <c r="G2251" s="18"/>
    </row>
    <row r="2252" spans="1:7" x14ac:dyDescent="0.25">
      <c r="A2252" s="30">
        <v>1.2551068381693906</v>
      </c>
      <c r="B2252" s="30">
        <v>0</v>
      </c>
      <c r="C2252" s="30">
        <v>12.459999999999999</v>
      </c>
      <c r="G2252" s="18"/>
    </row>
    <row r="2253" spans="1:7" x14ac:dyDescent="0.25">
      <c r="A2253" s="30">
        <v>1.96400871574633</v>
      </c>
      <c r="B2253" s="30">
        <v>0</v>
      </c>
      <c r="C2253" s="30">
        <v>12.459999999999999</v>
      </c>
      <c r="G2253" s="18"/>
    </row>
    <row r="2254" spans="1:7" x14ac:dyDescent="0.25">
      <c r="A2254" s="30">
        <v>0.90873511264197404</v>
      </c>
      <c r="B2254" s="30">
        <v>0</v>
      </c>
      <c r="C2254" s="30">
        <v>12.459999999999999</v>
      </c>
      <c r="G2254" s="18"/>
    </row>
    <row r="2255" spans="1:7" x14ac:dyDescent="0.25">
      <c r="A2255" s="30">
        <v>1.3359106707486288</v>
      </c>
      <c r="B2255" s="30">
        <v>0</v>
      </c>
      <c r="C2255" s="30">
        <v>12.459999999999999</v>
      </c>
      <c r="G2255" s="18"/>
    </row>
    <row r="2256" spans="1:7" x14ac:dyDescent="0.25">
      <c r="A2256" s="30">
        <v>2.8318750710984573E-2</v>
      </c>
      <c r="B2256" s="30">
        <v>0</v>
      </c>
      <c r="C2256" s="30">
        <v>12.459999999999999</v>
      </c>
      <c r="G2256" s="18"/>
    </row>
    <row r="2257" spans="1:7" x14ac:dyDescent="0.25">
      <c r="A2257" s="30">
        <v>2.0896908859695325</v>
      </c>
      <c r="B2257" s="30">
        <v>0</v>
      </c>
      <c r="C2257" s="30">
        <v>12.459999999999999</v>
      </c>
      <c r="G2257" s="18"/>
    </row>
    <row r="2258" spans="1:7" x14ac:dyDescent="0.25">
      <c r="A2258" s="30">
        <v>0.18502883332847692</v>
      </c>
      <c r="B2258" s="30">
        <v>0</v>
      </c>
      <c r="C2258" s="30">
        <v>12.459999999999999</v>
      </c>
      <c r="G2258" s="18"/>
    </row>
    <row r="2259" spans="1:7" x14ac:dyDescent="0.25">
      <c r="A2259" s="30">
        <v>2.0099276837430815</v>
      </c>
      <c r="B2259" s="30">
        <v>0</v>
      </c>
      <c r="C2259" s="30">
        <v>12.459999999999999</v>
      </c>
      <c r="G2259" s="18"/>
    </row>
    <row r="2260" spans="1:7" x14ac:dyDescent="0.25">
      <c r="A2260" s="30">
        <v>2.9297397917523081E-2</v>
      </c>
      <c r="B2260" s="30">
        <v>0</v>
      </c>
      <c r="C2260" s="30">
        <v>12.459999999999999</v>
      </c>
      <c r="G2260" s="18"/>
    </row>
    <row r="2261" spans="1:7" x14ac:dyDescent="0.25">
      <c r="A2261" s="30">
        <v>0.34724248573581651</v>
      </c>
      <c r="B2261" s="30">
        <v>0</v>
      </c>
      <c r="C2261" s="30">
        <v>12.459999999999999</v>
      </c>
      <c r="G2261" s="18"/>
    </row>
    <row r="2262" spans="1:7" x14ac:dyDescent="0.25">
      <c r="A2262" s="30">
        <v>1.0804470495926339</v>
      </c>
      <c r="B2262" s="30">
        <v>0</v>
      </c>
      <c r="C2262" s="30">
        <v>12.459999999999999</v>
      </c>
      <c r="G2262" s="18"/>
    </row>
    <row r="2263" spans="1:7" x14ac:dyDescent="0.25">
      <c r="A2263" s="30">
        <v>2.137793035238829</v>
      </c>
      <c r="B2263" s="30">
        <v>0</v>
      </c>
      <c r="C2263" s="30">
        <v>12.459999999999999</v>
      </c>
      <c r="G2263" s="18"/>
    </row>
    <row r="2264" spans="1:7" x14ac:dyDescent="0.25">
      <c r="A2264" s="30">
        <v>1.2121512550573206</v>
      </c>
      <c r="B2264" s="30">
        <v>0</v>
      </c>
      <c r="C2264" s="30">
        <v>12.459999999999999</v>
      </c>
      <c r="G2264" s="18"/>
    </row>
    <row r="2265" spans="1:7" x14ac:dyDescent="0.25">
      <c r="A2265" s="30">
        <v>0.28170541203241156</v>
      </c>
      <c r="B2265" s="30">
        <v>0</v>
      </c>
      <c r="C2265" s="30">
        <v>12.459999999999999</v>
      </c>
      <c r="G2265" s="18"/>
    </row>
    <row r="2266" spans="1:7" x14ac:dyDescent="0.25">
      <c r="A2266" s="30">
        <v>0.32942214710926349</v>
      </c>
      <c r="B2266" s="30">
        <v>0</v>
      </c>
      <c r="C2266" s="30">
        <v>12.459999999999999</v>
      </c>
      <c r="G2266" s="18"/>
    </row>
    <row r="2267" spans="1:7" x14ac:dyDescent="0.25">
      <c r="A2267" s="30">
        <v>0.44558016768428682</v>
      </c>
      <c r="B2267" s="30">
        <v>0</v>
      </c>
      <c r="C2267" s="30">
        <v>12.459999999999999</v>
      </c>
      <c r="G2267" s="18"/>
    </row>
    <row r="2268" spans="1:7" x14ac:dyDescent="0.25">
      <c r="A2268" s="30">
        <v>0.89299981949374918</v>
      </c>
      <c r="B2268" s="30">
        <v>0</v>
      </c>
      <c r="C2268" s="30">
        <v>12.459999999999999</v>
      </c>
      <c r="G2268" s="18"/>
    </row>
    <row r="2269" spans="1:7" x14ac:dyDescent="0.25">
      <c r="A2269" s="30">
        <v>1.5167355849049002</v>
      </c>
      <c r="B2269" s="30">
        <v>0</v>
      </c>
      <c r="C2269" s="30">
        <v>12.459999999999999</v>
      </c>
      <c r="G2269" s="18"/>
    </row>
    <row r="2270" spans="1:7" x14ac:dyDescent="0.25">
      <c r="A2270" s="30">
        <v>0.45862575331931765</v>
      </c>
      <c r="B2270" s="30">
        <v>0</v>
      </c>
      <c r="C2270" s="30">
        <v>12.459999999999999</v>
      </c>
      <c r="G2270" s="18"/>
    </row>
    <row r="2271" spans="1:7" x14ac:dyDescent="0.25">
      <c r="A2271" s="30">
        <v>0.2849147910270351</v>
      </c>
      <c r="B2271" s="30">
        <v>0</v>
      </c>
      <c r="C2271" s="30">
        <v>12.459999999999999</v>
      </c>
      <c r="G2271" s="18"/>
    </row>
    <row r="2272" spans="1:7" x14ac:dyDescent="0.25">
      <c r="A2272" s="30">
        <v>1.3435111590789242</v>
      </c>
      <c r="B2272" s="30">
        <v>0</v>
      </c>
      <c r="C2272" s="30">
        <v>12.459999999999999</v>
      </c>
      <c r="G2272" s="18"/>
    </row>
    <row r="2273" spans="1:7" x14ac:dyDescent="0.25">
      <c r="A2273" s="30">
        <v>2.246342218225835</v>
      </c>
      <c r="B2273" s="30">
        <v>0</v>
      </c>
      <c r="C2273" s="30">
        <v>12.459999999999999</v>
      </c>
      <c r="G2273" s="18"/>
    </row>
    <row r="2274" spans="1:7" x14ac:dyDescent="0.25">
      <c r="A2274" s="30">
        <v>0.11308176417883424</v>
      </c>
      <c r="B2274" s="30">
        <v>0</v>
      </c>
      <c r="C2274" s="30">
        <v>12.459999999999999</v>
      </c>
      <c r="G2274" s="18"/>
    </row>
    <row r="2275" spans="1:7" x14ac:dyDescent="0.25">
      <c r="A2275" s="30">
        <v>0.1110444205213386</v>
      </c>
      <c r="B2275" s="30">
        <v>0</v>
      </c>
      <c r="C2275" s="30">
        <v>12.459999999999999</v>
      </c>
      <c r="G2275" s="18"/>
    </row>
    <row r="2276" spans="1:7" x14ac:dyDescent="0.25">
      <c r="A2276" s="30">
        <v>9.7254708387042463E-2</v>
      </c>
      <c r="B2276" s="30">
        <v>0</v>
      </c>
      <c r="C2276" s="30">
        <v>12.459999999999999</v>
      </c>
      <c r="G2276" s="18"/>
    </row>
    <row r="2277" spans="1:7" x14ac:dyDescent="0.25">
      <c r="A2277" s="30">
        <v>1.5190463438324664</v>
      </c>
      <c r="B2277" s="30">
        <v>0</v>
      </c>
      <c r="C2277" s="30">
        <v>12.459999999999999</v>
      </c>
      <c r="G2277" s="18"/>
    </row>
    <row r="2278" spans="1:7" x14ac:dyDescent="0.25">
      <c r="A2278" s="30">
        <v>0.72411566622932566</v>
      </c>
      <c r="B2278" s="30">
        <v>0</v>
      </c>
      <c r="C2278" s="30">
        <v>12.459999999999999</v>
      </c>
      <c r="G2278" s="18"/>
    </row>
    <row r="2279" spans="1:7" x14ac:dyDescent="0.25">
      <c r="A2279" s="30">
        <v>2.1855851463443203</v>
      </c>
      <c r="B2279" s="30">
        <v>0</v>
      </c>
      <c r="C2279" s="30">
        <v>12.459999999999999</v>
      </c>
      <c r="G2279" s="18"/>
    </row>
    <row r="2280" spans="1:7" x14ac:dyDescent="0.25">
      <c r="A2280" s="30">
        <v>0.98592340121446687</v>
      </c>
      <c r="B2280" s="30">
        <v>0</v>
      </c>
      <c r="C2280" s="30">
        <v>22.82</v>
      </c>
      <c r="G2280" s="18"/>
    </row>
    <row r="2281" spans="1:7" x14ac:dyDescent="0.25">
      <c r="A2281" s="30">
        <v>1.0891738934675457</v>
      </c>
      <c r="B2281" s="30">
        <v>0</v>
      </c>
      <c r="C2281" s="30">
        <v>22.82</v>
      </c>
      <c r="G2281" s="18"/>
    </row>
    <row r="2282" spans="1:7" x14ac:dyDescent="0.25">
      <c r="A2282" s="30">
        <v>1.2978364331991556</v>
      </c>
      <c r="B2282" s="30">
        <v>0</v>
      </c>
      <c r="C2282" s="30">
        <v>22.82</v>
      </c>
      <c r="G2282" s="18"/>
    </row>
    <row r="2283" spans="1:7" x14ac:dyDescent="0.25">
      <c r="A2283" s="30">
        <v>0.23122250027438671</v>
      </c>
      <c r="B2283" s="30">
        <v>0</v>
      </c>
      <c r="C2283" s="30">
        <v>22.82</v>
      </c>
      <c r="G2283" s="18"/>
    </row>
    <row r="2284" spans="1:7" x14ac:dyDescent="0.25">
      <c r="A2284" s="30">
        <v>1.1052402835119102</v>
      </c>
      <c r="B2284" s="30">
        <v>0</v>
      </c>
      <c r="C2284" s="30">
        <v>22.82</v>
      </c>
      <c r="G2284" s="18"/>
    </row>
    <row r="2285" spans="1:7" x14ac:dyDescent="0.25">
      <c r="A2285" s="30">
        <v>0.4312978371038142</v>
      </c>
      <c r="B2285" s="30">
        <v>0</v>
      </c>
      <c r="C2285" s="30">
        <v>22.82</v>
      </c>
      <c r="G2285" s="18"/>
    </row>
    <row r="2286" spans="1:7" x14ac:dyDescent="0.25">
      <c r="A2286" s="30">
        <v>0.36496995768742624</v>
      </c>
      <c r="B2286" s="30">
        <v>0</v>
      </c>
      <c r="C2286" s="30">
        <v>22.82</v>
      </c>
      <c r="G2286" s="18"/>
    </row>
    <row r="2287" spans="1:7" x14ac:dyDescent="0.25">
      <c r="A2287" s="30">
        <v>1.3670823696947241</v>
      </c>
      <c r="B2287" s="30">
        <v>0</v>
      </c>
      <c r="C2287" s="30">
        <v>22.82</v>
      </c>
      <c r="G2287" s="18"/>
    </row>
    <row r="2288" spans="1:7" x14ac:dyDescent="0.25">
      <c r="A2288" s="30">
        <v>0.63640168847002865</v>
      </c>
      <c r="B2288" s="30">
        <v>0</v>
      </c>
      <c r="C2288" s="30">
        <v>22.82</v>
      </c>
      <c r="G2288" s="18"/>
    </row>
    <row r="2289" spans="1:7" x14ac:dyDescent="0.25">
      <c r="A2289" s="30">
        <v>1.9178999037684985</v>
      </c>
      <c r="B2289" s="30">
        <v>0</v>
      </c>
      <c r="C2289" s="30">
        <v>22.82</v>
      </c>
      <c r="G2289" s="18"/>
    </row>
    <row r="2290" spans="1:7" x14ac:dyDescent="0.25">
      <c r="A2290" s="30">
        <v>0.58743389872228458</v>
      </c>
      <c r="B2290" s="30">
        <v>0</v>
      </c>
      <c r="C2290" s="30">
        <v>22.82</v>
      </c>
      <c r="G2290" s="18"/>
    </row>
    <row r="2291" spans="1:7" x14ac:dyDescent="0.25">
      <c r="A2291" s="30">
        <v>1.7008525248384678</v>
      </c>
      <c r="B2291" s="30">
        <v>0</v>
      </c>
      <c r="C2291" s="30">
        <v>22.82</v>
      </c>
      <c r="G2291" s="18"/>
    </row>
    <row r="2292" spans="1:7" x14ac:dyDescent="0.25">
      <c r="A2292" s="30">
        <v>0.54343953307263848</v>
      </c>
      <c r="B2292" s="30">
        <v>0</v>
      </c>
      <c r="C2292" s="30">
        <v>22.82</v>
      </c>
      <c r="G2292" s="18"/>
    </row>
    <row r="2293" spans="1:7" x14ac:dyDescent="0.25">
      <c r="A2293" s="30">
        <v>1.7219599378791339</v>
      </c>
      <c r="B2293" s="30">
        <v>0</v>
      </c>
      <c r="C2293" s="30">
        <v>22.82</v>
      </c>
      <c r="G2293" s="18"/>
    </row>
    <row r="2294" spans="1:7" x14ac:dyDescent="0.25">
      <c r="A2294" s="30">
        <v>0.21120295170810149</v>
      </c>
      <c r="B2294" s="30">
        <v>0</v>
      </c>
      <c r="C2294" s="30">
        <v>22.82</v>
      </c>
      <c r="G2294" s="18"/>
    </row>
    <row r="2295" spans="1:7" x14ac:dyDescent="0.25">
      <c r="A2295" s="30">
        <v>2.102010827787828</v>
      </c>
      <c r="B2295" s="30">
        <v>0</v>
      </c>
      <c r="C2295" s="30">
        <v>22.82</v>
      </c>
      <c r="G2295" s="18"/>
    </row>
    <row r="2296" spans="1:7" x14ac:dyDescent="0.25">
      <c r="A2296" s="30">
        <v>0.52052097007843856</v>
      </c>
      <c r="B2296" s="30">
        <v>0</v>
      </c>
      <c r="C2296" s="30">
        <v>22.82</v>
      </c>
      <c r="G2296" s="18"/>
    </row>
    <row r="2297" spans="1:7" x14ac:dyDescent="0.25">
      <c r="A2297" s="30">
        <v>2.2835410175383997</v>
      </c>
      <c r="B2297" s="30">
        <v>0</v>
      </c>
      <c r="C2297" s="30">
        <v>20.58</v>
      </c>
      <c r="G2297" s="18"/>
    </row>
    <row r="2298" spans="1:7" x14ac:dyDescent="0.25">
      <c r="A2298" s="30">
        <v>1.1948004765095135</v>
      </c>
      <c r="B2298" s="30">
        <v>0</v>
      </c>
      <c r="C2298" s="30">
        <v>20.58</v>
      </c>
      <c r="G2298" s="18"/>
    </row>
    <row r="2299" spans="1:7" x14ac:dyDescent="0.25">
      <c r="A2299" s="30">
        <v>1.8554738697519497</v>
      </c>
      <c r="B2299" s="30">
        <v>0</v>
      </c>
      <c r="C2299" s="30">
        <v>20.58</v>
      </c>
      <c r="G2299" s="18"/>
    </row>
    <row r="2300" spans="1:7" x14ac:dyDescent="0.25">
      <c r="A2300" s="30">
        <v>0.21074338993673489</v>
      </c>
      <c r="B2300" s="30">
        <v>0</v>
      </c>
      <c r="C2300" s="30">
        <v>20.58</v>
      </c>
      <c r="G2300" s="18"/>
    </row>
    <row r="2301" spans="1:7" x14ac:dyDescent="0.25">
      <c r="A2301" s="30">
        <v>0.41976881978008906</v>
      </c>
      <c r="B2301" s="30">
        <v>0</v>
      </c>
      <c r="C2301" s="30">
        <v>20.58</v>
      </c>
      <c r="G2301" s="18"/>
    </row>
    <row r="2302" spans="1:7" x14ac:dyDescent="0.25">
      <c r="A2302" s="30">
        <v>1.0698276638611772</v>
      </c>
      <c r="B2302" s="30">
        <v>0</v>
      </c>
      <c r="C2302" s="30">
        <v>20.58</v>
      </c>
      <c r="G2302" s="18"/>
    </row>
    <row r="2303" spans="1:7" x14ac:dyDescent="0.25">
      <c r="A2303" s="30">
        <v>0.79801833363958519</v>
      </c>
      <c r="B2303" s="30">
        <v>0</v>
      </c>
      <c r="C2303" s="30">
        <v>20.58</v>
      </c>
      <c r="G2303" s="18"/>
    </row>
    <row r="2304" spans="1:7" x14ac:dyDescent="0.25">
      <c r="A2304" s="30">
        <v>0.6161947299607422</v>
      </c>
      <c r="B2304" s="30">
        <v>0</v>
      </c>
      <c r="C2304" s="30">
        <v>20.58</v>
      </c>
      <c r="G2304" s="18"/>
    </row>
    <row r="2305" spans="1:7" x14ac:dyDescent="0.25">
      <c r="A2305" s="30">
        <v>0.3422650204088476</v>
      </c>
      <c r="B2305" s="30">
        <v>0</v>
      </c>
      <c r="C2305" s="30">
        <v>20.58</v>
      </c>
      <c r="G2305" s="18"/>
    </row>
    <row r="2306" spans="1:7" x14ac:dyDescent="0.25">
      <c r="A2306" s="30">
        <v>1.24332953619286</v>
      </c>
      <c r="B2306" s="30">
        <v>0</v>
      </c>
      <c r="C2306" s="30">
        <v>20.58</v>
      </c>
      <c r="G2306" s="18"/>
    </row>
    <row r="2307" spans="1:7" x14ac:dyDescent="0.25">
      <c r="A2307" s="30">
        <v>1.1217192818662167</v>
      </c>
      <c r="B2307" s="30">
        <v>0</v>
      </c>
      <c r="C2307" s="30">
        <v>20.58</v>
      </c>
      <c r="G2307" s="18"/>
    </row>
    <row r="2308" spans="1:7" x14ac:dyDescent="0.25">
      <c r="A2308" s="30">
        <v>0.82675350513251566</v>
      </c>
      <c r="B2308" s="30">
        <v>0</v>
      </c>
      <c r="C2308" s="30">
        <v>20.58</v>
      </c>
      <c r="G2308" s="18"/>
    </row>
    <row r="2309" spans="1:7" x14ac:dyDescent="0.25">
      <c r="A2309" s="30">
        <v>0.1536009071849822</v>
      </c>
      <c r="B2309" s="30">
        <v>0</v>
      </c>
      <c r="C2309" s="30">
        <v>20.58</v>
      </c>
      <c r="G2309" s="18"/>
    </row>
    <row r="2310" spans="1:7" x14ac:dyDescent="0.25">
      <c r="A2310" s="30">
        <v>6.9621662038760829E-2</v>
      </c>
      <c r="B2310" s="30">
        <v>0</v>
      </c>
      <c r="C2310" s="30">
        <v>20.58</v>
      </c>
      <c r="G2310" s="18"/>
    </row>
    <row r="2311" spans="1:7" x14ac:dyDescent="0.25">
      <c r="A2311" s="30">
        <v>1.8350484356295351</v>
      </c>
      <c r="B2311" s="30">
        <v>0</v>
      </c>
      <c r="C2311" s="30">
        <v>20.58</v>
      </c>
      <c r="G2311" s="18"/>
    </row>
    <row r="2312" spans="1:7" x14ac:dyDescent="0.25">
      <c r="A2312" s="30">
        <v>0.31113807032994545</v>
      </c>
      <c r="B2312" s="30">
        <v>0</v>
      </c>
      <c r="C2312" s="30">
        <v>20.58</v>
      </c>
      <c r="G2312" s="18"/>
    </row>
    <row r="2313" spans="1:7" x14ac:dyDescent="0.25">
      <c r="A2313" s="30">
        <v>2.3798525625992619</v>
      </c>
      <c r="B2313" s="30">
        <v>0</v>
      </c>
      <c r="C2313" s="30">
        <v>21.56</v>
      </c>
      <c r="G2313" s="18"/>
    </row>
    <row r="2314" spans="1:7" x14ac:dyDescent="0.25">
      <c r="A2314" s="30">
        <v>0.99579944118928199</v>
      </c>
      <c r="B2314" s="30">
        <v>0</v>
      </c>
      <c r="C2314" s="30">
        <v>21.56</v>
      </c>
      <c r="G2314" s="18"/>
    </row>
    <row r="2315" spans="1:7" x14ac:dyDescent="0.25">
      <c r="A2315" s="30">
        <v>1.9998539172877989</v>
      </c>
      <c r="B2315" s="30">
        <v>0</v>
      </c>
      <c r="C2315" s="30">
        <v>21.56</v>
      </c>
      <c r="G2315" s="18"/>
    </row>
    <row r="2316" spans="1:7" x14ac:dyDescent="0.25">
      <c r="A2316" s="30">
        <v>0.85831656040605764</v>
      </c>
      <c r="B2316" s="30">
        <v>0</v>
      </c>
      <c r="C2316" s="30">
        <v>21.56</v>
      </c>
      <c r="G2316" s="18"/>
    </row>
    <row r="2317" spans="1:7" x14ac:dyDescent="0.25">
      <c r="A2317" s="30">
        <v>2.1150490919626384</v>
      </c>
      <c r="B2317" s="30">
        <v>0</v>
      </c>
      <c r="C2317" s="30">
        <v>21.56</v>
      </c>
      <c r="G2317" s="18"/>
    </row>
    <row r="2318" spans="1:7" x14ac:dyDescent="0.25">
      <c r="A2318" s="30">
        <v>0.83931548068172712</v>
      </c>
      <c r="B2318" s="30">
        <v>0</v>
      </c>
      <c r="C2318" s="30">
        <v>21.56</v>
      </c>
      <c r="G2318" s="18"/>
    </row>
    <row r="2319" spans="1:7" x14ac:dyDescent="0.25">
      <c r="A2319" s="30">
        <v>1.8235193376081409</v>
      </c>
      <c r="B2319" s="30">
        <v>0</v>
      </c>
      <c r="C2319" s="30">
        <v>21.56</v>
      </c>
      <c r="G2319" s="18"/>
    </row>
    <row r="2320" spans="1:7" x14ac:dyDescent="0.25">
      <c r="A2320" s="30">
        <v>1.1424994858673272</v>
      </c>
      <c r="B2320" s="30">
        <v>0</v>
      </c>
      <c r="C2320" s="30">
        <v>21.56</v>
      </c>
      <c r="G2320" s="18"/>
    </row>
    <row r="2321" spans="1:7" x14ac:dyDescent="0.25">
      <c r="A2321" s="30">
        <v>1.2970658279613387</v>
      </c>
      <c r="B2321" s="30">
        <v>0</v>
      </c>
      <c r="C2321" s="30">
        <v>21.56</v>
      </c>
      <c r="G2321" s="18"/>
    </row>
    <row r="2322" spans="1:7" x14ac:dyDescent="0.25">
      <c r="A2322" s="30">
        <v>4.1299445740178076E-2</v>
      </c>
      <c r="B2322" s="30">
        <v>0</v>
      </c>
      <c r="C2322" s="30">
        <v>21.56</v>
      </c>
      <c r="G2322" s="18"/>
    </row>
    <row r="2323" spans="1:7" x14ac:dyDescent="0.25">
      <c r="A2323" s="30">
        <v>1.8806253376098501</v>
      </c>
      <c r="B2323" s="30">
        <v>0</v>
      </c>
      <c r="C2323" s="30">
        <v>21.56</v>
      </c>
      <c r="G2323" s="18"/>
    </row>
    <row r="2324" spans="1:7" x14ac:dyDescent="0.25">
      <c r="A2324" s="30">
        <v>0.34887796059533077</v>
      </c>
      <c r="B2324" s="30">
        <v>0</v>
      </c>
      <c r="C2324" s="30">
        <v>21.56</v>
      </c>
      <c r="G2324" s="18"/>
    </row>
    <row r="2325" spans="1:7" x14ac:dyDescent="0.25">
      <c r="A2325" s="30">
        <v>2.2715240716886709</v>
      </c>
      <c r="B2325" s="30">
        <v>0</v>
      </c>
      <c r="C2325" s="30">
        <v>21.56</v>
      </c>
      <c r="G2325" s="18"/>
    </row>
    <row r="2326" spans="1:7" x14ac:dyDescent="0.25">
      <c r="A2326" s="30">
        <v>0.33957778886581941</v>
      </c>
      <c r="B2326" s="30">
        <v>0</v>
      </c>
      <c r="C2326" s="30">
        <v>21.56</v>
      </c>
      <c r="G2326" s="18"/>
    </row>
    <row r="2327" spans="1:7" x14ac:dyDescent="0.25">
      <c r="A2327" s="30">
        <v>1.3328857903515436</v>
      </c>
      <c r="B2327" s="30">
        <v>0</v>
      </c>
      <c r="C2327" s="30">
        <v>21.56</v>
      </c>
      <c r="G2327" s="18"/>
    </row>
    <row r="2328" spans="1:7" x14ac:dyDescent="0.25">
      <c r="A2328" s="30">
        <v>1.3725937838160451</v>
      </c>
      <c r="B2328" s="30">
        <v>0</v>
      </c>
      <c r="C2328" s="30">
        <v>21.56</v>
      </c>
      <c r="G2328" s="18"/>
    </row>
    <row r="2329" spans="1:7" x14ac:dyDescent="0.25">
      <c r="A2329" s="30">
        <v>1.5778914955692083</v>
      </c>
      <c r="B2329" s="30">
        <v>0</v>
      </c>
      <c r="C2329" s="30">
        <v>21.56</v>
      </c>
      <c r="G2329" s="18"/>
    </row>
    <row r="2330" spans="1:7" x14ac:dyDescent="0.25">
      <c r="A2330" s="30">
        <v>0.91760170297274013</v>
      </c>
      <c r="B2330" s="30">
        <v>0</v>
      </c>
      <c r="C2330" s="30">
        <v>15.12</v>
      </c>
      <c r="G2330" s="18"/>
    </row>
    <row r="2331" spans="1:7" x14ac:dyDescent="0.25">
      <c r="A2331" s="30">
        <v>2.354640933870713</v>
      </c>
      <c r="B2331" s="30">
        <v>0</v>
      </c>
      <c r="C2331" s="30">
        <v>15.12</v>
      </c>
      <c r="G2331" s="18"/>
    </row>
    <row r="2332" spans="1:7" x14ac:dyDescent="0.25">
      <c r="A2332" s="30">
        <v>1.2542401550326296</v>
      </c>
      <c r="B2332" s="30">
        <v>0</v>
      </c>
      <c r="C2332" s="30">
        <v>15.12</v>
      </c>
      <c r="G2332" s="18"/>
    </row>
    <row r="2333" spans="1:7" x14ac:dyDescent="0.25">
      <c r="A2333" s="30">
        <v>1.1557980542313235</v>
      </c>
      <c r="B2333" s="30">
        <v>0</v>
      </c>
      <c r="C2333" s="30">
        <v>15.12</v>
      </c>
      <c r="G2333" s="18"/>
    </row>
    <row r="2334" spans="1:7" x14ac:dyDescent="0.25">
      <c r="A2334" s="30">
        <v>1.2147419159665185</v>
      </c>
      <c r="B2334" s="30">
        <v>0</v>
      </c>
      <c r="C2334" s="30">
        <v>15.12</v>
      </c>
      <c r="G2334" s="18"/>
    </row>
    <row r="2335" spans="1:7" x14ac:dyDescent="0.25">
      <c r="A2335" s="30">
        <v>1.9141223653160622</v>
      </c>
      <c r="B2335" s="30">
        <v>0</v>
      </c>
      <c r="C2335" s="30">
        <v>15.12</v>
      </c>
      <c r="G2335" s="18"/>
    </row>
    <row r="2336" spans="1:7" x14ac:dyDescent="0.25">
      <c r="A2336" s="30">
        <v>0.98428487405647069</v>
      </c>
      <c r="B2336" s="30">
        <v>0</v>
      </c>
      <c r="C2336" s="30">
        <v>15.12</v>
      </c>
      <c r="G2336" s="18"/>
    </row>
    <row r="2337" spans="1:7" x14ac:dyDescent="0.25">
      <c r="A2337" s="30">
        <v>0.87497602385020767</v>
      </c>
      <c r="B2337" s="30">
        <v>0</v>
      </c>
      <c r="C2337" s="30">
        <v>15.12</v>
      </c>
      <c r="G2337" s="18"/>
    </row>
    <row r="2338" spans="1:7" x14ac:dyDescent="0.25">
      <c r="A2338" s="30">
        <v>1.1697708651519912E-2</v>
      </c>
      <c r="B2338" s="30">
        <v>0</v>
      </c>
      <c r="C2338" s="30">
        <v>15.12</v>
      </c>
      <c r="G2338" s="18"/>
    </row>
    <row r="2339" spans="1:7" x14ac:dyDescent="0.25">
      <c r="A2339" s="30">
        <v>1.7967445591350917</v>
      </c>
      <c r="B2339" s="30">
        <v>0</v>
      </c>
      <c r="C2339" s="30">
        <v>15.12</v>
      </c>
      <c r="G2339" s="18"/>
    </row>
    <row r="2340" spans="1:7" x14ac:dyDescent="0.25">
      <c r="A2340" s="30">
        <v>1.3627178552243446</v>
      </c>
      <c r="B2340" s="30">
        <v>0</v>
      </c>
      <c r="C2340" s="30">
        <v>15.12</v>
      </c>
      <c r="G2340" s="18"/>
    </row>
    <row r="2341" spans="1:7" x14ac:dyDescent="0.25">
      <c r="A2341" s="30">
        <v>2.3377011635931249</v>
      </c>
      <c r="B2341" s="30">
        <v>0</v>
      </c>
      <c r="C2341" s="30">
        <v>15.12</v>
      </c>
      <c r="G2341" s="18"/>
    </row>
    <row r="2342" spans="1:7" x14ac:dyDescent="0.25">
      <c r="A2342" s="30">
        <v>1.1719798430825881</v>
      </c>
      <c r="B2342" s="30">
        <v>0</v>
      </c>
      <c r="C2342" s="30">
        <v>15.12</v>
      </c>
      <c r="G2342" s="18"/>
    </row>
    <row r="2343" spans="1:7" x14ac:dyDescent="0.25">
      <c r="A2343" s="30">
        <v>0.93740766499101547</v>
      </c>
      <c r="B2343" s="30">
        <v>0</v>
      </c>
      <c r="C2343" s="30">
        <v>15.12</v>
      </c>
      <c r="G2343" s="18"/>
    </row>
    <row r="2344" spans="1:7" x14ac:dyDescent="0.25">
      <c r="A2344" s="30">
        <v>0.97284953210197567</v>
      </c>
      <c r="B2344" s="30">
        <v>0</v>
      </c>
      <c r="C2344" s="30">
        <v>15.12</v>
      </c>
      <c r="G2344" s="18"/>
    </row>
    <row r="2345" spans="1:7" x14ac:dyDescent="0.25">
      <c r="A2345" s="30">
        <v>1.907077363828823</v>
      </c>
      <c r="B2345" s="30">
        <v>0</v>
      </c>
      <c r="C2345" s="30">
        <v>15.12</v>
      </c>
      <c r="G2345" s="18"/>
    </row>
    <row r="2346" spans="1:7" x14ac:dyDescent="0.25">
      <c r="A2346" s="30">
        <v>9.5869461147123219E-2</v>
      </c>
      <c r="B2346" s="30">
        <v>0</v>
      </c>
      <c r="C2346" s="30">
        <v>15.12</v>
      </c>
      <c r="G2346" s="18"/>
    </row>
    <row r="2347" spans="1:7" x14ac:dyDescent="0.25">
      <c r="A2347" s="30">
        <v>8.096568464188536E-2</v>
      </c>
      <c r="B2347" s="30">
        <v>0</v>
      </c>
      <c r="C2347" s="30">
        <v>26.740000000000002</v>
      </c>
      <c r="G2347" s="18"/>
    </row>
    <row r="2348" spans="1:7" x14ac:dyDescent="0.25">
      <c r="A2348" s="30">
        <v>0.47914050283187776</v>
      </c>
      <c r="B2348" s="30">
        <v>0</v>
      </c>
      <c r="C2348" s="30">
        <v>26.740000000000002</v>
      </c>
      <c r="G2348" s="18"/>
    </row>
    <row r="2349" spans="1:7" x14ac:dyDescent="0.25">
      <c r="A2349" s="30">
        <v>9.5700401790790493E-2</v>
      </c>
      <c r="B2349" s="30">
        <v>0</v>
      </c>
      <c r="C2349" s="30">
        <v>26.740000000000002</v>
      </c>
      <c r="G2349" s="18"/>
    </row>
    <row r="2350" spans="1:7" x14ac:dyDescent="0.25">
      <c r="A2350" s="30">
        <v>0.69817737468257535</v>
      </c>
      <c r="B2350" s="30">
        <v>0</v>
      </c>
      <c r="C2350" s="30">
        <v>26.740000000000002</v>
      </c>
      <c r="G2350" s="18"/>
    </row>
    <row r="2351" spans="1:7" x14ac:dyDescent="0.25">
      <c r="A2351" s="30">
        <v>0.98340612024576524</v>
      </c>
      <c r="B2351" s="30">
        <v>0</v>
      </c>
      <c r="C2351" s="30">
        <v>26.740000000000002</v>
      </c>
      <c r="G2351" s="18"/>
    </row>
    <row r="2352" spans="1:7" x14ac:dyDescent="0.25">
      <c r="A2352" s="30">
        <v>0.71096735701688341</v>
      </c>
      <c r="B2352" s="30">
        <v>0</v>
      </c>
      <c r="C2352" s="30">
        <v>26.740000000000002</v>
      </c>
      <c r="G2352" s="18"/>
    </row>
    <row r="2353" spans="1:7" x14ac:dyDescent="0.25">
      <c r="A2353" s="30">
        <v>1.1522865538220231</v>
      </c>
      <c r="B2353" s="30">
        <v>0</v>
      </c>
      <c r="C2353" s="30">
        <v>26.740000000000002</v>
      </c>
      <c r="G2353" s="18"/>
    </row>
    <row r="2354" spans="1:7" x14ac:dyDescent="0.25">
      <c r="A2354" s="30">
        <v>1.3940043279272756</v>
      </c>
      <c r="B2354" s="30">
        <v>0</v>
      </c>
      <c r="C2354" s="30">
        <v>26.740000000000002</v>
      </c>
      <c r="G2354" s="18"/>
    </row>
    <row r="2355" spans="1:7" x14ac:dyDescent="0.25">
      <c r="A2355" s="30">
        <v>0.86671441985824649</v>
      </c>
      <c r="B2355" s="30">
        <v>0</v>
      </c>
      <c r="C2355" s="30">
        <v>26.740000000000002</v>
      </c>
      <c r="G2355" s="18"/>
    </row>
    <row r="2356" spans="1:7" x14ac:dyDescent="0.25">
      <c r="A2356" s="30">
        <v>1.2271879098247873</v>
      </c>
      <c r="B2356" s="30">
        <v>0</v>
      </c>
      <c r="C2356" s="30">
        <v>26.740000000000002</v>
      </c>
      <c r="G2356" s="18"/>
    </row>
    <row r="2357" spans="1:7" x14ac:dyDescent="0.25">
      <c r="A2357" s="30">
        <v>1.7067690842250038</v>
      </c>
      <c r="B2357" s="30">
        <v>0</v>
      </c>
      <c r="C2357" s="30">
        <v>26.740000000000002</v>
      </c>
      <c r="G2357" s="18"/>
    </row>
    <row r="2358" spans="1:7" x14ac:dyDescent="0.25">
      <c r="A2358" s="30">
        <v>0.74019202403989603</v>
      </c>
      <c r="B2358" s="30">
        <v>0</v>
      </c>
      <c r="C2358" s="30">
        <v>26.740000000000002</v>
      </c>
      <c r="G2358" s="18"/>
    </row>
    <row r="2359" spans="1:7" x14ac:dyDescent="0.25">
      <c r="A2359" s="30">
        <v>0.83897434448943431</v>
      </c>
      <c r="B2359" s="30">
        <v>0</v>
      </c>
      <c r="C2359" s="30">
        <v>26.740000000000002</v>
      </c>
      <c r="G2359" s="18"/>
    </row>
    <row r="2360" spans="1:7" x14ac:dyDescent="0.25">
      <c r="A2360" s="30">
        <v>0.32179071206604654</v>
      </c>
      <c r="B2360" s="30">
        <v>0</v>
      </c>
      <c r="C2360" s="30">
        <v>26.740000000000002</v>
      </c>
      <c r="G2360" s="18"/>
    </row>
    <row r="2361" spans="1:7" x14ac:dyDescent="0.25">
      <c r="A2361" s="30">
        <v>0.33570416577171336</v>
      </c>
      <c r="B2361" s="30">
        <v>0</v>
      </c>
      <c r="C2361" s="30">
        <v>26.740000000000002</v>
      </c>
      <c r="G2361" s="18"/>
    </row>
    <row r="2362" spans="1:7" x14ac:dyDescent="0.25">
      <c r="A2362" s="30">
        <v>0.40273053470808462</v>
      </c>
      <c r="B2362" s="30">
        <v>0</v>
      </c>
      <c r="C2362" s="30">
        <v>26.740000000000002</v>
      </c>
      <c r="G2362" s="18"/>
    </row>
    <row r="2363" spans="1:7" x14ac:dyDescent="0.25">
      <c r="A2363" s="30">
        <v>0.77154095198641204</v>
      </c>
      <c r="B2363" s="30">
        <v>0</v>
      </c>
      <c r="C2363" s="30">
        <v>26.740000000000002</v>
      </c>
      <c r="G2363" s="18"/>
    </row>
    <row r="2364" spans="1:7" x14ac:dyDescent="0.25">
      <c r="A2364" s="30">
        <v>1.1159200965078644</v>
      </c>
      <c r="B2364" s="30">
        <v>0</v>
      </c>
      <c r="C2364" s="30">
        <v>18.34</v>
      </c>
      <c r="G2364" s="18"/>
    </row>
    <row r="2365" spans="1:7" x14ac:dyDescent="0.25">
      <c r="A2365" s="30">
        <v>0.79433235651084755</v>
      </c>
      <c r="B2365" s="30">
        <v>0</v>
      </c>
      <c r="C2365" s="30">
        <v>18.34</v>
      </c>
      <c r="G2365" s="18"/>
    </row>
    <row r="2366" spans="1:7" x14ac:dyDescent="0.25">
      <c r="A2366" s="30">
        <v>1.1462131937487292</v>
      </c>
      <c r="B2366" s="30">
        <v>0</v>
      </c>
      <c r="C2366" s="30">
        <v>18.34</v>
      </c>
      <c r="G2366" s="18"/>
    </row>
    <row r="2367" spans="1:7" x14ac:dyDescent="0.25">
      <c r="A2367" s="30">
        <v>0.49115345728295878</v>
      </c>
      <c r="B2367" s="30">
        <v>0</v>
      </c>
      <c r="C2367" s="30">
        <v>18.34</v>
      </c>
      <c r="G2367" s="18"/>
    </row>
    <row r="2368" spans="1:7" x14ac:dyDescent="0.25">
      <c r="A2368" s="30">
        <v>1.1978633318301655</v>
      </c>
      <c r="B2368" s="30">
        <v>0</v>
      </c>
      <c r="C2368" s="30">
        <v>18.34</v>
      </c>
      <c r="G2368" s="18"/>
    </row>
    <row r="2369" spans="1:7" x14ac:dyDescent="0.25">
      <c r="A2369" s="30">
        <v>5.7875130843097013E-2</v>
      </c>
      <c r="B2369" s="30">
        <v>0</v>
      </c>
      <c r="C2369" s="30">
        <v>18.34</v>
      </c>
      <c r="G2369" s="18"/>
    </row>
    <row r="2370" spans="1:7" x14ac:dyDescent="0.25">
      <c r="A2370" s="30">
        <v>0.75277527410257861</v>
      </c>
      <c r="B2370" s="30">
        <v>0</v>
      </c>
      <c r="C2370" s="30">
        <v>18.34</v>
      </c>
      <c r="G2370" s="18"/>
    </row>
    <row r="2371" spans="1:7" x14ac:dyDescent="0.25">
      <c r="A2371" s="30">
        <v>1.897371635308043</v>
      </c>
      <c r="B2371" s="30">
        <v>0</v>
      </c>
      <c r="C2371" s="30">
        <v>18.34</v>
      </c>
      <c r="G2371" s="18"/>
    </row>
    <row r="2372" spans="1:7" x14ac:dyDescent="0.25">
      <c r="A2372" s="30">
        <v>0.51617817647883069</v>
      </c>
      <c r="B2372" s="30">
        <v>0</v>
      </c>
      <c r="C2372" s="30">
        <v>18.34</v>
      </c>
      <c r="G2372" s="18"/>
    </row>
    <row r="2373" spans="1:7" x14ac:dyDescent="0.25">
      <c r="A2373" s="30">
        <v>0.95975363397134894</v>
      </c>
      <c r="B2373" s="30">
        <v>0</v>
      </c>
      <c r="C2373" s="30">
        <v>18.34</v>
      </c>
      <c r="G2373" s="18"/>
    </row>
    <row r="2374" spans="1:7" x14ac:dyDescent="0.25">
      <c r="A2374" s="30">
        <v>0.51291362896699133</v>
      </c>
      <c r="B2374" s="30">
        <v>0</v>
      </c>
      <c r="C2374" s="30">
        <v>18.34</v>
      </c>
      <c r="G2374" s="18"/>
    </row>
    <row r="2375" spans="1:7" x14ac:dyDescent="0.25">
      <c r="A2375" s="30">
        <v>0.16505200372469284</v>
      </c>
      <c r="B2375" s="30">
        <v>0</v>
      </c>
      <c r="C2375" s="30">
        <v>18.34</v>
      </c>
      <c r="G2375" s="18"/>
    </row>
    <row r="2376" spans="1:7" x14ac:dyDescent="0.25">
      <c r="A2376" s="30">
        <v>0.20719790169248148</v>
      </c>
      <c r="B2376" s="30">
        <v>0</v>
      </c>
      <c r="C2376" s="30">
        <v>18.34</v>
      </c>
      <c r="G2376" s="18"/>
    </row>
    <row r="2377" spans="1:7" x14ac:dyDescent="0.25">
      <c r="A2377" s="30">
        <v>0.85984784171522755</v>
      </c>
      <c r="B2377" s="30">
        <v>0</v>
      </c>
      <c r="C2377" s="30">
        <v>18.34</v>
      </c>
      <c r="G2377" s="18"/>
    </row>
    <row r="2378" spans="1:7" x14ac:dyDescent="0.25">
      <c r="A2378" s="30">
        <v>0.22516754849998016</v>
      </c>
      <c r="B2378" s="30">
        <v>0</v>
      </c>
      <c r="C2378" s="30">
        <v>18.34</v>
      </c>
      <c r="G2378" s="18"/>
    </row>
    <row r="2379" spans="1:7" x14ac:dyDescent="0.25">
      <c r="A2379" s="30">
        <v>1.8366502963150506</v>
      </c>
      <c r="B2379" s="30">
        <v>0</v>
      </c>
      <c r="C2379" s="30">
        <v>18.34</v>
      </c>
      <c r="G2379" s="18"/>
    </row>
    <row r="2380" spans="1:7" x14ac:dyDescent="0.25">
      <c r="A2380" s="30">
        <v>0.74409556929974552</v>
      </c>
      <c r="B2380" s="30">
        <v>0</v>
      </c>
      <c r="C2380" s="30">
        <v>18.34</v>
      </c>
      <c r="G2380" s="18"/>
    </row>
    <row r="2381" spans="1:7" x14ac:dyDescent="0.25">
      <c r="A2381" s="30">
        <v>1.8955090774941361</v>
      </c>
      <c r="B2381" s="30">
        <v>0</v>
      </c>
      <c r="C2381" s="30">
        <v>17.779999999999998</v>
      </c>
      <c r="G2381" s="18"/>
    </row>
    <row r="2382" spans="1:7" x14ac:dyDescent="0.25">
      <c r="A2382" s="30">
        <v>0.89712823647925144</v>
      </c>
      <c r="B2382" s="30">
        <v>0</v>
      </c>
      <c r="C2382" s="30">
        <v>17.779999999999998</v>
      </c>
      <c r="G2382" s="18"/>
    </row>
    <row r="2383" spans="1:7" x14ac:dyDescent="0.25">
      <c r="A2383" s="30">
        <v>0.15032479401356663</v>
      </c>
      <c r="B2383" s="30">
        <v>0</v>
      </c>
      <c r="C2383" s="30">
        <v>17.779999999999998</v>
      </c>
      <c r="G2383" s="18"/>
    </row>
    <row r="2384" spans="1:7" x14ac:dyDescent="0.25">
      <c r="A2384" s="30">
        <v>0.92572118309989637</v>
      </c>
      <c r="B2384" s="30">
        <v>0</v>
      </c>
      <c r="C2384" s="30">
        <v>17.779999999999998</v>
      </c>
      <c r="G2384" s="18"/>
    </row>
    <row r="2385" spans="1:7" x14ac:dyDescent="0.25">
      <c r="A2385" s="30">
        <v>0.40666100473467426</v>
      </c>
      <c r="B2385" s="30">
        <v>0</v>
      </c>
      <c r="C2385" s="30">
        <v>17.779999999999998</v>
      </c>
      <c r="G2385" s="18"/>
    </row>
    <row r="2386" spans="1:7" x14ac:dyDescent="0.25">
      <c r="A2386" s="30">
        <v>0.78470983025039009</v>
      </c>
      <c r="B2386" s="30">
        <v>0</v>
      </c>
      <c r="C2386" s="30">
        <v>17.779999999999998</v>
      </c>
      <c r="G2386" s="18"/>
    </row>
    <row r="2387" spans="1:7" x14ac:dyDescent="0.25">
      <c r="A2387" s="30">
        <v>1.1992964544680826</v>
      </c>
      <c r="B2387" s="30">
        <v>0</v>
      </c>
      <c r="C2387" s="30">
        <v>17.779999999999998</v>
      </c>
      <c r="G2387" s="18"/>
    </row>
    <row r="2388" spans="1:7" x14ac:dyDescent="0.25">
      <c r="A2388" s="30">
        <v>0.65657384110495509</v>
      </c>
      <c r="B2388" s="30">
        <v>0</v>
      </c>
      <c r="C2388" s="30">
        <v>17.779999999999998</v>
      </c>
      <c r="G2388" s="18"/>
    </row>
    <row r="2389" spans="1:7" x14ac:dyDescent="0.25">
      <c r="A2389" s="30">
        <v>0.67742106086166931</v>
      </c>
      <c r="B2389" s="30">
        <v>0</v>
      </c>
      <c r="C2389" s="30">
        <v>17.779999999999998</v>
      </c>
      <c r="G2389" s="18"/>
    </row>
    <row r="2390" spans="1:7" x14ac:dyDescent="0.25">
      <c r="A2390" s="30">
        <v>0.40674357416932549</v>
      </c>
      <c r="B2390" s="30">
        <v>0</v>
      </c>
      <c r="C2390" s="30">
        <v>17.779999999999998</v>
      </c>
      <c r="G2390" s="18"/>
    </row>
    <row r="2391" spans="1:7" x14ac:dyDescent="0.25">
      <c r="A2391" s="30">
        <v>0.33536189206625472</v>
      </c>
      <c r="B2391" s="30">
        <v>0</v>
      </c>
      <c r="C2391" s="30">
        <v>17.779999999999998</v>
      </c>
      <c r="G2391" s="18"/>
    </row>
    <row r="2392" spans="1:7" x14ac:dyDescent="0.25">
      <c r="A2392" s="30">
        <v>1.1966842351080929</v>
      </c>
      <c r="B2392" s="30">
        <v>0</v>
      </c>
      <c r="C2392" s="30">
        <v>17.779999999999998</v>
      </c>
      <c r="G2392" s="18"/>
    </row>
    <row r="2393" spans="1:7" x14ac:dyDescent="0.25">
      <c r="A2393" s="30">
        <v>0.52072788476551912</v>
      </c>
      <c r="B2393" s="30">
        <v>0</v>
      </c>
      <c r="C2393" s="30">
        <v>17.779999999999998</v>
      </c>
      <c r="G2393" s="18"/>
    </row>
    <row r="2394" spans="1:7" x14ac:dyDescent="0.25">
      <c r="A2394" s="30">
        <v>1.1018706537065632</v>
      </c>
      <c r="B2394" s="30">
        <v>0</v>
      </c>
      <c r="C2394" s="30">
        <v>17.779999999999998</v>
      </c>
      <c r="G2394" s="18"/>
    </row>
    <row r="2395" spans="1:7" x14ac:dyDescent="0.25">
      <c r="A2395" s="30">
        <v>2.2497272111782012</v>
      </c>
      <c r="B2395" s="30">
        <v>0</v>
      </c>
      <c r="C2395" s="30">
        <v>17.779999999999998</v>
      </c>
      <c r="G2395" s="18"/>
    </row>
    <row r="2396" spans="1:7" x14ac:dyDescent="0.25">
      <c r="A2396" s="30">
        <v>0.15175984828347919</v>
      </c>
      <c r="B2396" s="30">
        <v>0</v>
      </c>
      <c r="C2396" s="30">
        <v>17.779999999999998</v>
      </c>
      <c r="G2396" s="18"/>
    </row>
    <row r="2397" spans="1:7" x14ac:dyDescent="0.25">
      <c r="A2397" s="30">
        <v>0.57287471329303929</v>
      </c>
      <c r="B2397" s="30">
        <v>0</v>
      </c>
      <c r="C2397" s="30">
        <v>9.66</v>
      </c>
      <c r="G2397" s="18"/>
    </row>
    <row r="2398" spans="1:7" x14ac:dyDescent="0.25">
      <c r="A2398" s="30">
        <v>1.0334064765512978</v>
      </c>
      <c r="B2398" s="30">
        <v>0</v>
      </c>
      <c r="C2398" s="30">
        <v>9.66</v>
      </c>
      <c r="G2398" s="18"/>
    </row>
    <row r="2399" spans="1:7" x14ac:dyDescent="0.25">
      <c r="A2399" s="30">
        <v>0.99409090607023498</v>
      </c>
      <c r="B2399" s="30">
        <v>0</v>
      </c>
      <c r="C2399" s="30">
        <v>9.66</v>
      </c>
      <c r="G2399" s="18"/>
    </row>
    <row r="2400" spans="1:7" x14ac:dyDescent="0.25">
      <c r="A2400" s="30">
        <v>0.79386520149230089</v>
      </c>
      <c r="B2400" s="30">
        <v>0</v>
      </c>
      <c r="C2400" s="30">
        <v>9.66</v>
      </c>
      <c r="G2400" s="18"/>
    </row>
    <row r="2401" spans="1:7" x14ac:dyDescent="0.25">
      <c r="A2401" s="30">
        <v>2.0300553814707962</v>
      </c>
      <c r="B2401" s="30">
        <v>0</v>
      </c>
      <c r="C2401" s="30">
        <v>9.66</v>
      </c>
      <c r="G2401" s="18"/>
    </row>
    <row r="2402" spans="1:7" x14ac:dyDescent="0.25">
      <c r="A2402" s="30">
        <v>1.3332477893760475</v>
      </c>
      <c r="B2402" s="30">
        <v>0</v>
      </c>
      <c r="C2402" s="30">
        <v>9.66</v>
      </c>
      <c r="G2402" s="18"/>
    </row>
    <row r="2403" spans="1:7" x14ac:dyDescent="0.25">
      <c r="A2403" s="30">
        <v>1.2734012718661278</v>
      </c>
      <c r="B2403" s="30">
        <v>0</v>
      </c>
      <c r="C2403" s="30">
        <v>9.66</v>
      </c>
      <c r="G2403" s="18"/>
    </row>
    <row r="2404" spans="1:7" x14ac:dyDescent="0.25">
      <c r="A2404" s="30">
        <v>0.32380230855113135</v>
      </c>
      <c r="B2404" s="30">
        <v>0</v>
      </c>
      <c r="C2404" s="30">
        <v>9.66</v>
      </c>
      <c r="G2404" s="18"/>
    </row>
    <row r="2405" spans="1:7" x14ac:dyDescent="0.25">
      <c r="A2405" s="30">
        <v>0.80073647531203229</v>
      </c>
      <c r="B2405" s="30">
        <v>0</v>
      </c>
      <c r="C2405" s="30">
        <v>9.66</v>
      </c>
      <c r="G2405" s="18"/>
    </row>
    <row r="2406" spans="1:7" x14ac:dyDescent="0.25">
      <c r="A2406" s="30">
        <v>9.2137762788378416E-2</v>
      </c>
      <c r="B2406" s="30">
        <v>0</v>
      </c>
      <c r="C2406" s="30">
        <v>9.66</v>
      </c>
      <c r="G2406" s="18"/>
    </row>
    <row r="2407" spans="1:7" x14ac:dyDescent="0.25">
      <c r="A2407" s="30">
        <v>1.4222302121941692</v>
      </c>
      <c r="B2407" s="30">
        <v>0</v>
      </c>
      <c r="C2407" s="30">
        <v>9.66</v>
      </c>
      <c r="G2407" s="18"/>
    </row>
    <row r="2408" spans="1:7" x14ac:dyDescent="0.25">
      <c r="A2408" s="30">
        <v>0.4960021153108034</v>
      </c>
      <c r="B2408" s="30">
        <v>0</v>
      </c>
      <c r="C2408" s="30">
        <v>9.66</v>
      </c>
      <c r="G2408" s="18"/>
    </row>
    <row r="2409" spans="1:7" x14ac:dyDescent="0.25">
      <c r="A2409" s="30">
        <v>1.2477450124204417</v>
      </c>
      <c r="B2409" s="30">
        <v>0</v>
      </c>
      <c r="C2409" s="30">
        <v>9.66</v>
      </c>
      <c r="G2409" s="18"/>
    </row>
    <row r="2410" spans="1:7" x14ac:dyDescent="0.25">
      <c r="A2410" s="30">
        <v>1.3450585776417592</v>
      </c>
      <c r="B2410" s="30">
        <v>0</v>
      </c>
      <c r="C2410" s="30">
        <v>9.66</v>
      </c>
      <c r="G2410" s="18"/>
    </row>
    <row r="2411" spans="1:7" x14ac:dyDescent="0.25">
      <c r="A2411" s="30">
        <v>2.1784503424854904</v>
      </c>
      <c r="B2411" s="30">
        <v>0</v>
      </c>
      <c r="C2411" s="30">
        <v>9.66</v>
      </c>
      <c r="G2411" s="18"/>
    </row>
    <row r="2412" spans="1:7" x14ac:dyDescent="0.25">
      <c r="A2412" s="30">
        <v>0.23553411910148334</v>
      </c>
      <c r="B2412" s="30">
        <v>0</v>
      </c>
      <c r="C2412" s="30">
        <v>9.66</v>
      </c>
      <c r="G2412" s="18"/>
    </row>
    <row r="2413" spans="1:7" x14ac:dyDescent="0.25">
      <c r="A2413" s="30">
        <v>1.2192040816858405</v>
      </c>
      <c r="B2413" s="30">
        <v>0</v>
      </c>
      <c r="C2413" s="30">
        <v>35.279999999999994</v>
      </c>
      <c r="G2413" s="18"/>
    </row>
    <row r="2414" spans="1:7" x14ac:dyDescent="0.25">
      <c r="A2414" s="30">
        <v>0.50946900060692191</v>
      </c>
      <c r="B2414" s="30">
        <v>0</v>
      </c>
      <c r="C2414" s="30">
        <v>35.279999999999994</v>
      </c>
      <c r="G2414" s="18"/>
    </row>
    <row r="2415" spans="1:7" x14ac:dyDescent="0.25">
      <c r="A2415" s="30">
        <v>2.2035811513270858</v>
      </c>
      <c r="B2415" s="30">
        <v>0</v>
      </c>
      <c r="C2415" s="30">
        <v>35.279999999999994</v>
      </c>
      <c r="G2415" s="18"/>
    </row>
    <row r="2416" spans="1:7" x14ac:dyDescent="0.25">
      <c r="A2416" s="30">
        <v>0.23259724222090133</v>
      </c>
      <c r="B2416" s="30">
        <v>0</v>
      </c>
      <c r="C2416" s="30">
        <v>35.279999999999994</v>
      </c>
      <c r="G2416" s="18"/>
    </row>
    <row r="2417" spans="1:7" x14ac:dyDescent="0.25">
      <c r="A2417" s="30">
        <v>1.0041418373696016</v>
      </c>
      <c r="B2417" s="30">
        <v>0</v>
      </c>
      <c r="C2417" s="30">
        <v>35.279999999999994</v>
      </c>
      <c r="G2417" s="18"/>
    </row>
    <row r="2418" spans="1:7" x14ac:dyDescent="0.25">
      <c r="A2418" s="30">
        <v>5.223958031665097E-2</v>
      </c>
      <c r="B2418" s="30">
        <v>0</v>
      </c>
      <c r="C2418" s="30">
        <v>35.279999999999994</v>
      </c>
      <c r="G2418" s="18"/>
    </row>
    <row r="2419" spans="1:7" x14ac:dyDescent="0.25">
      <c r="A2419" s="30">
        <v>0.46682997274080373</v>
      </c>
      <c r="B2419" s="30">
        <v>0</v>
      </c>
      <c r="C2419" s="30">
        <v>35.279999999999994</v>
      </c>
      <c r="G2419" s="18"/>
    </row>
    <row r="2420" spans="1:7" x14ac:dyDescent="0.25">
      <c r="A2420" s="30">
        <v>0.44928253263359963</v>
      </c>
      <c r="B2420" s="30">
        <v>0</v>
      </c>
      <c r="C2420" s="30">
        <v>35.279999999999994</v>
      </c>
      <c r="G2420" s="18"/>
    </row>
    <row r="2421" spans="1:7" x14ac:dyDescent="0.25">
      <c r="A2421" s="30">
        <v>2.3295038385977764</v>
      </c>
      <c r="B2421" s="30">
        <v>0</v>
      </c>
      <c r="C2421" s="30">
        <v>35.279999999999994</v>
      </c>
      <c r="G2421" s="18"/>
    </row>
    <row r="2422" spans="1:7" x14ac:dyDescent="0.25">
      <c r="A2422" s="30">
        <v>0.91521184274962619</v>
      </c>
      <c r="B2422" s="30">
        <v>0</v>
      </c>
      <c r="C2422" s="30">
        <v>35.279999999999994</v>
      </c>
      <c r="G2422" s="18"/>
    </row>
    <row r="2423" spans="1:7" x14ac:dyDescent="0.25">
      <c r="A2423" s="30">
        <v>0.5274481709700366</v>
      </c>
      <c r="B2423" s="30">
        <v>0</v>
      </c>
      <c r="C2423" s="30">
        <v>35.279999999999994</v>
      </c>
      <c r="G2423" s="18"/>
    </row>
    <row r="2424" spans="1:7" x14ac:dyDescent="0.25">
      <c r="A2424" s="30">
        <v>0.56983148156707497</v>
      </c>
      <c r="B2424" s="30">
        <v>0</v>
      </c>
      <c r="C2424" s="30">
        <v>35.279999999999994</v>
      </c>
      <c r="G2424" s="18"/>
    </row>
    <row r="2425" spans="1:7" x14ac:dyDescent="0.25">
      <c r="A2425" s="30">
        <v>0.72434923010464414</v>
      </c>
      <c r="B2425" s="30">
        <v>0</v>
      </c>
      <c r="C2425" s="30">
        <v>35.279999999999994</v>
      </c>
      <c r="G2425" s="18"/>
    </row>
    <row r="2426" spans="1:7" x14ac:dyDescent="0.25">
      <c r="A2426" s="30">
        <v>0.18896669456272575</v>
      </c>
      <c r="B2426" s="30">
        <v>0</v>
      </c>
      <c r="C2426" s="30">
        <v>35.279999999999994</v>
      </c>
      <c r="G2426" s="18"/>
    </row>
    <row r="2427" spans="1:7" x14ac:dyDescent="0.25">
      <c r="A2427" s="30">
        <v>0.53000039602320803</v>
      </c>
      <c r="B2427" s="30">
        <v>0</v>
      </c>
      <c r="C2427" s="30">
        <v>35.279999999999994</v>
      </c>
      <c r="G2427" s="18"/>
    </row>
    <row r="2428" spans="1:7" x14ac:dyDescent="0.25">
      <c r="A2428" s="30">
        <v>1.3784584455259854</v>
      </c>
      <c r="B2428" s="30">
        <v>0</v>
      </c>
      <c r="C2428" s="30">
        <v>35.279999999999994</v>
      </c>
      <c r="G2428" s="18"/>
    </row>
    <row r="2429" spans="1:7" x14ac:dyDescent="0.25">
      <c r="A2429" s="30">
        <v>1.7581723778916285</v>
      </c>
      <c r="B2429" s="30">
        <v>0</v>
      </c>
      <c r="C2429" s="30">
        <v>35.279999999999994</v>
      </c>
      <c r="G2429" s="18"/>
    </row>
    <row r="2430" spans="1:7" x14ac:dyDescent="0.25">
      <c r="A2430" s="30">
        <v>0.51040886480833747</v>
      </c>
      <c r="B2430" s="30">
        <v>0</v>
      </c>
      <c r="C2430" s="30">
        <v>17.5</v>
      </c>
      <c r="G2430" s="18"/>
    </row>
    <row r="2431" spans="1:7" x14ac:dyDescent="0.25">
      <c r="A2431" s="30">
        <v>2.1227752599418891E-3</v>
      </c>
      <c r="B2431" s="30">
        <v>0</v>
      </c>
      <c r="C2431" s="30">
        <v>17.5</v>
      </c>
      <c r="G2431" s="18"/>
    </row>
    <row r="2432" spans="1:7" x14ac:dyDescent="0.25">
      <c r="A2432" s="30">
        <v>1.3249863132033495</v>
      </c>
      <c r="B2432" s="30">
        <v>0</v>
      </c>
      <c r="C2432" s="30">
        <v>17.5</v>
      </c>
      <c r="G2432" s="18"/>
    </row>
    <row r="2433" spans="1:7" x14ac:dyDescent="0.25">
      <c r="A2433" s="30">
        <v>0.40032733378612229</v>
      </c>
      <c r="B2433" s="30">
        <v>0</v>
      </c>
      <c r="C2433" s="30">
        <v>17.5</v>
      </c>
      <c r="G2433" s="18"/>
    </row>
    <row r="2434" spans="1:7" x14ac:dyDescent="0.25">
      <c r="A2434" s="30">
        <v>0.69012494857460638</v>
      </c>
      <c r="B2434" s="30">
        <v>0</v>
      </c>
      <c r="C2434" s="30">
        <v>17.5</v>
      </c>
      <c r="G2434" s="18"/>
    </row>
    <row r="2435" spans="1:7" x14ac:dyDescent="0.25">
      <c r="A2435" s="30">
        <v>1.452229659605178</v>
      </c>
      <c r="B2435" s="30">
        <v>0</v>
      </c>
      <c r="C2435" s="30">
        <v>17.5</v>
      </c>
      <c r="G2435" s="18"/>
    </row>
    <row r="2436" spans="1:7" x14ac:dyDescent="0.25">
      <c r="A2436" s="30">
        <v>0.90842690270973114</v>
      </c>
      <c r="B2436" s="30">
        <v>0</v>
      </c>
      <c r="C2436" s="30">
        <v>17.5</v>
      </c>
      <c r="G2436" s="18"/>
    </row>
    <row r="2437" spans="1:7" x14ac:dyDescent="0.25">
      <c r="A2437" s="30">
        <v>0.35893401597552915</v>
      </c>
      <c r="B2437" s="30">
        <v>0</v>
      </c>
      <c r="C2437" s="30">
        <v>17.5</v>
      </c>
      <c r="G2437" s="18"/>
    </row>
    <row r="2438" spans="1:7" x14ac:dyDescent="0.25">
      <c r="A2438" s="30">
        <v>0.39897641590278604</v>
      </c>
      <c r="B2438" s="30">
        <v>0</v>
      </c>
      <c r="C2438" s="30">
        <v>17.5</v>
      </c>
      <c r="G2438" s="18"/>
    </row>
    <row r="2439" spans="1:7" x14ac:dyDescent="0.25">
      <c r="A2439" s="30">
        <v>0.58111427732189813</v>
      </c>
      <c r="B2439" s="30">
        <v>0</v>
      </c>
      <c r="C2439" s="30">
        <v>17.5</v>
      </c>
      <c r="G2439" s="18"/>
    </row>
    <row r="2440" spans="1:7" x14ac:dyDescent="0.25">
      <c r="A2440" s="30">
        <v>0.36752193325039711</v>
      </c>
      <c r="B2440" s="30">
        <v>0</v>
      </c>
      <c r="C2440" s="30">
        <v>17.5</v>
      </c>
      <c r="G2440" s="18"/>
    </row>
    <row r="2441" spans="1:7" x14ac:dyDescent="0.25">
      <c r="A2441" s="30">
        <v>2.2211466021335124</v>
      </c>
      <c r="B2441" s="30">
        <v>0</v>
      </c>
      <c r="C2441" s="30">
        <v>17.5</v>
      </c>
      <c r="G2441" s="18"/>
    </row>
    <row r="2442" spans="1:7" x14ac:dyDescent="0.25">
      <c r="A2442" s="30">
        <v>1.3778655439487839</v>
      </c>
      <c r="B2442" s="30">
        <v>0</v>
      </c>
      <c r="C2442" s="30">
        <v>17.5</v>
      </c>
      <c r="G2442" s="18"/>
    </row>
    <row r="2443" spans="1:7" x14ac:dyDescent="0.25">
      <c r="A2443" s="30">
        <v>1.5920621751788935</v>
      </c>
      <c r="B2443" s="30">
        <v>0</v>
      </c>
      <c r="C2443" s="30">
        <v>17.5</v>
      </c>
      <c r="G2443" s="18"/>
    </row>
    <row r="2444" spans="1:7" x14ac:dyDescent="0.25">
      <c r="A2444" s="30">
        <v>1.3940229260527022</v>
      </c>
      <c r="B2444" s="30">
        <v>0</v>
      </c>
      <c r="C2444" s="30">
        <v>17.5</v>
      </c>
      <c r="G2444" s="18"/>
    </row>
    <row r="2445" spans="1:7" x14ac:dyDescent="0.25">
      <c r="A2445" s="30">
        <v>0.185052527759726</v>
      </c>
      <c r="B2445" s="30">
        <v>0</v>
      </c>
      <c r="C2445" s="30">
        <v>17.5</v>
      </c>
      <c r="G2445" s="18"/>
    </row>
    <row r="2446" spans="1:7" x14ac:dyDescent="0.25">
      <c r="A2446" s="30">
        <v>8.3412108947599248E-2</v>
      </c>
      <c r="B2446" s="30">
        <v>0</v>
      </c>
      <c r="C2446" s="30">
        <v>17.5</v>
      </c>
      <c r="G2446" s="18"/>
    </row>
    <row r="2447" spans="1:7" x14ac:dyDescent="0.25">
      <c r="A2447" s="30">
        <v>0.95846410995315912</v>
      </c>
      <c r="B2447" s="30">
        <v>0</v>
      </c>
      <c r="C2447" s="30">
        <v>15.54</v>
      </c>
      <c r="G2447" s="18"/>
    </row>
    <row r="2448" spans="1:7" x14ac:dyDescent="0.25">
      <c r="A2448" s="30">
        <v>0.63787742729150132</v>
      </c>
      <c r="B2448" s="30">
        <v>0</v>
      </c>
      <c r="C2448" s="30">
        <v>15.54</v>
      </c>
      <c r="G2448" s="18"/>
    </row>
    <row r="2449" spans="1:7" x14ac:dyDescent="0.25">
      <c r="A2449" s="30">
        <v>0.28252409010646906</v>
      </c>
      <c r="B2449" s="30">
        <v>0</v>
      </c>
      <c r="C2449" s="30">
        <v>15.54</v>
      </c>
      <c r="G2449" s="18"/>
    </row>
    <row r="2450" spans="1:7" x14ac:dyDescent="0.25">
      <c r="A2450" s="30">
        <v>1.068531946526307</v>
      </c>
      <c r="B2450" s="30">
        <v>0</v>
      </c>
      <c r="C2450" s="30">
        <v>15.54</v>
      </c>
      <c r="G2450" s="18"/>
    </row>
    <row r="2451" spans="1:7" x14ac:dyDescent="0.25">
      <c r="A2451" s="30">
        <v>1.5390716731494145</v>
      </c>
      <c r="B2451" s="30">
        <v>0</v>
      </c>
      <c r="C2451" s="30">
        <v>15.54</v>
      </c>
      <c r="G2451" s="18"/>
    </row>
    <row r="2452" spans="1:7" x14ac:dyDescent="0.25">
      <c r="A2452" s="30">
        <v>1.3625949599104732</v>
      </c>
      <c r="B2452" s="30">
        <v>0</v>
      </c>
      <c r="C2452" s="30">
        <v>15.54</v>
      </c>
      <c r="G2452" s="18"/>
    </row>
    <row r="2453" spans="1:7" x14ac:dyDescent="0.25">
      <c r="A2453" s="30">
        <v>0.7869868633246998</v>
      </c>
      <c r="B2453" s="30">
        <v>0</v>
      </c>
      <c r="C2453" s="30">
        <v>15.54</v>
      </c>
      <c r="G2453" s="18"/>
    </row>
    <row r="2454" spans="1:7" x14ac:dyDescent="0.25">
      <c r="A2454" s="30">
        <v>0.10317738831400088</v>
      </c>
      <c r="B2454" s="30">
        <v>0</v>
      </c>
      <c r="C2454" s="30">
        <v>15.54</v>
      </c>
      <c r="G2454" s="18"/>
    </row>
    <row r="2455" spans="1:7" x14ac:dyDescent="0.25">
      <c r="A2455" s="30">
        <v>0.78728746966934937</v>
      </c>
      <c r="B2455" s="30">
        <v>0</v>
      </c>
      <c r="C2455" s="30">
        <v>15.54</v>
      </c>
      <c r="G2455" s="18"/>
    </row>
    <row r="2456" spans="1:7" x14ac:dyDescent="0.25">
      <c r="A2456" s="30">
        <v>1.3514473564010767</v>
      </c>
      <c r="B2456" s="30">
        <v>0</v>
      </c>
      <c r="C2456" s="30">
        <v>15.54</v>
      </c>
      <c r="G2456" s="18"/>
    </row>
    <row r="2457" spans="1:7" x14ac:dyDescent="0.25">
      <c r="A2457" s="30">
        <v>2.2486972379429302</v>
      </c>
      <c r="B2457" s="30">
        <v>0</v>
      </c>
      <c r="C2457" s="30">
        <v>15.54</v>
      </c>
      <c r="G2457" s="18"/>
    </row>
    <row r="2458" spans="1:7" x14ac:dyDescent="0.25">
      <c r="A2458" s="30">
        <v>0.68240396345724141</v>
      </c>
      <c r="B2458" s="30">
        <v>0</v>
      </c>
      <c r="C2458" s="30">
        <v>15.54</v>
      </c>
      <c r="G2458" s="18"/>
    </row>
    <row r="2459" spans="1:7" x14ac:dyDescent="0.25">
      <c r="A2459" s="30">
        <v>0.25687919684615385</v>
      </c>
      <c r="B2459" s="30">
        <v>0</v>
      </c>
      <c r="C2459" s="30">
        <v>15.54</v>
      </c>
      <c r="G2459" s="18"/>
    </row>
    <row r="2460" spans="1:7" x14ac:dyDescent="0.25">
      <c r="A2460" s="30">
        <v>0.25698105314603037</v>
      </c>
      <c r="B2460" s="30">
        <v>0</v>
      </c>
      <c r="C2460" s="30">
        <v>15.54</v>
      </c>
      <c r="G2460" s="18"/>
    </row>
    <row r="2461" spans="1:7" x14ac:dyDescent="0.25">
      <c r="A2461" s="30">
        <v>1.3811776778101208</v>
      </c>
      <c r="B2461" s="30">
        <v>0</v>
      </c>
      <c r="C2461" s="30">
        <v>15.54</v>
      </c>
      <c r="G2461" s="18"/>
    </row>
    <row r="2462" spans="1:7" x14ac:dyDescent="0.25">
      <c r="A2462" s="30">
        <v>0.90577047802555666</v>
      </c>
      <c r="B2462" s="30">
        <v>0</v>
      </c>
      <c r="C2462" s="30">
        <v>19.04</v>
      </c>
      <c r="G2462" s="18"/>
    </row>
    <row r="2463" spans="1:7" x14ac:dyDescent="0.25">
      <c r="A2463" s="30">
        <v>8.0332354128389044E-2</v>
      </c>
      <c r="B2463" s="30">
        <v>0</v>
      </c>
      <c r="C2463" s="30">
        <v>19.04</v>
      </c>
      <c r="G2463" s="18"/>
    </row>
    <row r="2464" spans="1:7" x14ac:dyDescent="0.25">
      <c r="A2464" s="30">
        <v>6.4025152047534714E-2</v>
      </c>
      <c r="B2464" s="30">
        <v>0</v>
      </c>
      <c r="C2464" s="30">
        <v>19.04</v>
      </c>
      <c r="G2464" s="18"/>
    </row>
    <row r="2465" spans="1:7" x14ac:dyDescent="0.25">
      <c r="A2465" s="30">
        <v>1.2977352652915097</v>
      </c>
      <c r="B2465" s="30">
        <v>0</v>
      </c>
      <c r="C2465" s="30">
        <v>19.04</v>
      </c>
      <c r="G2465" s="18"/>
    </row>
    <row r="2466" spans="1:7" x14ac:dyDescent="0.25">
      <c r="A2466" s="30">
        <v>1.146056797625969</v>
      </c>
      <c r="B2466" s="30">
        <v>0</v>
      </c>
      <c r="C2466" s="30">
        <v>19.04</v>
      </c>
      <c r="G2466" s="18"/>
    </row>
    <row r="2467" spans="1:7" x14ac:dyDescent="0.25">
      <c r="A2467" s="30">
        <v>1.0873502526589784</v>
      </c>
      <c r="B2467" s="30">
        <v>0</v>
      </c>
      <c r="C2467" s="30">
        <v>19.04</v>
      </c>
      <c r="G2467" s="18"/>
    </row>
    <row r="2468" spans="1:7" x14ac:dyDescent="0.25">
      <c r="A2468" s="30">
        <v>0.82701227488047502</v>
      </c>
      <c r="B2468" s="30">
        <v>0</v>
      </c>
      <c r="C2468" s="30">
        <v>19.04</v>
      </c>
      <c r="G2468" s="18"/>
    </row>
    <row r="2469" spans="1:7" x14ac:dyDescent="0.25">
      <c r="A2469" s="30">
        <v>1.5052910272837892</v>
      </c>
      <c r="B2469" s="30">
        <v>0</v>
      </c>
      <c r="C2469" s="30">
        <v>19.04</v>
      </c>
      <c r="G2469" s="18"/>
    </row>
    <row r="2470" spans="1:7" x14ac:dyDescent="0.25">
      <c r="A2470" s="30">
        <v>0.7526404118558222</v>
      </c>
      <c r="B2470" s="30">
        <v>0</v>
      </c>
      <c r="C2470" s="30">
        <v>19.04</v>
      </c>
      <c r="G2470" s="18"/>
    </row>
    <row r="2471" spans="1:7" x14ac:dyDescent="0.25">
      <c r="A2471" s="30">
        <v>1.3103838695473071</v>
      </c>
      <c r="B2471" s="30">
        <v>0</v>
      </c>
      <c r="C2471" s="30">
        <v>19.04</v>
      </c>
      <c r="G2471" s="18"/>
    </row>
    <row r="2472" spans="1:7" x14ac:dyDescent="0.25">
      <c r="A2472" s="30">
        <v>0.65681409005069935</v>
      </c>
      <c r="B2472" s="30">
        <v>0</v>
      </c>
      <c r="C2472" s="30">
        <v>19.04</v>
      </c>
      <c r="G2472" s="18"/>
    </row>
    <row r="2473" spans="1:7" x14ac:dyDescent="0.25">
      <c r="A2473" s="30">
        <v>2.3501405113122549</v>
      </c>
      <c r="B2473" s="30">
        <v>0</v>
      </c>
      <c r="C2473" s="30">
        <v>19.04</v>
      </c>
      <c r="G2473" s="18"/>
    </row>
    <row r="2474" spans="1:7" x14ac:dyDescent="0.25">
      <c r="A2474" s="30">
        <v>1.3680056385193526</v>
      </c>
      <c r="B2474" s="30">
        <v>0</v>
      </c>
      <c r="C2474" s="30">
        <v>19.04</v>
      </c>
      <c r="G2474" s="18"/>
    </row>
    <row r="2475" spans="1:7" x14ac:dyDescent="0.25">
      <c r="A2475" s="30">
        <v>0.14729330421737793</v>
      </c>
      <c r="B2475" s="30">
        <v>0</v>
      </c>
      <c r="C2475" s="30">
        <v>19.04</v>
      </c>
      <c r="G2475" s="18"/>
    </row>
    <row r="2476" spans="1:7" x14ac:dyDescent="0.25">
      <c r="A2476" s="30">
        <v>1.0603908418491066</v>
      </c>
      <c r="B2476" s="30">
        <v>0</v>
      </c>
      <c r="C2476" s="30">
        <v>19.04</v>
      </c>
      <c r="G2476" s="18"/>
    </row>
    <row r="2477" spans="1:7" x14ac:dyDescent="0.25">
      <c r="A2477" s="30">
        <v>2.3705434237259388</v>
      </c>
      <c r="B2477" s="30">
        <v>0</v>
      </c>
      <c r="C2477" s="30">
        <v>24.779999999999998</v>
      </c>
      <c r="G2477" s="18"/>
    </row>
    <row r="2478" spans="1:7" x14ac:dyDescent="0.25">
      <c r="A2478" s="30">
        <v>0.37388043234185481</v>
      </c>
      <c r="B2478" s="30">
        <v>0</v>
      </c>
      <c r="C2478" s="30">
        <v>24.779999999999998</v>
      </c>
      <c r="G2478" s="18"/>
    </row>
    <row r="2479" spans="1:7" x14ac:dyDescent="0.25">
      <c r="A2479" s="30">
        <v>1.695916172310195</v>
      </c>
      <c r="B2479" s="30">
        <v>0</v>
      </c>
      <c r="C2479" s="30">
        <v>24.779999999999998</v>
      </c>
      <c r="G2479" s="18"/>
    </row>
    <row r="2480" spans="1:7" x14ac:dyDescent="0.25">
      <c r="A2480" s="30">
        <v>0.21695960188188171</v>
      </c>
      <c r="B2480" s="30">
        <v>0</v>
      </c>
      <c r="C2480" s="30">
        <v>24.779999999999998</v>
      </c>
      <c r="G2480" s="18"/>
    </row>
    <row r="2481" spans="1:7" x14ac:dyDescent="0.25">
      <c r="A2481" s="30">
        <v>1.603979456228446</v>
      </c>
      <c r="B2481" s="30">
        <v>0</v>
      </c>
      <c r="C2481" s="30">
        <v>24.779999999999998</v>
      </c>
      <c r="G2481" s="18"/>
    </row>
    <row r="2482" spans="1:7" x14ac:dyDescent="0.25">
      <c r="A2482" s="30">
        <v>0.5718128742774673</v>
      </c>
      <c r="B2482" s="30">
        <v>0</v>
      </c>
      <c r="C2482" s="30">
        <v>24.779999999999998</v>
      </c>
      <c r="G2482" s="18"/>
    </row>
    <row r="2483" spans="1:7" x14ac:dyDescent="0.25">
      <c r="A2483" s="30">
        <v>1.1703093932307631</v>
      </c>
      <c r="B2483" s="30">
        <v>0</v>
      </c>
      <c r="C2483" s="30">
        <v>24.779999999999998</v>
      </c>
      <c r="G2483" s="18"/>
    </row>
    <row r="2484" spans="1:7" x14ac:dyDescent="0.25">
      <c r="A2484" s="30">
        <v>1.382690813372746</v>
      </c>
      <c r="B2484" s="30">
        <v>0</v>
      </c>
      <c r="C2484" s="30">
        <v>24.779999999999998</v>
      </c>
      <c r="G2484" s="18"/>
    </row>
    <row r="2485" spans="1:7" x14ac:dyDescent="0.25">
      <c r="A2485" s="30">
        <v>1.4999828551161805</v>
      </c>
      <c r="B2485" s="30">
        <v>0</v>
      </c>
      <c r="C2485" s="30">
        <v>24.779999999999998</v>
      </c>
      <c r="G2485" s="18"/>
    </row>
    <row r="2486" spans="1:7" x14ac:dyDescent="0.25">
      <c r="A2486" s="30">
        <v>1.0036205723389904</v>
      </c>
      <c r="B2486" s="30">
        <v>0</v>
      </c>
      <c r="C2486" s="30">
        <v>24.779999999999998</v>
      </c>
      <c r="G2486" s="18"/>
    </row>
    <row r="2487" spans="1:7" x14ac:dyDescent="0.25">
      <c r="A2487" s="30">
        <v>2.9921265695907185E-2</v>
      </c>
      <c r="B2487" s="30">
        <v>0</v>
      </c>
      <c r="C2487" s="30">
        <v>24.779999999999998</v>
      </c>
      <c r="G2487" s="18"/>
    </row>
    <row r="2488" spans="1:7" x14ac:dyDescent="0.25">
      <c r="A2488" s="30">
        <v>0.95755242828343479</v>
      </c>
      <c r="B2488" s="30">
        <v>0</v>
      </c>
      <c r="C2488" s="30">
        <v>24.779999999999998</v>
      </c>
      <c r="G2488" s="18"/>
    </row>
    <row r="2489" spans="1:7" x14ac:dyDescent="0.25">
      <c r="A2489" s="30">
        <v>0.26456325829928201</v>
      </c>
      <c r="B2489" s="30">
        <v>0</v>
      </c>
      <c r="C2489" s="30">
        <v>24.779999999999998</v>
      </c>
      <c r="G2489" s="18"/>
    </row>
    <row r="2490" spans="1:7" x14ac:dyDescent="0.25">
      <c r="A2490" s="30">
        <v>0.88557846929045481</v>
      </c>
      <c r="B2490" s="30">
        <v>0</v>
      </c>
      <c r="C2490" s="30">
        <v>24.779999999999998</v>
      </c>
      <c r="G2490" s="18"/>
    </row>
    <row r="2491" spans="1:7" x14ac:dyDescent="0.25">
      <c r="A2491" s="30">
        <v>1.641867300453304</v>
      </c>
      <c r="B2491" s="30">
        <v>0</v>
      </c>
      <c r="C2491" s="30">
        <v>24.779999999999998</v>
      </c>
      <c r="G2491" s="18"/>
    </row>
    <row r="2492" spans="1:7" x14ac:dyDescent="0.25">
      <c r="A2492" s="30">
        <v>0.64262274601698355</v>
      </c>
      <c r="B2492" s="30">
        <v>0</v>
      </c>
      <c r="C2492" s="30">
        <v>24.779999999999998</v>
      </c>
      <c r="G2492" s="18"/>
    </row>
    <row r="2493" spans="1:7" x14ac:dyDescent="0.25">
      <c r="A2493" s="30">
        <v>2.2433721772580286</v>
      </c>
      <c r="B2493" s="30">
        <v>0</v>
      </c>
      <c r="C2493" s="30">
        <v>15.26</v>
      </c>
      <c r="G2493" s="18"/>
    </row>
    <row r="2494" spans="1:7" x14ac:dyDescent="0.25">
      <c r="A2494" s="30">
        <v>0.82166128840023789</v>
      </c>
      <c r="B2494" s="30">
        <v>0</v>
      </c>
      <c r="C2494" s="30">
        <v>15.26</v>
      </c>
      <c r="G2494" s="18"/>
    </row>
    <row r="2495" spans="1:7" x14ac:dyDescent="0.25">
      <c r="A2495" s="30">
        <v>2.309241459695643</v>
      </c>
      <c r="B2495" s="30">
        <v>0</v>
      </c>
      <c r="C2495" s="30">
        <v>15.26</v>
      </c>
      <c r="G2495" s="18"/>
    </row>
    <row r="2496" spans="1:7" x14ac:dyDescent="0.25">
      <c r="A2496" s="30">
        <v>1.3754986932905264</v>
      </c>
      <c r="B2496" s="30">
        <v>0</v>
      </c>
      <c r="C2496" s="30">
        <v>15.26</v>
      </c>
      <c r="G2496" s="18"/>
    </row>
    <row r="2497" spans="1:7" x14ac:dyDescent="0.25">
      <c r="A2497" s="30">
        <v>1.9733195967458994</v>
      </c>
      <c r="B2497" s="30">
        <v>0</v>
      </c>
      <c r="C2497" s="30">
        <v>15.26</v>
      </c>
      <c r="G2497" s="18"/>
    </row>
    <row r="2498" spans="1:7" x14ac:dyDescent="0.25">
      <c r="A2498" s="30">
        <v>0.90772076480683261</v>
      </c>
      <c r="B2498" s="30">
        <v>0</v>
      </c>
      <c r="C2498" s="30">
        <v>15.26</v>
      </c>
      <c r="G2498" s="18"/>
    </row>
    <row r="2499" spans="1:7" x14ac:dyDescent="0.25">
      <c r="A2499" s="30">
        <v>1.9472620114250083</v>
      </c>
      <c r="B2499" s="30">
        <v>0</v>
      </c>
      <c r="C2499" s="30">
        <v>15.26</v>
      </c>
      <c r="G2499" s="18"/>
    </row>
    <row r="2500" spans="1:7" x14ac:dyDescent="0.25">
      <c r="A2500" s="30">
        <v>1.1465936238039713</v>
      </c>
      <c r="B2500" s="30">
        <v>0</v>
      </c>
      <c r="C2500" s="30">
        <v>15.26</v>
      </c>
      <c r="G2500" s="18"/>
    </row>
    <row r="2501" spans="1:7" x14ac:dyDescent="0.25">
      <c r="A2501" s="30">
        <v>2.0626330543689129</v>
      </c>
      <c r="B2501" s="30">
        <v>0</v>
      </c>
      <c r="C2501" s="30">
        <v>15.26</v>
      </c>
      <c r="G2501" s="18"/>
    </row>
    <row r="2502" spans="1:7" x14ac:dyDescent="0.25">
      <c r="A2502" s="30">
        <v>0.48331822701057703</v>
      </c>
      <c r="B2502" s="30">
        <v>0</v>
      </c>
      <c r="C2502" s="30">
        <v>15.26</v>
      </c>
      <c r="G2502" s="18"/>
    </row>
    <row r="2503" spans="1:7" x14ac:dyDescent="0.25">
      <c r="A2503" s="30">
        <v>2.3862077694824153</v>
      </c>
      <c r="B2503" s="30">
        <v>0</v>
      </c>
      <c r="C2503" s="30">
        <v>15.26</v>
      </c>
      <c r="G2503" s="18"/>
    </row>
    <row r="2504" spans="1:7" x14ac:dyDescent="0.25">
      <c r="A2504" s="30">
        <v>0.17593547433092699</v>
      </c>
      <c r="B2504" s="30">
        <v>0</v>
      </c>
      <c r="C2504" s="30">
        <v>15.26</v>
      </c>
      <c r="G2504" s="18"/>
    </row>
    <row r="2505" spans="1:7" x14ac:dyDescent="0.25">
      <c r="A2505" s="30">
        <v>2.3131373623400058</v>
      </c>
      <c r="B2505" s="30">
        <v>0</v>
      </c>
      <c r="C2505" s="30">
        <v>15.26</v>
      </c>
      <c r="G2505" s="18"/>
    </row>
    <row r="2506" spans="1:7" x14ac:dyDescent="0.25">
      <c r="A2506" s="30">
        <v>1.3928122301545596</v>
      </c>
      <c r="B2506" s="30">
        <v>0</v>
      </c>
      <c r="C2506" s="30">
        <v>15.26</v>
      </c>
      <c r="G2506" s="18"/>
    </row>
    <row r="2507" spans="1:7" x14ac:dyDescent="0.25">
      <c r="A2507" s="30">
        <v>1.8142177112792019</v>
      </c>
      <c r="B2507" s="30">
        <v>0</v>
      </c>
      <c r="C2507" s="30">
        <v>15.26</v>
      </c>
      <c r="G2507" s="18"/>
    </row>
    <row r="2508" spans="1:7" x14ac:dyDescent="0.25">
      <c r="A2508" s="30">
        <v>0.2122526191181687</v>
      </c>
      <c r="B2508" s="30">
        <v>0</v>
      </c>
      <c r="C2508" s="30">
        <v>15.26</v>
      </c>
      <c r="G2508" s="18"/>
    </row>
    <row r="2509" spans="1:7" x14ac:dyDescent="0.25">
      <c r="A2509" s="30">
        <v>1.4755872091741271</v>
      </c>
      <c r="B2509" s="30">
        <v>0</v>
      </c>
      <c r="C2509" s="30">
        <v>15.26</v>
      </c>
      <c r="G2509" s="18"/>
    </row>
    <row r="2510" spans="1:7" x14ac:dyDescent="0.25">
      <c r="A2510" s="30">
        <v>1.331909219045786</v>
      </c>
      <c r="B2510" s="30">
        <v>0</v>
      </c>
      <c r="C2510" s="30">
        <v>13.72</v>
      </c>
      <c r="G2510" s="18"/>
    </row>
    <row r="2511" spans="1:7" x14ac:dyDescent="0.25">
      <c r="A2511" s="30">
        <v>1.3949855016837609</v>
      </c>
      <c r="B2511" s="30">
        <v>0</v>
      </c>
      <c r="C2511" s="30">
        <v>13.72</v>
      </c>
      <c r="G2511" s="18"/>
    </row>
    <row r="2512" spans="1:7" x14ac:dyDescent="0.25">
      <c r="A2512" s="30">
        <v>0.37653780133208048</v>
      </c>
      <c r="B2512" s="30">
        <v>0</v>
      </c>
      <c r="C2512" s="30">
        <v>13.72</v>
      </c>
      <c r="G2512" s="18"/>
    </row>
    <row r="2513" spans="1:7" x14ac:dyDescent="0.25">
      <c r="A2513" s="30">
        <v>1.3612843755194644</v>
      </c>
      <c r="B2513" s="30">
        <v>0</v>
      </c>
      <c r="C2513" s="30">
        <v>13.72</v>
      </c>
      <c r="G2513" s="18"/>
    </row>
    <row r="2514" spans="1:7" x14ac:dyDescent="0.25">
      <c r="A2514" s="30">
        <v>1.1188303823209624</v>
      </c>
      <c r="B2514" s="30">
        <v>0</v>
      </c>
      <c r="C2514" s="30">
        <v>13.72</v>
      </c>
      <c r="G2514" s="18"/>
    </row>
    <row r="2515" spans="1:7" x14ac:dyDescent="0.25">
      <c r="A2515" s="30">
        <v>1.3195173505324291</v>
      </c>
      <c r="B2515" s="30">
        <v>0</v>
      </c>
      <c r="C2515" s="30">
        <v>13.72</v>
      </c>
      <c r="G2515" s="18"/>
    </row>
    <row r="2516" spans="1:7" x14ac:dyDescent="0.25">
      <c r="A2516" s="30">
        <v>0.51945548949214948</v>
      </c>
      <c r="B2516" s="30">
        <v>0</v>
      </c>
      <c r="C2516" s="30">
        <v>13.72</v>
      </c>
      <c r="G2516" s="18"/>
    </row>
    <row r="2517" spans="1:7" x14ac:dyDescent="0.25">
      <c r="A2517" s="30">
        <v>1.7177202223348993</v>
      </c>
      <c r="B2517" s="30">
        <v>0</v>
      </c>
      <c r="C2517" s="30">
        <v>13.72</v>
      </c>
      <c r="G2517" s="18"/>
    </row>
    <row r="2518" spans="1:7" x14ac:dyDescent="0.25">
      <c r="A2518" s="30">
        <v>0.39478411935846103</v>
      </c>
      <c r="B2518" s="30">
        <v>0</v>
      </c>
      <c r="C2518" s="30">
        <v>13.72</v>
      </c>
      <c r="G2518" s="18"/>
    </row>
    <row r="2519" spans="1:7" x14ac:dyDescent="0.25">
      <c r="A2519" s="30">
        <v>2.3426047289365179</v>
      </c>
      <c r="B2519" s="30">
        <v>0</v>
      </c>
      <c r="C2519" s="30">
        <v>13.72</v>
      </c>
      <c r="G2519" s="18"/>
    </row>
    <row r="2520" spans="1:7" x14ac:dyDescent="0.25">
      <c r="A2520" s="30">
        <v>7.9335487527050372E-2</v>
      </c>
      <c r="B2520" s="30">
        <v>0</v>
      </c>
      <c r="C2520" s="30">
        <v>13.72</v>
      </c>
      <c r="G2520" s="18"/>
    </row>
    <row r="2521" spans="1:7" x14ac:dyDescent="0.25">
      <c r="A2521" s="30">
        <v>2.0841813982599238</v>
      </c>
      <c r="B2521" s="30">
        <v>0</v>
      </c>
      <c r="C2521" s="30">
        <v>13.72</v>
      </c>
      <c r="G2521" s="18"/>
    </row>
    <row r="2522" spans="1:7" x14ac:dyDescent="0.25">
      <c r="A2522" s="30">
        <v>0.23638864599283407</v>
      </c>
      <c r="B2522" s="30">
        <v>0</v>
      </c>
      <c r="C2522" s="30">
        <v>13.72</v>
      </c>
      <c r="G2522" s="18"/>
    </row>
    <row r="2523" spans="1:7" x14ac:dyDescent="0.25">
      <c r="A2523" s="30">
        <v>1.7473117655357782</v>
      </c>
      <c r="B2523" s="30">
        <v>0</v>
      </c>
      <c r="C2523" s="30">
        <v>13.72</v>
      </c>
      <c r="G2523" s="18"/>
    </row>
    <row r="2524" spans="1:7" x14ac:dyDescent="0.25">
      <c r="A2524" s="30">
        <v>1.3823665509124734</v>
      </c>
      <c r="B2524" s="30">
        <v>0</v>
      </c>
      <c r="C2524" s="30">
        <v>13.72</v>
      </c>
      <c r="G2524" s="18"/>
    </row>
    <row r="2525" spans="1:7" x14ac:dyDescent="0.25">
      <c r="A2525" s="30">
        <v>0.65586121465621416</v>
      </c>
      <c r="B2525" s="30">
        <v>0</v>
      </c>
      <c r="C2525" s="30">
        <v>13.72</v>
      </c>
      <c r="G2525" s="18"/>
    </row>
    <row r="2526" spans="1:7" x14ac:dyDescent="0.25">
      <c r="A2526" s="30">
        <v>1.00745387170621</v>
      </c>
      <c r="B2526" s="30">
        <v>0</v>
      </c>
      <c r="C2526" s="30">
        <v>13.72</v>
      </c>
      <c r="G2526" s="18"/>
    </row>
    <row r="2527" spans="1:7" x14ac:dyDescent="0.25">
      <c r="A2527" s="30">
        <v>1.3329183353162908</v>
      </c>
      <c r="B2527" s="30">
        <v>0</v>
      </c>
      <c r="C2527" s="30">
        <v>26.88</v>
      </c>
      <c r="G2527" s="18"/>
    </row>
    <row r="2528" spans="1:7" x14ac:dyDescent="0.25">
      <c r="A2528" s="30">
        <v>0.15137747418889499</v>
      </c>
      <c r="B2528" s="30">
        <v>0</v>
      </c>
      <c r="C2528" s="30">
        <v>26.88</v>
      </c>
      <c r="G2528" s="18"/>
    </row>
    <row r="2529" spans="1:7" x14ac:dyDescent="0.25">
      <c r="A2529" s="30">
        <v>0.26737702795749402</v>
      </c>
      <c r="B2529" s="30">
        <v>0</v>
      </c>
      <c r="C2529" s="30">
        <v>26.88</v>
      </c>
      <c r="G2529" s="18"/>
    </row>
    <row r="2530" spans="1:7" x14ac:dyDescent="0.25">
      <c r="A2530" s="30">
        <v>0.78772203979266875</v>
      </c>
      <c r="B2530" s="30">
        <v>0</v>
      </c>
      <c r="C2530" s="30">
        <v>26.88</v>
      </c>
      <c r="G2530" s="18"/>
    </row>
    <row r="2531" spans="1:7" x14ac:dyDescent="0.25">
      <c r="A2531" s="30">
        <v>0.37140047680517335</v>
      </c>
      <c r="B2531" s="30">
        <v>0</v>
      </c>
      <c r="C2531" s="30">
        <v>26.88</v>
      </c>
      <c r="G2531" s="18"/>
    </row>
    <row r="2532" spans="1:7" x14ac:dyDescent="0.25">
      <c r="A2532" s="30">
        <v>1.2782508784967495</v>
      </c>
      <c r="B2532" s="30">
        <v>0</v>
      </c>
      <c r="C2532" s="30">
        <v>26.88</v>
      </c>
      <c r="G2532" s="18"/>
    </row>
    <row r="2533" spans="1:7" x14ac:dyDescent="0.25">
      <c r="A2533" s="30">
        <v>0.8794362578458722</v>
      </c>
      <c r="B2533" s="30">
        <v>0</v>
      </c>
      <c r="C2533" s="30">
        <v>26.88</v>
      </c>
      <c r="G2533" s="18"/>
    </row>
    <row r="2534" spans="1:7" x14ac:dyDescent="0.25">
      <c r="A2534" s="30">
        <v>0.4862050023209914</v>
      </c>
      <c r="B2534" s="30">
        <v>0</v>
      </c>
      <c r="C2534" s="30">
        <v>26.88</v>
      </c>
      <c r="G2534" s="18"/>
    </row>
    <row r="2535" spans="1:7" x14ac:dyDescent="0.25">
      <c r="A2535" s="30">
        <v>2.2461181532375707</v>
      </c>
      <c r="B2535" s="30">
        <v>0</v>
      </c>
      <c r="C2535" s="30">
        <v>26.88</v>
      </c>
      <c r="G2535" s="18"/>
    </row>
    <row r="2536" spans="1:7" x14ac:dyDescent="0.25">
      <c r="A2536" s="30">
        <v>0.1116990079655185</v>
      </c>
      <c r="B2536" s="30">
        <v>0</v>
      </c>
      <c r="C2536" s="30">
        <v>26.88</v>
      </c>
      <c r="G2536" s="18"/>
    </row>
    <row r="2537" spans="1:7" x14ac:dyDescent="0.25">
      <c r="A2537" s="30">
        <v>1.5934504407432115</v>
      </c>
      <c r="B2537" s="30">
        <v>0</v>
      </c>
      <c r="C2537" s="30">
        <v>26.88</v>
      </c>
      <c r="G2537" s="18"/>
    </row>
    <row r="2538" spans="1:7" x14ac:dyDescent="0.25">
      <c r="A2538" s="30">
        <v>0.13797813320307151</v>
      </c>
      <c r="B2538" s="30">
        <v>0</v>
      </c>
      <c r="C2538" s="30">
        <v>26.88</v>
      </c>
      <c r="G2538" s="18"/>
    </row>
    <row r="2539" spans="1:7" x14ac:dyDescent="0.25">
      <c r="A2539" s="30">
        <v>2.1036136457809773</v>
      </c>
      <c r="B2539" s="30">
        <v>0</v>
      </c>
      <c r="C2539" s="30">
        <v>26.88</v>
      </c>
      <c r="G2539" s="18"/>
    </row>
    <row r="2540" spans="1:7" x14ac:dyDescent="0.25">
      <c r="A2540" s="30">
        <v>0.14662504719647368</v>
      </c>
      <c r="B2540" s="30">
        <v>0</v>
      </c>
      <c r="C2540" s="30">
        <v>26.88</v>
      </c>
      <c r="G2540" s="18"/>
    </row>
    <row r="2541" spans="1:7" x14ac:dyDescent="0.25">
      <c r="A2541" s="30">
        <v>0.43470323308473613</v>
      </c>
      <c r="B2541" s="30">
        <v>0</v>
      </c>
      <c r="C2541" s="30">
        <v>26.88</v>
      </c>
      <c r="G2541" s="18"/>
    </row>
    <row r="2542" spans="1:7" x14ac:dyDescent="0.25">
      <c r="A2542" s="30">
        <v>0.9920047515427669</v>
      </c>
      <c r="B2542" s="30">
        <v>0</v>
      </c>
      <c r="C2542" s="30">
        <v>26.88</v>
      </c>
      <c r="G2542" s="18"/>
    </row>
    <row r="2543" spans="1:7" x14ac:dyDescent="0.25">
      <c r="A2543" s="30">
        <v>0.68455042714215708</v>
      </c>
      <c r="B2543" s="30">
        <v>0</v>
      </c>
      <c r="C2543" s="30">
        <v>26.88</v>
      </c>
      <c r="G2543" s="18"/>
    </row>
    <row r="2544" spans="1:7" x14ac:dyDescent="0.25">
      <c r="A2544" s="30">
        <v>0.64270932118960433</v>
      </c>
      <c r="B2544" s="30">
        <v>0</v>
      </c>
      <c r="C2544" s="30">
        <v>17.22</v>
      </c>
      <c r="G2544" s="18"/>
    </row>
    <row r="2545" spans="1:7" x14ac:dyDescent="0.25">
      <c r="A2545" s="30">
        <v>1.4211849695936902</v>
      </c>
      <c r="B2545" s="30">
        <v>0</v>
      </c>
      <c r="C2545" s="30">
        <v>17.22</v>
      </c>
      <c r="G2545" s="18"/>
    </row>
    <row r="2546" spans="1:7" x14ac:dyDescent="0.25">
      <c r="A2546" s="30">
        <v>0.94250432406819229</v>
      </c>
      <c r="B2546" s="30">
        <v>0</v>
      </c>
      <c r="C2546" s="30">
        <v>17.22</v>
      </c>
      <c r="G2546" s="18"/>
    </row>
    <row r="2547" spans="1:7" x14ac:dyDescent="0.25">
      <c r="A2547" s="30">
        <v>2.1392917625881549</v>
      </c>
      <c r="B2547" s="30">
        <v>0</v>
      </c>
      <c r="C2547" s="30">
        <v>17.22</v>
      </c>
      <c r="G2547" s="18"/>
    </row>
    <row r="2548" spans="1:7" x14ac:dyDescent="0.25">
      <c r="A2548" s="30">
        <v>0.84506422873428222</v>
      </c>
      <c r="B2548" s="30">
        <v>0</v>
      </c>
      <c r="C2548" s="30">
        <v>17.22</v>
      </c>
      <c r="G2548" s="18"/>
    </row>
    <row r="2549" spans="1:7" x14ac:dyDescent="0.25">
      <c r="A2549" s="30">
        <v>0.45647436710551775</v>
      </c>
      <c r="B2549" s="30">
        <v>0</v>
      </c>
      <c r="C2549" s="30">
        <v>17.22</v>
      </c>
      <c r="G2549" s="18"/>
    </row>
    <row r="2550" spans="1:7" x14ac:dyDescent="0.25">
      <c r="A2550" s="30">
        <v>1.0773124435981623</v>
      </c>
      <c r="B2550" s="30">
        <v>0</v>
      </c>
      <c r="C2550" s="30">
        <v>17.22</v>
      </c>
      <c r="G2550" s="18"/>
    </row>
    <row r="2551" spans="1:7" x14ac:dyDescent="0.25">
      <c r="A2551" s="30">
        <v>2.8444983630550702E-2</v>
      </c>
      <c r="B2551" s="30">
        <v>0</v>
      </c>
      <c r="C2551" s="30">
        <v>17.22</v>
      </c>
      <c r="G2551" s="18"/>
    </row>
    <row r="2552" spans="1:7" x14ac:dyDescent="0.25">
      <c r="A2552" s="30">
        <v>0.27097981332335835</v>
      </c>
      <c r="B2552" s="30">
        <v>0</v>
      </c>
      <c r="C2552" s="30">
        <v>17.22</v>
      </c>
      <c r="G2552" s="18"/>
    </row>
    <row r="2553" spans="1:7" x14ac:dyDescent="0.25">
      <c r="A2553" s="30">
        <v>2.226294796690099</v>
      </c>
      <c r="B2553" s="30">
        <v>0</v>
      </c>
      <c r="C2553" s="30">
        <v>17.22</v>
      </c>
      <c r="G2553" s="18"/>
    </row>
    <row r="2554" spans="1:7" x14ac:dyDescent="0.25">
      <c r="A2554" s="30">
        <v>0.65696763408438608</v>
      </c>
      <c r="B2554" s="30">
        <v>0</v>
      </c>
      <c r="C2554" s="30">
        <v>17.22</v>
      </c>
      <c r="G2554" s="18"/>
    </row>
    <row r="2555" spans="1:7" x14ac:dyDescent="0.25">
      <c r="A2555" s="30">
        <v>0.89471437437655266</v>
      </c>
      <c r="B2555" s="30">
        <v>0</v>
      </c>
      <c r="C2555" s="30">
        <v>17.22</v>
      </c>
      <c r="G2555" s="18"/>
    </row>
    <row r="2556" spans="1:7" x14ac:dyDescent="0.25">
      <c r="A2556" s="30">
        <v>1.2303193069561442</v>
      </c>
      <c r="B2556" s="30">
        <v>0</v>
      </c>
      <c r="C2556" s="30">
        <v>17.22</v>
      </c>
      <c r="G2556" s="18"/>
    </row>
    <row r="2557" spans="1:7" x14ac:dyDescent="0.25">
      <c r="A2557" s="30">
        <v>0.81494132472354186</v>
      </c>
      <c r="B2557" s="30">
        <v>0</v>
      </c>
      <c r="C2557" s="30">
        <v>17.22</v>
      </c>
      <c r="G2557" s="18"/>
    </row>
    <row r="2558" spans="1:7" x14ac:dyDescent="0.25">
      <c r="A2558" s="30">
        <v>0.89593754966725192</v>
      </c>
      <c r="B2558" s="30">
        <v>0</v>
      </c>
      <c r="C2558" s="30">
        <v>17.22</v>
      </c>
      <c r="G2558" s="18"/>
    </row>
    <row r="2559" spans="1:7" x14ac:dyDescent="0.25">
      <c r="A2559" s="30">
        <v>1.2057987171691558</v>
      </c>
      <c r="B2559" s="30">
        <v>0</v>
      </c>
      <c r="C2559" s="30">
        <v>17.22</v>
      </c>
      <c r="G2559" s="18"/>
    </row>
    <row r="2560" spans="1:7" x14ac:dyDescent="0.25">
      <c r="A2560" s="30">
        <v>0.2884427305426695</v>
      </c>
      <c r="B2560" s="30">
        <v>0</v>
      </c>
      <c r="C2560" s="30">
        <v>17.22</v>
      </c>
      <c r="G2560" s="18"/>
    </row>
    <row r="2561" spans="1:7" x14ac:dyDescent="0.25">
      <c r="A2561" s="30">
        <v>0.28787409348075005</v>
      </c>
      <c r="B2561" s="30">
        <v>0</v>
      </c>
      <c r="C2561" s="30">
        <v>19.32</v>
      </c>
      <c r="G2561" s="18"/>
    </row>
    <row r="2562" spans="1:7" x14ac:dyDescent="0.25">
      <c r="A2562" s="30">
        <v>0.96823181589666574</v>
      </c>
      <c r="B2562" s="30">
        <v>0</v>
      </c>
      <c r="C2562" s="30">
        <v>19.32</v>
      </c>
      <c r="G2562" s="18"/>
    </row>
    <row r="2563" spans="1:7" x14ac:dyDescent="0.25">
      <c r="A2563" s="30">
        <v>0.88559203419418986</v>
      </c>
      <c r="B2563" s="30">
        <v>0</v>
      </c>
      <c r="C2563" s="30">
        <v>19.32</v>
      </c>
      <c r="G2563" s="18"/>
    </row>
    <row r="2564" spans="1:7" x14ac:dyDescent="0.25">
      <c r="A2564" s="30">
        <v>0.64133133461374903</v>
      </c>
      <c r="B2564" s="30">
        <v>0</v>
      </c>
      <c r="C2564" s="30">
        <v>19.32</v>
      </c>
      <c r="G2564" s="18"/>
    </row>
    <row r="2565" spans="1:7" x14ac:dyDescent="0.25">
      <c r="A2565" s="30">
        <v>2.3387672677400273</v>
      </c>
      <c r="B2565" s="30">
        <v>0</v>
      </c>
      <c r="C2565" s="30">
        <v>19.32</v>
      </c>
      <c r="G2565" s="18"/>
    </row>
    <row r="2566" spans="1:7" x14ac:dyDescent="0.25">
      <c r="A2566" s="30">
        <v>1.3654049366016847</v>
      </c>
      <c r="B2566" s="30">
        <v>0</v>
      </c>
      <c r="C2566" s="30">
        <v>19.32</v>
      </c>
      <c r="G2566" s="18"/>
    </row>
    <row r="2567" spans="1:7" x14ac:dyDescent="0.25">
      <c r="A2567" s="30">
        <v>1.7504219178465334</v>
      </c>
      <c r="B2567" s="30">
        <v>0</v>
      </c>
      <c r="C2567" s="30">
        <v>19.32</v>
      </c>
      <c r="G2567" s="18"/>
    </row>
    <row r="2568" spans="1:7" x14ac:dyDescent="0.25">
      <c r="A2568" s="30">
        <v>0.82626168204775163</v>
      </c>
      <c r="B2568" s="30">
        <v>0</v>
      </c>
      <c r="C2568" s="30">
        <v>19.32</v>
      </c>
      <c r="G2568" s="18"/>
    </row>
    <row r="2569" spans="1:7" x14ac:dyDescent="0.25">
      <c r="A2569" s="30">
        <v>0.21605677630634137</v>
      </c>
      <c r="B2569" s="30">
        <v>0</v>
      </c>
      <c r="C2569" s="30">
        <v>19.32</v>
      </c>
      <c r="G2569" s="18"/>
    </row>
    <row r="2570" spans="1:7" x14ac:dyDescent="0.25">
      <c r="A2570" s="30">
        <v>0.43074730574232178</v>
      </c>
      <c r="B2570" s="30">
        <v>0</v>
      </c>
      <c r="C2570" s="30">
        <v>19.32</v>
      </c>
      <c r="G2570" s="18"/>
    </row>
    <row r="2571" spans="1:7" x14ac:dyDescent="0.25">
      <c r="A2571" s="30">
        <v>1.9779641730218249</v>
      </c>
      <c r="B2571" s="30">
        <v>0</v>
      </c>
      <c r="C2571" s="30">
        <v>19.32</v>
      </c>
      <c r="G2571" s="18"/>
    </row>
    <row r="2572" spans="1:7" x14ac:dyDescent="0.25">
      <c r="A2572" s="30">
        <v>1.1244074890461171</v>
      </c>
      <c r="B2572" s="30">
        <v>0</v>
      </c>
      <c r="C2572" s="30">
        <v>19.32</v>
      </c>
      <c r="G2572" s="18"/>
    </row>
    <row r="2573" spans="1:7" x14ac:dyDescent="0.25">
      <c r="A2573" s="30">
        <v>1.5979327118846398</v>
      </c>
      <c r="B2573" s="30">
        <v>0</v>
      </c>
      <c r="C2573" s="30">
        <v>19.32</v>
      </c>
      <c r="G2573" s="18"/>
    </row>
    <row r="2574" spans="1:7" x14ac:dyDescent="0.25">
      <c r="A2574" s="30">
        <v>0.26237645581471669</v>
      </c>
      <c r="B2574" s="30">
        <v>0</v>
      </c>
      <c r="C2574" s="30">
        <v>19.32</v>
      </c>
      <c r="G2574" s="18"/>
    </row>
    <row r="2575" spans="1:7" x14ac:dyDescent="0.25">
      <c r="A2575" s="30">
        <v>0.95553673683420315</v>
      </c>
      <c r="B2575" s="30">
        <v>0</v>
      </c>
      <c r="C2575" s="30">
        <v>19.32</v>
      </c>
      <c r="G2575" s="18"/>
    </row>
    <row r="2576" spans="1:7" x14ac:dyDescent="0.25">
      <c r="A2576" s="30">
        <v>0.74783596118322426</v>
      </c>
      <c r="B2576" s="30">
        <v>0</v>
      </c>
      <c r="C2576" s="30">
        <v>19.32</v>
      </c>
      <c r="G2576" s="18"/>
    </row>
    <row r="2577" spans="1:7" x14ac:dyDescent="0.25">
      <c r="A2577" s="30">
        <v>1.0276280488424017</v>
      </c>
      <c r="B2577" s="30">
        <v>0</v>
      </c>
      <c r="C2577" s="30">
        <v>19.32</v>
      </c>
      <c r="G2577" s="18"/>
    </row>
    <row r="2578" spans="1:7" x14ac:dyDescent="0.25">
      <c r="A2578" s="30">
        <v>1.1406432455041353</v>
      </c>
      <c r="B2578" s="30">
        <v>0</v>
      </c>
      <c r="C2578" s="30">
        <v>20.02</v>
      </c>
      <c r="G2578" s="18"/>
    </row>
    <row r="2579" spans="1:7" x14ac:dyDescent="0.25">
      <c r="A2579" s="30">
        <v>0.20820800224998209</v>
      </c>
      <c r="B2579" s="30">
        <v>0</v>
      </c>
      <c r="C2579" s="30">
        <v>20.02</v>
      </c>
      <c r="G2579" s="18"/>
    </row>
    <row r="2580" spans="1:7" x14ac:dyDescent="0.25">
      <c r="A2580" s="30">
        <v>4.9110384291776811E-2</v>
      </c>
      <c r="B2580" s="30">
        <v>0</v>
      </c>
      <c r="C2580" s="30">
        <v>20.02</v>
      </c>
      <c r="G2580" s="18"/>
    </row>
    <row r="2581" spans="1:7" x14ac:dyDescent="0.25">
      <c r="A2581" s="30">
        <v>0.52671262388673834</v>
      </c>
      <c r="B2581" s="30">
        <v>0</v>
      </c>
      <c r="C2581" s="30">
        <v>20.02</v>
      </c>
      <c r="G2581" s="18"/>
    </row>
    <row r="2582" spans="1:7" x14ac:dyDescent="0.25">
      <c r="A2582" s="30">
        <v>1.0577934480566635</v>
      </c>
      <c r="B2582" s="30">
        <v>0</v>
      </c>
      <c r="C2582" s="30">
        <v>20.02</v>
      </c>
      <c r="G2582" s="18"/>
    </row>
    <row r="2583" spans="1:7" x14ac:dyDescent="0.25">
      <c r="A2583" s="30">
        <v>1.3747191296311247</v>
      </c>
      <c r="B2583" s="30">
        <v>0</v>
      </c>
      <c r="C2583" s="30">
        <v>20.02</v>
      </c>
      <c r="G2583" s="18"/>
    </row>
    <row r="2584" spans="1:7" x14ac:dyDescent="0.25">
      <c r="A2584" s="30">
        <v>0.97669743482343985</v>
      </c>
      <c r="B2584" s="30">
        <v>0</v>
      </c>
      <c r="C2584" s="30">
        <v>20.02</v>
      </c>
      <c r="G2584" s="18"/>
    </row>
    <row r="2585" spans="1:7" x14ac:dyDescent="0.25">
      <c r="A2585" s="30">
        <v>1.8947437347169678</v>
      </c>
      <c r="B2585" s="30">
        <v>0</v>
      </c>
      <c r="C2585" s="30">
        <v>20.02</v>
      </c>
      <c r="G2585" s="18"/>
    </row>
    <row r="2586" spans="1:7" x14ac:dyDescent="0.25">
      <c r="A2586" s="30">
        <v>1.1495326684254075</v>
      </c>
      <c r="B2586" s="30">
        <v>0</v>
      </c>
      <c r="C2586" s="30">
        <v>20.02</v>
      </c>
      <c r="G2586" s="18"/>
    </row>
    <row r="2587" spans="1:7" x14ac:dyDescent="0.25">
      <c r="A2587" s="30">
        <v>1.2636215275118263</v>
      </c>
      <c r="B2587" s="30">
        <v>0</v>
      </c>
      <c r="C2587" s="30">
        <v>20.02</v>
      </c>
      <c r="G2587" s="18"/>
    </row>
    <row r="2588" spans="1:7" x14ac:dyDescent="0.25">
      <c r="A2588" s="30">
        <v>0.14139259940454779</v>
      </c>
      <c r="B2588" s="30">
        <v>0</v>
      </c>
      <c r="C2588" s="30">
        <v>20.02</v>
      </c>
      <c r="G2588" s="18"/>
    </row>
    <row r="2589" spans="1:7" x14ac:dyDescent="0.25">
      <c r="A2589" s="30">
        <v>1.7530150662300337</v>
      </c>
      <c r="B2589" s="30">
        <v>0</v>
      </c>
      <c r="C2589" s="30">
        <v>20.02</v>
      </c>
      <c r="G2589" s="18"/>
    </row>
    <row r="2590" spans="1:7" x14ac:dyDescent="0.25">
      <c r="A2590" s="30">
        <v>0.11314284436782496</v>
      </c>
      <c r="B2590" s="30">
        <v>0</v>
      </c>
      <c r="C2590" s="30">
        <v>20.02</v>
      </c>
      <c r="G2590" s="18"/>
    </row>
    <row r="2591" spans="1:7" x14ac:dyDescent="0.25">
      <c r="A2591" s="30">
        <v>2.2115035177501854</v>
      </c>
      <c r="B2591" s="30">
        <v>0</v>
      </c>
      <c r="C2591" s="30">
        <v>20.02</v>
      </c>
      <c r="G2591" s="18"/>
    </row>
    <row r="2592" spans="1:7" x14ac:dyDescent="0.25">
      <c r="A2592" s="30">
        <v>1.2895584972626852</v>
      </c>
      <c r="B2592" s="30">
        <v>0</v>
      </c>
      <c r="C2592" s="30">
        <v>20.02</v>
      </c>
      <c r="G2592" s="18"/>
    </row>
    <row r="2593" spans="1:7" x14ac:dyDescent="0.25">
      <c r="A2593" s="30">
        <v>1.1957862391101659</v>
      </c>
      <c r="B2593" s="30">
        <v>0</v>
      </c>
      <c r="C2593" s="30">
        <v>20.02</v>
      </c>
      <c r="G2593" s="18"/>
    </row>
    <row r="2594" spans="1:7" x14ac:dyDescent="0.25">
      <c r="A2594" s="30">
        <v>0.14136653143316177</v>
      </c>
      <c r="B2594" s="30">
        <v>0</v>
      </c>
      <c r="C2594" s="30">
        <v>20.02</v>
      </c>
      <c r="G2594" s="18"/>
    </row>
    <row r="2595" spans="1:7" x14ac:dyDescent="0.25">
      <c r="A2595" s="30">
        <v>2.1513713393768472</v>
      </c>
      <c r="B2595" s="30">
        <v>0</v>
      </c>
      <c r="C2595" s="30">
        <v>24.22</v>
      </c>
      <c r="G2595" s="18"/>
    </row>
    <row r="2596" spans="1:7" x14ac:dyDescent="0.25">
      <c r="A2596" s="30">
        <v>0.32846665748269277</v>
      </c>
      <c r="B2596" s="30">
        <v>0</v>
      </c>
      <c r="C2596" s="30">
        <v>24.22</v>
      </c>
      <c r="G2596" s="18"/>
    </row>
    <row r="2597" spans="1:7" x14ac:dyDescent="0.25">
      <c r="A2597" s="30">
        <v>1.5751423337362798</v>
      </c>
      <c r="B2597" s="30">
        <v>0</v>
      </c>
      <c r="C2597" s="30">
        <v>24.22</v>
      </c>
      <c r="G2597" s="18"/>
    </row>
    <row r="2598" spans="1:7" x14ac:dyDescent="0.25">
      <c r="A2598" s="30">
        <v>0.32521379789263311</v>
      </c>
      <c r="B2598" s="30">
        <v>0</v>
      </c>
      <c r="C2598" s="30">
        <v>24.22</v>
      </c>
      <c r="G2598" s="18"/>
    </row>
    <row r="2599" spans="1:7" x14ac:dyDescent="0.25">
      <c r="A2599" s="30">
        <v>1.2943763532018746</v>
      </c>
      <c r="B2599" s="30">
        <v>0</v>
      </c>
      <c r="C2599" s="30">
        <v>24.22</v>
      </c>
      <c r="G2599" s="18"/>
    </row>
    <row r="2600" spans="1:7" x14ac:dyDescent="0.25">
      <c r="A2600" s="30">
        <v>0.79035809008813862</v>
      </c>
      <c r="B2600" s="30">
        <v>0</v>
      </c>
      <c r="C2600" s="30">
        <v>24.22</v>
      </c>
      <c r="G2600" s="18"/>
    </row>
    <row r="2601" spans="1:7" x14ac:dyDescent="0.25">
      <c r="A2601" s="30">
        <v>1.8840124845618724</v>
      </c>
      <c r="B2601" s="30">
        <v>0</v>
      </c>
      <c r="C2601" s="30">
        <v>24.22</v>
      </c>
      <c r="G2601" s="18"/>
    </row>
    <row r="2602" spans="1:7" x14ac:dyDescent="0.25">
      <c r="A2602" s="30">
        <v>1.1396234106596075</v>
      </c>
      <c r="B2602" s="30">
        <v>0</v>
      </c>
      <c r="C2602" s="30">
        <v>24.22</v>
      </c>
      <c r="G2602" s="18"/>
    </row>
    <row r="2603" spans="1:7" x14ac:dyDescent="0.25">
      <c r="A2603" s="30">
        <v>2.0810505812597286</v>
      </c>
      <c r="B2603" s="30">
        <v>0</v>
      </c>
      <c r="C2603" s="30">
        <v>24.22</v>
      </c>
      <c r="G2603" s="18"/>
    </row>
    <row r="2604" spans="1:7" x14ac:dyDescent="0.25">
      <c r="A2604" s="30">
        <v>0.12793173121244383</v>
      </c>
      <c r="B2604" s="30">
        <v>0</v>
      </c>
      <c r="C2604" s="30">
        <v>24.22</v>
      </c>
      <c r="G2604" s="18"/>
    </row>
    <row r="2605" spans="1:7" x14ac:dyDescent="0.25">
      <c r="A2605" s="30">
        <v>2.2622306852283494</v>
      </c>
      <c r="B2605" s="30">
        <v>0</v>
      </c>
      <c r="C2605" s="30">
        <v>24.22</v>
      </c>
      <c r="G2605" s="18"/>
    </row>
    <row r="2606" spans="1:7" x14ac:dyDescent="0.25">
      <c r="A2606" s="30">
        <v>0.97150797022716762</v>
      </c>
      <c r="B2606" s="30">
        <v>0</v>
      </c>
      <c r="C2606" s="30">
        <v>24.22</v>
      </c>
      <c r="G2606" s="18"/>
    </row>
    <row r="2607" spans="1:7" x14ac:dyDescent="0.25">
      <c r="A2607" s="30">
        <v>2.3367145425917917</v>
      </c>
      <c r="B2607" s="30">
        <v>0</v>
      </c>
      <c r="C2607" s="30">
        <v>24.22</v>
      </c>
      <c r="G2607" s="18"/>
    </row>
    <row r="2608" spans="1:7" x14ac:dyDescent="0.25">
      <c r="A2608" s="30">
        <v>1.2341196973784281</v>
      </c>
      <c r="B2608" s="30">
        <v>0</v>
      </c>
      <c r="C2608" s="30">
        <v>24.22</v>
      </c>
      <c r="G2608" s="18"/>
    </row>
    <row r="2609" spans="1:7" x14ac:dyDescent="0.25">
      <c r="A2609" s="30">
        <v>1.3593449857251385</v>
      </c>
      <c r="B2609" s="30">
        <v>0</v>
      </c>
      <c r="C2609" s="30">
        <v>24.22</v>
      </c>
      <c r="G2609" s="18"/>
    </row>
    <row r="2610" spans="1:7" x14ac:dyDescent="0.25">
      <c r="A2610" s="30">
        <v>0.1998857130895762</v>
      </c>
      <c r="B2610" s="30">
        <v>0</v>
      </c>
      <c r="C2610" s="30">
        <v>24.22</v>
      </c>
      <c r="G2610" s="18"/>
    </row>
    <row r="2611" spans="1:7" x14ac:dyDescent="0.25">
      <c r="A2611" s="30">
        <v>0.82058200935410053</v>
      </c>
      <c r="B2611" s="30">
        <v>0</v>
      </c>
      <c r="C2611" s="30">
        <v>24.22</v>
      </c>
      <c r="G2611" s="18"/>
    </row>
    <row r="2612" spans="1:7" x14ac:dyDescent="0.25">
      <c r="A2612" s="30">
        <v>1.4445694570188138E-2</v>
      </c>
      <c r="B2612" s="30">
        <v>0</v>
      </c>
      <c r="C2612" s="30">
        <v>11.2</v>
      </c>
      <c r="G2612" s="18"/>
    </row>
    <row r="2613" spans="1:7" x14ac:dyDescent="0.25">
      <c r="A2613" s="30">
        <v>1.1260889044213667</v>
      </c>
      <c r="B2613" s="30">
        <v>0</v>
      </c>
      <c r="C2613" s="30">
        <v>11.2</v>
      </c>
      <c r="G2613" s="18"/>
    </row>
    <row r="2614" spans="1:7" x14ac:dyDescent="0.25">
      <c r="A2614" s="30">
        <v>0.17077317643661452</v>
      </c>
      <c r="B2614" s="30">
        <v>0</v>
      </c>
      <c r="C2614" s="30">
        <v>11.2</v>
      </c>
      <c r="G2614" s="18"/>
    </row>
    <row r="2615" spans="1:7" x14ac:dyDescent="0.25">
      <c r="A2615" s="30">
        <v>1.7420158666490795</v>
      </c>
      <c r="B2615" s="30">
        <v>0</v>
      </c>
      <c r="C2615" s="30">
        <v>11.2</v>
      </c>
      <c r="G2615" s="18"/>
    </row>
    <row r="2616" spans="1:7" x14ac:dyDescent="0.25">
      <c r="A2616" s="30">
        <v>0.22873436939025749</v>
      </c>
      <c r="B2616" s="30">
        <v>0</v>
      </c>
      <c r="C2616" s="30">
        <v>11.2</v>
      </c>
      <c r="G2616" s="18"/>
    </row>
    <row r="2617" spans="1:7" x14ac:dyDescent="0.25">
      <c r="A2617" s="30">
        <v>0.37570638771584991</v>
      </c>
      <c r="B2617" s="30">
        <v>0</v>
      </c>
      <c r="C2617" s="30">
        <v>11.2</v>
      </c>
      <c r="G2617" s="18"/>
    </row>
    <row r="2618" spans="1:7" x14ac:dyDescent="0.25">
      <c r="A2618" s="30">
        <v>0.60510813583645262</v>
      </c>
      <c r="B2618" s="30">
        <v>0</v>
      </c>
      <c r="C2618" s="30">
        <v>11.2</v>
      </c>
      <c r="G2618" s="18"/>
    </row>
    <row r="2619" spans="1:7" x14ac:dyDescent="0.25">
      <c r="A2619" s="30">
        <v>2.0437582098553637</v>
      </c>
      <c r="B2619" s="30">
        <v>0</v>
      </c>
      <c r="C2619" s="30">
        <v>11.2</v>
      </c>
      <c r="G2619" s="18"/>
    </row>
    <row r="2620" spans="1:7" x14ac:dyDescent="0.25">
      <c r="A2620" s="30">
        <v>0.5546448125786887</v>
      </c>
      <c r="B2620" s="30">
        <v>0</v>
      </c>
      <c r="C2620" s="30">
        <v>11.2</v>
      </c>
      <c r="G2620" s="18"/>
    </row>
    <row r="2621" spans="1:7" x14ac:dyDescent="0.25">
      <c r="A2621" s="30">
        <v>0.97368296365311158</v>
      </c>
      <c r="B2621" s="30">
        <v>0</v>
      </c>
      <c r="C2621" s="30">
        <v>11.2</v>
      </c>
      <c r="G2621" s="18"/>
    </row>
    <row r="2622" spans="1:7" x14ac:dyDescent="0.25">
      <c r="A2622" s="30">
        <v>0.19335452781504567</v>
      </c>
      <c r="B2622" s="30">
        <v>0</v>
      </c>
      <c r="C2622" s="30">
        <v>11.2</v>
      </c>
      <c r="G2622" s="18"/>
    </row>
    <row r="2623" spans="1:7" x14ac:dyDescent="0.25">
      <c r="A2623" s="30">
        <v>1.6951916898220101</v>
      </c>
      <c r="B2623" s="30">
        <v>0</v>
      </c>
      <c r="C2623" s="30">
        <v>11.2</v>
      </c>
      <c r="G2623" s="18"/>
    </row>
    <row r="2624" spans="1:7" x14ac:dyDescent="0.25">
      <c r="A2624" s="30">
        <v>0.1739363975373901</v>
      </c>
      <c r="B2624" s="30">
        <v>0</v>
      </c>
      <c r="C2624" s="30">
        <v>11.2</v>
      </c>
      <c r="G2624" s="18"/>
    </row>
    <row r="2625" spans="1:7" x14ac:dyDescent="0.25">
      <c r="A2625" s="30">
        <v>2.3884406304838293</v>
      </c>
      <c r="B2625" s="30">
        <v>0</v>
      </c>
      <c r="C2625" s="30">
        <v>11.2</v>
      </c>
      <c r="G2625" s="18"/>
    </row>
    <row r="2626" spans="1:7" x14ac:dyDescent="0.25">
      <c r="A2626" s="30">
        <v>0.21831037188472191</v>
      </c>
      <c r="B2626" s="30">
        <v>0</v>
      </c>
      <c r="C2626" s="30">
        <v>11.2</v>
      </c>
      <c r="G2626" s="18"/>
    </row>
    <row r="2627" spans="1:7" x14ac:dyDescent="0.25">
      <c r="A2627" s="30">
        <v>1.1785215409364174</v>
      </c>
      <c r="B2627" s="30">
        <v>0</v>
      </c>
      <c r="C2627" s="30">
        <v>8.68</v>
      </c>
      <c r="G2627" s="18"/>
    </row>
    <row r="2628" spans="1:7" x14ac:dyDescent="0.25">
      <c r="A2628" s="30">
        <v>0.89622530654918064</v>
      </c>
      <c r="B2628" s="30">
        <v>0</v>
      </c>
      <c r="C2628" s="30">
        <v>8.68</v>
      </c>
      <c r="G2628" s="18"/>
    </row>
    <row r="2629" spans="1:7" x14ac:dyDescent="0.25">
      <c r="A2629" s="30">
        <v>1.0302936194365511</v>
      </c>
      <c r="B2629" s="30">
        <v>0</v>
      </c>
      <c r="C2629" s="30">
        <v>8.68</v>
      </c>
      <c r="G2629" s="18"/>
    </row>
    <row r="2630" spans="1:7" x14ac:dyDescent="0.25">
      <c r="A2630" s="30">
        <v>0.59875359789283478</v>
      </c>
      <c r="B2630" s="30">
        <v>0</v>
      </c>
      <c r="C2630" s="30">
        <v>8.68</v>
      </c>
      <c r="G2630" s="18"/>
    </row>
    <row r="2631" spans="1:7" x14ac:dyDescent="0.25">
      <c r="A2631" s="30">
        <v>0.57596933213993817</v>
      </c>
      <c r="B2631" s="30">
        <v>0</v>
      </c>
      <c r="C2631" s="30">
        <v>8.68</v>
      </c>
      <c r="G2631" s="18"/>
    </row>
    <row r="2632" spans="1:7" x14ac:dyDescent="0.25">
      <c r="A2632" s="30">
        <v>0.92124037829284511</v>
      </c>
      <c r="B2632" s="30">
        <v>0</v>
      </c>
      <c r="C2632" s="30">
        <v>8.68</v>
      </c>
      <c r="G2632" s="18"/>
    </row>
    <row r="2633" spans="1:7" x14ac:dyDescent="0.25">
      <c r="A2633" s="30">
        <v>2.3959230982975042</v>
      </c>
      <c r="B2633" s="30">
        <v>0</v>
      </c>
      <c r="C2633" s="30">
        <v>8.68</v>
      </c>
      <c r="G2633" s="18"/>
    </row>
    <row r="2634" spans="1:7" x14ac:dyDescent="0.25">
      <c r="A2634" s="30">
        <v>0.50544720340919647</v>
      </c>
      <c r="B2634" s="30">
        <v>0</v>
      </c>
      <c r="C2634" s="30">
        <v>8.68</v>
      </c>
      <c r="G2634" s="18"/>
    </row>
    <row r="2635" spans="1:7" x14ac:dyDescent="0.25">
      <c r="A2635" s="30">
        <v>0.10339602224412552</v>
      </c>
      <c r="B2635" s="30">
        <v>0</v>
      </c>
      <c r="C2635" s="30">
        <v>8.68</v>
      </c>
      <c r="G2635" s="18"/>
    </row>
    <row r="2636" spans="1:7" x14ac:dyDescent="0.25">
      <c r="A2636" s="30">
        <v>0.97293604313238036</v>
      </c>
      <c r="B2636" s="30">
        <v>0</v>
      </c>
      <c r="C2636" s="30">
        <v>8.68</v>
      </c>
      <c r="G2636" s="18"/>
    </row>
    <row r="2637" spans="1:7" x14ac:dyDescent="0.25">
      <c r="A2637" s="30">
        <v>0.68953368821574379</v>
      </c>
      <c r="B2637" s="30">
        <v>0</v>
      </c>
      <c r="C2637" s="30">
        <v>8.68</v>
      </c>
      <c r="G2637" s="18"/>
    </row>
    <row r="2638" spans="1:7" x14ac:dyDescent="0.25">
      <c r="A2638" s="30">
        <v>0.66762013354551186</v>
      </c>
      <c r="B2638" s="30">
        <v>0</v>
      </c>
      <c r="C2638" s="30">
        <v>8.68</v>
      </c>
      <c r="G2638" s="18"/>
    </row>
    <row r="2639" spans="1:7" x14ac:dyDescent="0.25">
      <c r="A2639" s="30">
        <v>0.55628154681123587</v>
      </c>
      <c r="B2639" s="30">
        <v>0</v>
      </c>
      <c r="C2639" s="30">
        <v>8.68</v>
      </c>
      <c r="G2639" s="18"/>
    </row>
    <row r="2640" spans="1:7" x14ac:dyDescent="0.25">
      <c r="A2640" s="30">
        <v>0.9934747515000989</v>
      </c>
      <c r="B2640" s="30">
        <v>0</v>
      </c>
      <c r="C2640" s="30">
        <v>8.68</v>
      </c>
      <c r="G2640" s="18"/>
    </row>
    <row r="2641" spans="1:7" x14ac:dyDescent="0.25">
      <c r="A2641" s="30">
        <v>1.2442530262501617</v>
      </c>
      <c r="B2641" s="30">
        <v>0</v>
      </c>
      <c r="C2641" s="30">
        <v>8.68</v>
      </c>
      <c r="G2641" s="18"/>
    </row>
    <row r="2642" spans="1:7" x14ac:dyDescent="0.25">
      <c r="A2642" s="30">
        <v>0.37953597957932705</v>
      </c>
      <c r="B2642" s="30">
        <v>0</v>
      </c>
      <c r="C2642" s="30">
        <v>8.68</v>
      </c>
      <c r="G2642" s="18"/>
    </row>
    <row r="2643" spans="1:7" x14ac:dyDescent="0.25">
      <c r="A2643" s="30">
        <v>0.14843803992753557</v>
      </c>
      <c r="B2643" s="30">
        <v>0</v>
      </c>
      <c r="C2643" s="30">
        <v>16.38</v>
      </c>
      <c r="G2643" s="18"/>
    </row>
    <row r="2644" spans="1:7" x14ac:dyDescent="0.25">
      <c r="A2644" s="30">
        <v>0.75250233231920904</v>
      </c>
      <c r="B2644" s="30">
        <v>0</v>
      </c>
      <c r="C2644" s="30">
        <v>16.38</v>
      </c>
      <c r="G2644" s="18"/>
    </row>
    <row r="2645" spans="1:7" x14ac:dyDescent="0.25">
      <c r="A2645" s="30">
        <v>1.2117463507968513</v>
      </c>
      <c r="B2645" s="30">
        <v>0</v>
      </c>
      <c r="C2645" s="30">
        <v>16.38</v>
      </c>
      <c r="G2645" s="18"/>
    </row>
    <row r="2646" spans="1:7" x14ac:dyDescent="0.25">
      <c r="A2646" s="30">
        <v>0.91377575583054749</v>
      </c>
      <c r="B2646" s="30">
        <v>0</v>
      </c>
      <c r="C2646" s="30">
        <v>16.38</v>
      </c>
      <c r="G2646" s="18"/>
    </row>
    <row r="2647" spans="1:7" x14ac:dyDescent="0.25">
      <c r="A2647" s="30">
        <v>1.7637267230310356</v>
      </c>
      <c r="B2647" s="30">
        <v>0</v>
      </c>
      <c r="C2647" s="30">
        <v>16.38</v>
      </c>
      <c r="G2647" s="18"/>
    </row>
    <row r="2648" spans="1:7" x14ac:dyDescent="0.25">
      <c r="A2648" s="30">
        <v>7.345126681529994E-2</v>
      </c>
      <c r="B2648" s="30">
        <v>0</v>
      </c>
      <c r="C2648" s="30">
        <v>16.38</v>
      </c>
      <c r="G2648" s="18"/>
    </row>
    <row r="2649" spans="1:7" x14ac:dyDescent="0.25">
      <c r="A2649" s="30">
        <v>0.74549342591709267</v>
      </c>
      <c r="B2649" s="30">
        <v>0</v>
      </c>
      <c r="C2649" s="30">
        <v>16.38</v>
      </c>
      <c r="G2649" s="18"/>
    </row>
    <row r="2650" spans="1:7" x14ac:dyDescent="0.25">
      <c r="A2650" s="30">
        <v>0.99602248459440013</v>
      </c>
      <c r="B2650" s="30">
        <v>0</v>
      </c>
      <c r="C2650" s="30">
        <v>16.38</v>
      </c>
      <c r="G2650" s="18"/>
    </row>
    <row r="2651" spans="1:7" x14ac:dyDescent="0.25">
      <c r="A2651" s="30">
        <v>1.0408200420644602</v>
      </c>
      <c r="B2651" s="30">
        <v>0</v>
      </c>
      <c r="C2651" s="30">
        <v>16.38</v>
      </c>
      <c r="G2651" s="18"/>
    </row>
    <row r="2652" spans="1:7" x14ac:dyDescent="0.25">
      <c r="A2652" s="30">
        <v>1.1955407112935195</v>
      </c>
      <c r="B2652" s="30">
        <v>0</v>
      </c>
      <c r="C2652" s="30">
        <v>16.38</v>
      </c>
      <c r="G2652" s="18"/>
    </row>
    <row r="2653" spans="1:7" x14ac:dyDescent="0.25">
      <c r="A2653" s="30">
        <v>1.3608595432346071</v>
      </c>
      <c r="B2653" s="30">
        <v>0</v>
      </c>
      <c r="C2653" s="30">
        <v>16.38</v>
      </c>
      <c r="G2653" s="18"/>
    </row>
    <row r="2654" spans="1:7" x14ac:dyDescent="0.25">
      <c r="A2654" s="30">
        <v>0.65936652719046196</v>
      </c>
      <c r="B2654" s="30">
        <v>0</v>
      </c>
      <c r="C2654" s="30">
        <v>16.38</v>
      </c>
      <c r="G2654" s="18"/>
    </row>
    <row r="2655" spans="1:7" x14ac:dyDescent="0.25">
      <c r="A2655" s="30">
        <v>0.86093330046520256</v>
      </c>
      <c r="B2655" s="30">
        <v>0</v>
      </c>
      <c r="C2655" s="30">
        <v>16.38</v>
      </c>
      <c r="G2655" s="18"/>
    </row>
    <row r="2656" spans="1:7" x14ac:dyDescent="0.25">
      <c r="A2656" s="30">
        <v>0.54973548271304162</v>
      </c>
      <c r="B2656" s="30">
        <v>0</v>
      </c>
      <c r="C2656" s="30">
        <v>16.38</v>
      </c>
      <c r="G2656" s="18"/>
    </row>
    <row r="2657" spans="1:7" x14ac:dyDescent="0.25">
      <c r="A2657" s="30">
        <v>1.8037327565211154</v>
      </c>
      <c r="B2657" s="30">
        <v>0</v>
      </c>
      <c r="C2657" s="30">
        <v>16.38</v>
      </c>
      <c r="G2657" s="18"/>
    </row>
    <row r="2658" spans="1:7" x14ac:dyDescent="0.25">
      <c r="A2658" s="30">
        <v>0.16993933200527572</v>
      </c>
      <c r="B2658" s="30">
        <v>0</v>
      </c>
      <c r="C2658" s="30">
        <v>16.38</v>
      </c>
      <c r="G2658" s="18"/>
    </row>
    <row r="2659" spans="1:7" x14ac:dyDescent="0.25">
      <c r="A2659" s="30">
        <v>2.2070750212983596</v>
      </c>
      <c r="B2659" s="30">
        <v>0</v>
      </c>
      <c r="C2659" s="30">
        <v>16.38</v>
      </c>
      <c r="G2659" s="18"/>
    </row>
    <row r="2660" spans="1:7" x14ac:dyDescent="0.25">
      <c r="A2660" s="30">
        <v>1.2488599361591786</v>
      </c>
      <c r="B2660" s="30">
        <v>0</v>
      </c>
      <c r="C2660" s="30">
        <v>34.299999999999997</v>
      </c>
      <c r="G2660" s="18"/>
    </row>
    <row r="2661" spans="1:7" x14ac:dyDescent="0.25">
      <c r="A2661" s="30">
        <v>1.8268944375034135</v>
      </c>
      <c r="B2661" s="30">
        <v>0</v>
      </c>
      <c r="C2661" s="30">
        <v>34.299999999999997</v>
      </c>
      <c r="G2661" s="18"/>
    </row>
    <row r="2662" spans="1:7" x14ac:dyDescent="0.25">
      <c r="A2662" s="30">
        <v>1.1474613797041948</v>
      </c>
      <c r="B2662" s="30">
        <v>0</v>
      </c>
      <c r="C2662" s="30">
        <v>34.299999999999997</v>
      </c>
      <c r="G2662" s="18"/>
    </row>
    <row r="2663" spans="1:7" x14ac:dyDescent="0.25">
      <c r="A2663" s="30">
        <v>1.0425431123364652</v>
      </c>
      <c r="B2663" s="30">
        <v>0</v>
      </c>
      <c r="C2663" s="30">
        <v>34.299999999999997</v>
      </c>
      <c r="G2663" s="18"/>
    </row>
    <row r="2664" spans="1:7" x14ac:dyDescent="0.25">
      <c r="A2664" s="30">
        <v>0.24289120784372303</v>
      </c>
      <c r="B2664" s="30">
        <v>0</v>
      </c>
      <c r="C2664" s="30">
        <v>34.299999999999997</v>
      </c>
      <c r="G2664" s="18"/>
    </row>
    <row r="2665" spans="1:7" x14ac:dyDescent="0.25">
      <c r="A2665" s="30">
        <v>0.48490821530919959</v>
      </c>
      <c r="B2665" s="30">
        <v>0</v>
      </c>
      <c r="C2665" s="30">
        <v>34.299999999999997</v>
      </c>
      <c r="G2665" s="18"/>
    </row>
    <row r="2666" spans="1:7" x14ac:dyDescent="0.25">
      <c r="A2666" s="30">
        <v>1.0551491545662564</v>
      </c>
      <c r="B2666" s="30">
        <v>0</v>
      </c>
      <c r="C2666" s="30">
        <v>34.299999999999997</v>
      </c>
      <c r="G2666" s="18"/>
    </row>
    <row r="2667" spans="1:7" x14ac:dyDescent="0.25">
      <c r="A2667" s="30">
        <v>1.9669987123858683</v>
      </c>
      <c r="B2667" s="30">
        <v>0</v>
      </c>
      <c r="C2667" s="30">
        <v>34.299999999999997</v>
      </c>
      <c r="G2667" s="18"/>
    </row>
    <row r="2668" spans="1:7" x14ac:dyDescent="0.25">
      <c r="A2668" s="30">
        <v>0.32909121538955038</v>
      </c>
      <c r="B2668" s="30">
        <v>0</v>
      </c>
      <c r="C2668" s="30">
        <v>34.299999999999997</v>
      </c>
      <c r="G2668" s="18"/>
    </row>
    <row r="2669" spans="1:7" x14ac:dyDescent="0.25">
      <c r="A2669" s="30">
        <v>1.6180745180682781</v>
      </c>
      <c r="B2669" s="30">
        <v>0</v>
      </c>
      <c r="C2669" s="30">
        <v>34.299999999999997</v>
      </c>
      <c r="G2669" s="18"/>
    </row>
    <row r="2670" spans="1:7" x14ac:dyDescent="0.25">
      <c r="A2670" s="30">
        <v>0.74395383519477809</v>
      </c>
      <c r="B2670" s="30">
        <v>0</v>
      </c>
      <c r="C2670" s="30">
        <v>34.299999999999997</v>
      </c>
      <c r="G2670" s="18"/>
    </row>
    <row r="2671" spans="1:7" x14ac:dyDescent="0.25">
      <c r="A2671" s="30">
        <v>2.3365674886199077</v>
      </c>
      <c r="B2671" s="30">
        <v>0</v>
      </c>
      <c r="C2671" s="30">
        <v>34.299999999999997</v>
      </c>
      <c r="G2671" s="18"/>
    </row>
    <row r="2672" spans="1:7" x14ac:dyDescent="0.25">
      <c r="A2672" s="30">
        <v>1.2946777741959499</v>
      </c>
      <c r="B2672" s="30">
        <v>0</v>
      </c>
      <c r="C2672" s="30">
        <v>34.299999999999997</v>
      </c>
      <c r="G2672" s="18"/>
    </row>
    <row r="2673" spans="1:7" x14ac:dyDescent="0.25">
      <c r="A2673" s="30">
        <v>7.5513366624241934E-2</v>
      </c>
      <c r="B2673" s="30">
        <v>0</v>
      </c>
      <c r="C2673" s="30">
        <v>15.12</v>
      </c>
      <c r="G2673" s="18"/>
    </row>
    <row r="2674" spans="1:7" x14ac:dyDescent="0.25">
      <c r="A2674" s="30">
        <v>0.29700977512809912</v>
      </c>
      <c r="B2674" s="30">
        <v>0</v>
      </c>
      <c r="C2674" s="30">
        <v>15.12</v>
      </c>
      <c r="G2674" s="18"/>
    </row>
    <row r="2675" spans="1:7" x14ac:dyDescent="0.25">
      <c r="A2675" s="30">
        <v>0.31445303393118262</v>
      </c>
      <c r="B2675" s="30">
        <v>0</v>
      </c>
      <c r="C2675" s="30">
        <v>15.12</v>
      </c>
      <c r="G2675" s="18"/>
    </row>
    <row r="2676" spans="1:7" x14ac:dyDescent="0.25">
      <c r="A2676" s="30">
        <v>0.71760493727627972</v>
      </c>
      <c r="B2676" s="30">
        <v>0</v>
      </c>
      <c r="C2676" s="30">
        <v>15.12</v>
      </c>
      <c r="G2676" s="18"/>
    </row>
    <row r="2677" spans="1:7" x14ac:dyDescent="0.25">
      <c r="A2677" s="30">
        <v>0.33993589343746916</v>
      </c>
      <c r="B2677" s="30">
        <v>0</v>
      </c>
      <c r="C2677" s="30">
        <v>15.12</v>
      </c>
      <c r="G2677" s="18"/>
    </row>
    <row r="2678" spans="1:7" x14ac:dyDescent="0.25">
      <c r="A2678" s="30">
        <v>1.1094465373101596</v>
      </c>
      <c r="B2678" s="30">
        <v>0</v>
      </c>
      <c r="C2678" s="30">
        <v>15.12</v>
      </c>
      <c r="G2678" s="18"/>
    </row>
    <row r="2679" spans="1:7" x14ac:dyDescent="0.25">
      <c r="A2679" s="30">
        <v>0.54300287888849252</v>
      </c>
      <c r="B2679" s="30">
        <v>0</v>
      </c>
      <c r="C2679" s="30">
        <v>15.12</v>
      </c>
      <c r="G2679" s="18"/>
    </row>
    <row r="2680" spans="1:7" x14ac:dyDescent="0.25">
      <c r="A2680" s="30">
        <v>0.38967637381076647</v>
      </c>
      <c r="B2680" s="30">
        <v>0</v>
      </c>
      <c r="C2680" s="30">
        <v>15.12</v>
      </c>
      <c r="G2680" s="18"/>
    </row>
    <row r="2681" spans="1:7" x14ac:dyDescent="0.25">
      <c r="A2681" s="30">
        <v>0.95657949453196023</v>
      </c>
      <c r="B2681" s="30">
        <v>0</v>
      </c>
      <c r="C2681" s="30">
        <v>14</v>
      </c>
      <c r="G2681" s="18"/>
    </row>
    <row r="2682" spans="1:7" x14ac:dyDescent="0.25">
      <c r="A2682" s="30">
        <v>0.90239798089173306</v>
      </c>
      <c r="B2682" s="30">
        <v>0</v>
      </c>
      <c r="C2682" s="30">
        <v>14</v>
      </c>
      <c r="G2682" s="18"/>
    </row>
    <row r="2683" spans="1:7" x14ac:dyDescent="0.25">
      <c r="A2683" s="30">
        <v>2.3582619537207088</v>
      </c>
      <c r="B2683" s="30">
        <v>0</v>
      </c>
      <c r="C2683" s="30">
        <v>14</v>
      </c>
      <c r="G2683" s="18"/>
    </row>
    <row r="2684" spans="1:7" x14ac:dyDescent="0.25">
      <c r="A2684" s="30">
        <v>0.47042993227116747</v>
      </c>
      <c r="B2684" s="30">
        <v>0</v>
      </c>
      <c r="C2684" s="30">
        <v>14</v>
      </c>
      <c r="G2684" s="18"/>
    </row>
    <row r="2685" spans="1:7" x14ac:dyDescent="0.25">
      <c r="A2685" s="30">
        <v>1.4888714779983316</v>
      </c>
      <c r="B2685" s="30">
        <v>0</v>
      </c>
      <c r="C2685" s="30">
        <v>14</v>
      </c>
      <c r="G2685" s="18"/>
    </row>
    <row r="2686" spans="1:7" x14ac:dyDescent="0.25">
      <c r="A2686" s="30">
        <v>0.50975090791909383</v>
      </c>
      <c r="B2686" s="30">
        <v>0</v>
      </c>
      <c r="C2686" s="30">
        <v>14</v>
      </c>
      <c r="G2686" s="18"/>
    </row>
    <row r="2687" spans="1:7" x14ac:dyDescent="0.25">
      <c r="A2687" s="30">
        <v>0.31878040445211547</v>
      </c>
      <c r="B2687" s="30">
        <v>0</v>
      </c>
      <c r="C2687" s="30">
        <v>14</v>
      </c>
      <c r="G2687" s="18"/>
    </row>
    <row r="2688" spans="1:7" x14ac:dyDescent="0.25">
      <c r="A2688" s="30">
        <v>0.78519486296473573</v>
      </c>
      <c r="B2688" s="30">
        <v>0</v>
      </c>
      <c r="C2688" s="30">
        <v>14</v>
      </c>
      <c r="G2688" s="18"/>
    </row>
    <row r="2689" spans="1:7" x14ac:dyDescent="0.25">
      <c r="A2689" s="30">
        <v>1.7267155854637708</v>
      </c>
      <c r="B2689" s="30">
        <v>0</v>
      </c>
      <c r="C2689" s="30">
        <v>14</v>
      </c>
      <c r="G2689" s="18"/>
    </row>
    <row r="2690" spans="1:7" x14ac:dyDescent="0.25">
      <c r="A2690" s="30">
        <v>0.31520486350994775</v>
      </c>
      <c r="B2690" s="30">
        <v>0</v>
      </c>
      <c r="C2690" s="30">
        <v>14</v>
      </c>
      <c r="G2690" s="18"/>
    </row>
    <row r="2691" spans="1:7" x14ac:dyDescent="0.25">
      <c r="A2691" s="30">
        <v>1.8616369788820173</v>
      </c>
      <c r="B2691" s="30">
        <v>0</v>
      </c>
      <c r="C2691" s="30">
        <v>14</v>
      </c>
      <c r="G2691" s="18"/>
    </row>
    <row r="2692" spans="1:7" x14ac:dyDescent="0.25">
      <c r="A2692" s="30">
        <v>0.4307513649309988</v>
      </c>
      <c r="B2692" s="30">
        <v>0</v>
      </c>
      <c r="C2692" s="30">
        <v>14</v>
      </c>
      <c r="G2692" s="18"/>
    </row>
    <row r="2693" spans="1:7" x14ac:dyDescent="0.25">
      <c r="A2693" s="30">
        <v>0.5324199111851351</v>
      </c>
      <c r="B2693" s="30">
        <v>0</v>
      </c>
      <c r="C2693" s="30">
        <v>14</v>
      </c>
      <c r="G2693" s="18"/>
    </row>
    <row r="2694" spans="1:7" x14ac:dyDescent="0.25">
      <c r="A2694" s="30">
        <v>0.73587102354942335</v>
      </c>
      <c r="B2694" s="30">
        <v>0</v>
      </c>
      <c r="C2694" s="30">
        <v>14</v>
      </c>
      <c r="G2694" s="18"/>
    </row>
    <row r="2695" spans="1:7" x14ac:dyDescent="0.25">
      <c r="A2695" s="30">
        <v>0.94820391128044823</v>
      </c>
      <c r="B2695" s="30">
        <v>0</v>
      </c>
      <c r="C2695" s="30">
        <v>14</v>
      </c>
      <c r="G2695" s="18"/>
    </row>
    <row r="2696" spans="1:7" x14ac:dyDescent="0.25">
      <c r="A2696" s="30">
        <v>0.19338524715052108</v>
      </c>
      <c r="B2696" s="30">
        <v>0</v>
      </c>
      <c r="C2696" s="30">
        <v>17.22</v>
      </c>
      <c r="G2696" s="18"/>
    </row>
    <row r="2697" spans="1:7" x14ac:dyDescent="0.25">
      <c r="A2697" s="30">
        <v>0.47990720368454703</v>
      </c>
      <c r="B2697" s="30">
        <v>0</v>
      </c>
      <c r="C2697" s="30">
        <v>17.22</v>
      </c>
      <c r="G2697" s="18"/>
    </row>
    <row r="2698" spans="1:7" x14ac:dyDescent="0.25">
      <c r="A2698" s="30">
        <v>1.3107359577702848</v>
      </c>
      <c r="B2698" s="30">
        <v>0</v>
      </c>
      <c r="C2698" s="30">
        <v>17.22</v>
      </c>
      <c r="G2698" s="18"/>
    </row>
    <row r="2699" spans="1:7" x14ac:dyDescent="0.25">
      <c r="A2699" s="30">
        <v>1.8498107760704812</v>
      </c>
      <c r="B2699" s="30">
        <v>0</v>
      </c>
      <c r="C2699" s="30">
        <v>17.22</v>
      </c>
      <c r="G2699" s="18"/>
    </row>
    <row r="2700" spans="1:7" x14ac:dyDescent="0.25">
      <c r="A2700" s="30">
        <v>1.3123094639784754</v>
      </c>
      <c r="B2700" s="30">
        <v>0</v>
      </c>
      <c r="C2700" s="30">
        <v>17.22</v>
      </c>
      <c r="G2700" s="18"/>
    </row>
    <row r="2701" spans="1:7" x14ac:dyDescent="0.25">
      <c r="A2701" s="30">
        <v>0.91591128394123378</v>
      </c>
      <c r="B2701" s="30">
        <v>0</v>
      </c>
      <c r="C2701" s="30">
        <v>17.22</v>
      </c>
      <c r="G2701" s="18"/>
    </row>
    <row r="2702" spans="1:7" x14ac:dyDescent="0.25">
      <c r="A2702" s="30">
        <v>0.87146529648737769</v>
      </c>
      <c r="B2702" s="30">
        <v>0</v>
      </c>
      <c r="C2702" s="30">
        <v>17.22</v>
      </c>
      <c r="G2702" s="18"/>
    </row>
    <row r="2703" spans="1:7" x14ac:dyDescent="0.25">
      <c r="A2703" s="30">
        <v>1.9106580632137415</v>
      </c>
      <c r="B2703" s="30">
        <v>0</v>
      </c>
      <c r="C2703" s="30">
        <v>17.22</v>
      </c>
      <c r="G2703" s="18"/>
    </row>
    <row r="2704" spans="1:7" x14ac:dyDescent="0.25">
      <c r="A2704" s="30">
        <v>1.0395013234735413</v>
      </c>
      <c r="B2704" s="30">
        <v>0</v>
      </c>
      <c r="C2704" s="30">
        <v>17.22</v>
      </c>
      <c r="G2704" s="18"/>
    </row>
    <row r="2705" spans="1:7" x14ac:dyDescent="0.25">
      <c r="A2705" s="30">
        <v>2.2537674787748925</v>
      </c>
      <c r="B2705" s="30">
        <v>0</v>
      </c>
      <c r="C2705" s="30">
        <v>17.22</v>
      </c>
      <c r="G2705" s="18"/>
    </row>
    <row r="2706" spans="1:7" x14ac:dyDescent="0.25">
      <c r="A2706" s="30">
        <v>0.30914737225842837</v>
      </c>
      <c r="B2706" s="30">
        <v>0</v>
      </c>
      <c r="C2706" s="30">
        <v>17.22</v>
      </c>
      <c r="G2706" s="18"/>
    </row>
    <row r="2707" spans="1:7" x14ac:dyDescent="0.25">
      <c r="A2707" s="30">
        <v>2.0928449484486338</v>
      </c>
      <c r="B2707" s="30">
        <v>0</v>
      </c>
      <c r="C2707" s="30">
        <v>17.22</v>
      </c>
      <c r="G2707" s="18"/>
    </row>
    <row r="2708" spans="1:7" x14ac:dyDescent="0.25">
      <c r="A2708" s="30">
        <v>1.205789139439005</v>
      </c>
      <c r="B2708" s="30">
        <v>0</v>
      </c>
      <c r="C2708" s="30">
        <v>17.22</v>
      </c>
      <c r="G2708" s="18"/>
    </row>
    <row r="2709" spans="1:7" x14ac:dyDescent="0.25">
      <c r="A2709" s="30">
        <v>1.3123197051765625</v>
      </c>
      <c r="B2709" s="30">
        <v>0</v>
      </c>
      <c r="C2709" s="30">
        <v>17.22</v>
      </c>
      <c r="G2709" s="18"/>
    </row>
    <row r="2710" spans="1:7" x14ac:dyDescent="0.25">
      <c r="A2710" s="30">
        <v>1.1628602068516867</v>
      </c>
      <c r="B2710" s="30">
        <v>0</v>
      </c>
      <c r="C2710" s="30">
        <v>20.72</v>
      </c>
      <c r="G2710" s="18"/>
    </row>
    <row r="2711" spans="1:7" x14ac:dyDescent="0.25">
      <c r="A2711" s="30">
        <v>2.2416290628765116</v>
      </c>
      <c r="B2711" s="30">
        <v>0</v>
      </c>
      <c r="C2711" s="30">
        <v>20.72</v>
      </c>
      <c r="G2711" s="18"/>
    </row>
    <row r="2712" spans="1:7" x14ac:dyDescent="0.25">
      <c r="A2712" s="30">
        <v>1.0312611951943353</v>
      </c>
      <c r="B2712" s="30">
        <v>0</v>
      </c>
      <c r="C2712" s="30">
        <v>20.72</v>
      </c>
      <c r="G2712" s="18"/>
    </row>
    <row r="2713" spans="1:7" x14ac:dyDescent="0.25">
      <c r="A2713" s="30">
        <v>0.94501480279097194</v>
      </c>
      <c r="B2713" s="30">
        <v>0</v>
      </c>
      <c r="C2713" s="30">
        <v>20.72</v>
      </c>
      <c r="G2713" s="18"/>
    </row>
    <row r="2714" spans="1:7" x14ac:dyDescent="0.25">
      <c r="A2714" s="30">
        <v>8.0555756607749635E-2</v>
      </c>
      <c r="B2714" s="30">
        <v>0</v>
      </c>
      <c r="C2714" s="30">
        <v>20.72</v>
      </c>
      <c r="G2714" s="18"/>
    </row>
    <row r="2715" spans="1:7" x14ac:dyDescent="0.25">
      <c r="A2715" s="30">
        <v>0.51603407762476539</v>
      </c>
      <c r="B2715" s="30">
        <v>0</v>
      </c>
      <c r="C2715" s="30">
        <v>20.72</v>
      </c>
      <c r="G2715" s="18"/>
    </row>
    <row r="2716" spans="1:7" x14ac:dyDescent="0.25">
      <c r="A2716" s="30">
        <v>0.23566304570048105</v>
      </c>
      <c r="B2716" s="30">
        <v>0</v>
      </c>
      <c r="C2716" s="30">
        <v>20.72</v>
      </c>
      <c r="G2716" s="18"/>
    </row>
    <row r="2717" spans="1:7" x14ac:dyDescent="0.25">
      <c r="A2717" s="30">
        <v>1.6205927764130226</v>
      </c>
      <c r="B2717" s="30">
        <v>0</v>
      </c>
      <c r="C2717" s="30">
        <v>20.72</v>
      </c>
      <c r="G2717" s="18"/>
    </row>
    <row r="2718" spans="1:7" x14ac:dyDescent="0.25">
      <c r="A2718" s="30">
        <v>0.90105413730910944</v>
      </c>
      <c r="B2718" s="30">
        <v>0</v>
      </c>
      <c r="C2718" s="30">
        <v>20.72</v>
      </c>
      <c r="G2718" s="18"/>
    </row>
    <row r="2719" spans="1:7" x14ac:dyDescent="0.25">
      <c r="A2719" s="30">
        <v>0.25316814609115318</v>
      </c>
      <c r="B2719" s="30">
        <v>0</v>
      </c>
      <c r="C2719" s="30">
        <v>20.72</v>
      </c>
      <c r="G2719" s="18"/>
    </row>
    <row r="2720" spans="1:7" x14ac:dyDescent="0.25">
      <c r="A2720" s="30">
        <v>0.95753313251207184</v>
      </c>
      <c r="B2720" s="30">
        <v>0</v>
      </c>
      <c r="C2720" s="30">
        <v>20.72</v>
      </c>
      <c r="G2720" s="18"/>
    </row>
    <row r="2721" spans="1:7" x14ac:dyDescent="0.25">
      <c r="A2721" s="30">
        <v>1.2785611041969855</v>
      </c>
      <c r="B2721" s="30">
        <v>0</v>
      </c>
      <c r="C2721" s="30">
        <v>20.72</v>
      </c>
      <c r="G2721" s="18"/>
    </row>
    <row r="2722" spans="1:7" x14ac:dyDescent="0.25">
      <c r="A2722" s="30">
        <v>0.73835068987997698</v>
      </c>
      <c r="B2722" s="30">
        <v>0</v>
      </c>
      <c r="C2722" s="30">
        <v>20.72</v>
      </c>
      <c r="G2722" s="18"/>
    </row>
    <row r="2723" spans="1:7" x14ac:dyDescent="0.25">
      <c r="A2723" s="30">
        <v>2.3430790406167783</v>
      </c>
      <c r="B2723" s="30">
        <v>0</v>
      </c>
      <c r="C2723" s="30">
        <v>20.72</v>
      </c>
      <c r="G2723" s="18"/>
    </row>
    <row r="2724" spans="1:7" x14ac:dyDescent="0.25">
      <c r="A2724" s="30">
        <v>1.2319875127022839</v>
      </c>
      <c r="B2724" s="30">
        <v>0</v>
      </c>
      <c r="C2724" s="30">
        <v>20.72</v>
      </c>
      <c r="G2724" s="18"/>
    </row>
    <row r="2725" spans="1:7" x14ac:dyDescent="0.25">
      <c r="A2725" s="30">
        <v>0.52676603955935641</v>
      </c>
      <c r="B2725" s="30">
        <v>0</v>
      </c>
      <c r="C2725" s="30">
        <v>9.379999999999999</v>
      </c>
      <c r="G2725" s="18"/>
    </row>
    <row r="2726" spans="1:7" x14ac:dyDescent="0.25">
      <c r="A2726" s="30">
        <v>1.0119651845473983</v>
      </c>
      <c r="B2726" s="30">
        <v>0</v>
      </c>
      <c r="C2726" s="30">
        <v>9.379999999999999</v>
      </c>
      <c r="G2726" s="18"/>
    </row>
    <row r="2727" spans="1:7" x14ac:dyDescent="0.25">
      <c r="A2727" s="30">
        <v>2.3343544169030408</v>
      </c>
      <c r="B2727" s="30">
        <v>0</v>
      </c>
      <c r="C2727" s="30">
        <v>9.379999999999999</v>
      </c>
      <c r="G2727" s="18"/>
    </row>
    <row r="2728" spans="1:7" x14ac:dyDescent="0.25">
      <c r="A2728" s="30">
        <v>1.0496210352851585</v>
      </c>
      <c r="B2728" s="30">
        <v>0</v>
      </c>
      <c r="C2728" s="30">
        <v>9.379999999999999</v>
      </c>
      <c r="G2728" s="18"/>
    </row>
    <row r="2729" spans="1:7" x14ac:dyDescent="0.25">
      <c r="A2729" s="30">
        <v>0.35984377890666525</v>
      </c>
      <c r="B2729" s="30">
        <v>0</v>
      </c>
      <c r="C2729" s="30">
        <v>9.379999999999999</v>
      </c>
      <c r="G2729" s="18"/>
    </row>
    <row r="2730" spans="1:7" x14ac:dyDescent="0.25">
      <c r="A2730" s="30">
        <v>1.0037190768322024</v>
      </c>
      <c r="B2730" s="30">
        <v>0</v>
      </c>
      <c r="C2730" s="30">
        <v>9.379999999999999</v>
      </c>
      <c r="G2730" s="18"/>
    </row>
    <row r="2731" spans="1:7" x14ac:dyDescent="0.25">
      <c r="A2731" s="30">
        <v>0.66423583555416577</v>
      </c>
      <c r="B2731" s="30">
        <v>0</v>
      </c>
      <c r="C2731" s="30">
        <v>9.379999999999999</v>
      </c>
      <c r="G2731" s="18"/>
    </row>
    <row r="2732" spans="1:7" x14ac:dyDescent="0.25">
      <c r="A2732" s="30">
        <v>0.78816595806335976</v>
      </c>
      <c r="B2732" s="30">
        <v>0</v>
      </c>
      <c r="C2732" s="30">
        <v>9.379999999999999</v>
      </c>
      <c r="G2732" s="18"/>
    </row>
    <row r="2733" spans="1:7" x14ac:dyDescent="0.25">
      <c r="A2733" s="30">
        <v>1.3846331947725752</v>
      </c>
      <c r="B2733" s="30">
        <v>0</v>
      </c>
      <c r="C2733" s="30">
        <v>9.379999999999999</v>
      </c>
      <c r="G2733" s="18"/>
    </row>
    <row r="2734" spans="1:7" x14ac:dyDescent="0.25">
      <c r="A2734" s="30">
        <v>0.36976282100863378</v>
      </c>
      <c r="B2734" s="30">
        <v>0</v>
      </c>
      <c r="C2734" s="30">
        <v>9.379999999999999</v>
      </c>
      <c r="G2734" s="18"/>
    </row>
    <row r="2735" spans="1:7" x14ac:dyDescent="0.25">
      <c r="A2735" s="30">
        <v>1.573437104559738</v>
      </c>
      <c r="B2735" s="30">
        <v>0</v>
      </c>
      <c r="C2735" s="30">
        <v>9.379999999999999</v>
      </c>
      <c r="G2735" s="18"/>
    </row>
    <row r="2736" spans="1:7" x14ac:dyDescent="0.25">
      <c r="A2736" s="30">
        <v>0.97496189144162781</v>
      </c>
      <c r="B2736" s="30">
        <v>0</v>
      </c>
      <c r="C2736" s="30">
        <v>9.379999999999999</v>
      </c>
      <c r="G2736" s="18"/>
    </row>
    <row r="2737" spans="1:7" x14ac:dyDescent="0.25">
      <c r="A2737" s="30">
        <v>1.4667689133104964</v>
      </c>
      <c r="B2737" s="30">
        <v>0</v>
      </c>
      <c r="C2737" s="30">
        <v>9.379999999999999</v>
      </c>
      <c r="G2737" s="18"/>
    </row>
    <row r="2738" spans="1:7" x14ac:dyDescent="0.25">
      <c r="A2738" s="30">
        <v>1.3014453156825394</v>
      </c>
      <c r="B2738" s="30">
        <v>0</v>
      </c>
      <c r="C2738" s="30">
        <v>9.379999999999999</v>
      </c>
      <c r="G2738" s="18"/>
    </row>
    <row r="2739" spans="1:7" x14ac:dyDescent="0.25">
      <c r="A2739" s="30">
        <v>0.12646302972569573</v>
      </c>
      <c r="B2739" s="30">
        <v>0</v>
      </c>
      <c r="C2739" s="30">
        <v>9.379999999999999</v>
      </c>
      <c r="G2739" s="18"/>
    </row>
    <row r="2740" spans="1:7" x14ac:dyDescent="0.25">
      <c r="A2740" s="30">
        <v>0.86499509387317775</v>
      </c>
      <c r="B2740" s="30">
        <v>0</v>
      </c>
      <c r="C2740" s="30">
        <v>9.379999999999999</v>
      </c>
      <c r="G2740" s="18"/>
    </row>
    <row r="2741" spans="1:7" x14ac:dyDescent="0.25">
      <c r="A2741" s="30">
        <v>1.0211761662094159</v>
      </c>
      <c r="B2741" s="30">
        <v>0</v>
      </c>
      <c r="C2741" s="30">
        <v>9.379999999999999</v>
      </c>
      <c r="G2741" s="18"/>
    </row>
    <row r="2742" spans="1:7" x14ac:dyDescent="0.25">
      <c r="A2742" s="30">
        <v>0.59828481391576871</v>
      </c>
      <c r="B2742" s="30">
        <v>0</v>
      </c>
      <c r="C2742" s="30">
        <v>18.759999999999998</v>
      </c>
      <c r="G2742" s="18"/>
    </row>
    <row r="2743" spans="1:7" x14ac:dyDescent="0.25">
      <c r="A2743" s="30">
        <v>2.2210339982418632</v>
      </c>
      <c r="B2743" s="30">
        <v>0</v>
      </c>
      <c r="C2743" s="30">
        <v>18.759999999999998</v>
      </c>
      <c r="G2743" s="18"/>
    </row>
    <row r="2744" spans="1:7" x14ac:dyDescent="0.25">
      <c r="A2744" s="30">
        <v>0.55117566123579453</v>
      </c>
      <c r="B2744" s="30">
        <v>0</v>
      </c>
      <c r="C2744" s="30">
        <v>18.759999999999998</v>
      </c>
      <c r="G2744" s="18"/>
    </row>
    <row r="2745" spans="1:7" x14ac:dyDescent="0.25">
      <c r="A2745" s="30">
        <v>1.2684636585421782</v>
      </c>
      <c r="B2745" s="30">
        <v>0</v>
      </c>
      <c r="C2745" s="30">
        <v>18.759999999999998</v>
      </c>
      <c r="G2745" s="18"/>
    </row>
    <row r="2746" spans="1:7" x14ac:dyDescent="0.25">
      <c r="A2746" s="30">
        <v>0.67786498774934645</v>
      </c>
      <c r="B2746" s="30">
        <v>0</v>
      </c>
      <c r="C2746" s="30">
        <v>18.759999999999998</v>
      </c>
      <c r="G2746" s="18"/>
    </row>
    <row r="2747" spans="1:7" x14ac:dyDescent="0.25">
      <c r="A2747" s="30">
        <v>0.29538723841091608</v>
      </c>
      <c r="B2747" s="30">
        <v>0</v>
      </c>
      <c r="C2747" s="30">
        <v>18.759999999999998</v>
      </c>
      <c r="G2747" s="18"/>
    </row>
    <row r="2748" spans="1:7" x14ac:dyDescent="0.25">
      <c r="A2748" s="30">
        <v>0.32127936313599986</v>
      </c>
      <c r="B2748" s="30">
        <v>0</v>
      </c>
      <c r="C2748" s="30">
        <v>18.759999999999998</v>
      </c>
      <c r="G2748" s="18"/>
    </row>
    <row r="2749" spans="1:7" x14ac:dyDescent="0.25">
      <c r="A2749" s="30">
        <v>0.29181687222119068</v>
      </c>
      <c r="B2749" s="30">
        <v>0</v>
      </c>
      <c r="C2749" s="30">
        <v>18.759999999999998</v>
      </c>
      <c r="G2749" s="18"/>
    </row>
    <row r="2750" spans="1:7" x14ac:dyDescent="0.25">
      <c r="A2750" s="30">
        <v>0.88664448167425791</v>
      </c>
      <c r="B2750" s="30">
        <v>0</v>
      </c>
      <c r="C2750" s="30">
        <v>18.759999999999998</v>
      </c>
      <c r="G2750" s="18"/>
    </row>
    <row r="2751" spans="1:7" x14ac:dyDescent="0.25">
      <c r="A2751" s="30">
        <v>1.0384157738281758</v>
      </c>
      <c r="B2751" s="30">
        <v>0</v>
      </c>
      <c r="C2751" s="30">
        <v>18.759999999999998</v>
      </c>
      <c r="G2751" s="18"/>
    </row>
    <row r="2752" spans="1:7" x14ac:dyDescent="0.25">
      <c r="A2752" s="30">
        <v>6.6189775723898723E-3</v>
      </c>
      <c r="B2752" s="30">
        <v>0</v>
      </c>
      <c r="C2752" s="30">
        <v>18.759999999999998</v>
      </c>
      <c r="G2752" s="18"/>
    </row>
    <row r="2753" spans="1:7" x14ac:dyDescent="0.25">
      <c r="A2753" s="30">
        <v>1.9727301182680155</v>
      </c>
      <c r="B2753" s="30">
        <v>0</v>
      </c>
      <c r="C2753" s="30">
        <v>18.759999999999998</v>
      </c>
      <c r="G2753" s="18"/>
    </row>
    <row r="2754" spans="1:7" x14ac:dyDescent="0.25">
      <c r="A2754" s="30">
        <v>4.9994976331271014E-2</v>
      </c>
      <c r="B2754" s="30">
        <v>0</v>
      </c>
      <c r="C2754" s="30">
        <v>18.759999999999998</v>
      </c>
      <c r="G2754" s="18"/>
    </row>
    <row r="2755" spans="1:7" x14ac:dyDescent="0.25">
      <c r="A2755" s="30">
        <v>2.1420706351817151</v>
      </c>
      <c r="B2755" s="30">
        <v>0</v>
      </c>
      <c r="C2755" s="30">
        <v>18.759999999999998</v>
      </c>
      <c r="G2755" s="18"/>
    </row>
    <row r="2756" spans="1:7" x14ac:dyDescent="0.25">
      <c r="A2756" s="30">
        <v>0.73293812083173704</v>
      </c>
      <c r="B2756" s="30">
        <v>0</v>
      </c>
      <c r="C2756" s="30">
        <v>20.299999999999997</v>
      </c>
      <c r="G2756" s="18"/>
    </row>
    <row r="2757" spans="1:7" x14ac:dyDescent="0.25">
      <c r="A2757" s="30">
        <v>0.58132378684142327</v>
      </c>
      <c r="B2757" s="30">
        <v>0</v>
      </c>
      <c r="C2757" s="30">
        <v>20.299999999999997</v>
      </c>
      <c r="G2757" s="18"/>
    </row>
    <row r="2758" spans="1:7" x14ac:dyDescent="0.25">
      <c r="A2758" s="30">
        <v>0.99915977940353007</v>
      </c>
      <c r="B2758" s="30">
        <v>0</v>
      </c>
      <c r="C2758" s="30">
        <v>20.299999999999997</v>
      </c>
      <c r="G2758" s="18"/>
    </row>
    <row r="2759" spans="1:7" x14ac:dyDescent="0.25">
      <c r="A2759" s="30">
        <v>0.82137252330571209</v>
      </c>
      <c r="B2759" s="30">
        <v>0</v>
      </c>
      <c r="C2759" s="30">
        <v>20.299999999999997</v>
      </c>
      <c r="G2759" s="18"/>
    </row>
    <row r="2760" spans="1:7" x14ac:dyDescent="0.25">
      <c r="A2760" s="30">
        <v>1.2426237730956669</v>
      </c>
      <c r="B2760" s="30">
        <v>0</v>
      </c>
      <c r="C2760" s="30">
        <v>20.299999999999997</v>
      </c>
      <c r="G2760" s="18"/>
    </row>
    <row r="2761" spans="1:7" x14ac:dyDescent="0.25">
      <c r="A2761" s="30">
        <v>0.34668199865460469</v>
      </c>
      <c r="B2761" s="30">
        <v>0</v>
      </c>
      <c r="C2761" s="30">
        <v>20.299999999999997</v>
      </c>
      <c r="G2761" s="18"/>
    </row>
    <row r="2762" spans="1:7" x14ac:dyDescent="0.25">
      <c r="A2762" s="30">
        <v>0.6859334750237418</v>
      </c>
      <c r="B2762" s="30">
        <v>0</v>
      </c>
      <c r="C2762" s="30">
        <v>20.299999999999997</v>
      </c>
      <c r="G2762" s="18"/>
    </row>
    <row r="2763" spans="1:7" x14ac:dyDescent="0.25">
      <c r="A2763" s="30">
        <v>0.39479887908524158</v>
      </c>
      <c r="B2763" s="30">
        <v>0</v>
      </c>
      <c r="C2763" s="30">
        <v>20.299999999999997</v>
      </c>
      <c r="G2763" s="18"/>
    </row>
    <row r="2764" spans="1:7" x14ac:dyDescent="0.25">
      <c r="A2764" s="30">
        <v>0.4851630722714958</v>
      </c>
      <c r="B2764" s="30">
        <v>0</v>
      </c>
      <c r="C2764" s="30">
        <v>20.299999999999997</v>
      </c>
      <c r="G2764" s="18"/>
    </row>
    <row r="2765" spans="1:7" x14ac:dyDescent="0.25">
      <c r="A2765" s="30">
        <v>5.3126204988170223E-2</v>
      </c>
      <c r="B2765" s="30">
        <v>0</v>
      </c>
      <c r="C2765" s="30">
        <v>20.299999999999997</v>
      </c>
      <c r="G2765" s="18"/>
    </row>
    <row r="2766" spans="1:7" x14ac:dyDescent="0.25">
      <c r="A2766" s="30">
        <v>0.27652804935404113</v>
      </c>
      <c r="B2766" s="30">
        <v>0</v>
      </c>
      <c r="C2766" s="30">
        <v>20.299999999999997</v>
      </c>
      <c r="G2766" s="18"/>
    </row>
    <row r="2767" spans="1:7" x14ac:dyDescent="0.25">
      <c r="A2767" s="30">
        <v>1.2230788414307683</v>
      </c>
      <c r="B2767" s="30">
        <v>0</v>
      </c>
      <c r="C2767" s="30">
        <v>20.299999999999997</v>
      </c>
      <c r="G2767" s="18"/>
    </row>
    <row r="2768" spans="1:7" x14ac:dyDescent="0.25">
      <c r="A2768" s="30">
        <v>1.3309941391347599</v>
      </c>
      <c r="B2768" s="30">
        <v>0</v>
      </c>
      <c r="C2768" s="30">
        <v>20.299999999999997</v>
      </c>
      <c r="G2768" s="18"/>
    </row>
    <row r="2769" spans="1:7" x14ac:dyDescent="0.25">
      <c r="A2769" s="30">
        <v>0.15890873239737208</v>
      </c>
      <c r="B2769" s="30">
        <v>0</v>
      </c>
      <c r="C2769" s="30">
        <v>20.299999999999997</v>
      </c>
      <c r="G2769" s="18"/>
    </row>
    <row r="2770" spans="1:7" x14ac:dyDescent="0.25">
      <c r="A2770" s="30">
        <v>0.49772308748523714</v>
      </c>
      <c r="B2770" s="30">
        <v>0</v>
      </c>
      <c r="C2770" s="30">
        <v>10.36</v>
      </c>
      <c r="G2770" s="18"/>
    </row>
    <row r="2771" spans="1:7" x14ac:dyDescent="0.25">
      <c r="A2771" s="30">
        <v>1.0929273183040054</v>
      </c>
      <c r="B2771" s="30">
        <v>0</v>
      </c>
      <c r="C2771" s="30">
        <v>10.36</v>
      </c>
      <c r="G2771" s="18"/>
    </row>
    <row r="2772" spans="1:7" x14ac:dyDescent="0.25">
      <c r="A2772" s="30">
        <v>0.21136767704832601</v>
      </c>
      <c r="B2772" s="30">
        <v>0</v>
      </c>
      <c r="C2772" s="30">
        <v>10.36</v>
      </c>
      <c r="G2772" s="18"/>
    </row>
    <row r="2773" spans="1:7" x14ac:dyDescent="0.25">
      <c r="A2773" s="30">
        <v>2.1652695864644524</v>
      </c>
      <c r="B2773" s="30">
        <v>0</v>
      </c>
      <c r="C2773" s="30">
        <v>10.36</v>
      </c>
      <c r="G2773" s="18"/>
    </row>
    <row r="2774" spans="1:7" x14ac:dyDescent="0.25">
      <c r="A2774" s="30">
        <v>1.1785006467456911</v>
      </c>
      <c r="B2774" s="30">
        <v>0</v>
      </c>
      <c r="C2774" s="30">
        <v>10.36</v>
      </c>
      <c r="G2774" s="18"/>
    </row>
    <row r="2775" spans="1:7" x14ac:dyDescent="0.25">
      <c r="A2775" s="30">
        <v>2.0831006983518257</v>
      </c>
      <c r="B2775" s="30">
        <v>0</v>
      </c>
      <c r="C2775" s="30">
        <v>10.36</v>
      </c>
      <c r="G2775" s="18"/>
    </row>
    <row r="2776" spans="1:7" x14ac:dyDescent="0.25">
      <c r="A2776" s="30">
        <v>0.15926424490210556</v>
      </c>
      <c r="B2776" s="30">
        <v>0</v>
      </c>
      <c r="C2776" s="30">
        <v>10.36</v>
      </c>
      <c r="G2776" s="18"/>
    </row>
    <row r="2777" spans="1:7" x14ac:dyDescent="0.25">
      <c r="A2777" s="30">
        <v>0.57492228773783849</v>
      </c>
      <c r="B2777" s="30">
        <v>0</v>
      </c>
      <c r="C2777" s="30">
        <v>10.36</v>
      </c>
      <c r="G2777" s="18"/>
    </row>
    <row r="2778" spans="1:7" x14ac:dyDescent="0.25">
      <c r="A2778" s="30">
        <v>1.2476452253416299</v>
      </c>
      <c r="B2778" s="30">
        <v>0</v>
      </c>
      <c r="C2778" s="30">
        <v>10.36</v>
      </c>
      <c r="G2778" s="18"/>
    </row>
    <row r="2779" spans="1:7" x14ac:dyDescent="0.25">
      <c r="A2779" s="30">
        <v>0.22486206048117516</v>
      </c>
      <c r="B2779" s="30">
        <v>0</v>
      </c>
      <c r="C2779" s="30">
        <v>10.36</v>
      </c>
      <c r="G2779" s="18"/>
    </row>
    <row r="2780" spans="1:7" x14ac:dyDescent="0.25">
      <c r="A2780" s="30">
        <v>0.88531925043790172</v>
      </c>
      <c r="B2780" s="30">
        <v>0</v>
      </c>
      <c r="C2780" s="30">
        <v>10.36</v>
      </c>
      <c r="G2780" s="18"/>
    </row>
    <row r="2781" spans="1:7" x14ac:dyDescent="0.25">
      <c r="A2781" s="30">
        <v>2.2986440548254778</v>
      </c>
      <c r="B2781" s="30">
        <v>0</v>
      </c>
      <c r="C2781" s="30">
        <v>10.36</v>
      </c>
      <c r="G2781" s="18"/>
    </row>
    <row r="2782" spans="1:7" x14ac:dyDescent="0.25">
      <c r="A2782" s="30">
        <v>1.3275589815336002</v>
      </c>
      <c r="B2782" s="30">
        <v>0</v>
      </c>
      <c r="C2782" s="30">
        <v>10.36</v>
      </c>
      <c r="G2782" s="18"/>
    </row>
    <row r="2783" spans="1:7" x14ac:dyDescent="0.25">
      <c r="A2783" s="30">
        <v>1.6454624171719836</v>
      </c>
      <c r="B2783" s="30">
        <v>0</v>
      </c>
      <c r="C2783" s="30">
        <v>10.36</v>
      </c>
      <c r="G2783" s="18"/>
    </row>
    <row r="2784" spans="1:7" x14ac:dyDescent="0.25">
      <c r="A2784" s="30">
        <v>0.366334110800552</v>
      </c>
      <c r="B2784" s="30">
        <v>0</v>
      </c>
      <c r="C2784" s="30">
        <v>10.36</v>
      </c>
      <c r="G2784" s="18"/>
    </row>
    <row r="2785" spans="1:7" x14ac:dyDescent="0.25">
      <c r="A2785" s="30">
        <v>2.0059185338247412</v>
      </c>
      <c r="B2785" s="30">
        <v>0</v>
      </c>
      <c r="C2785" s="30">
        <v>13.86</v>
      </c>
      <c r="G2785" s="18"/>
    </row>
    <row r="2786" spans="1:7" x14ac:dyDescent="0.25">
      <c r="A2786" s="30">
        <v>0.83113851269500927</v>
      </c>
      <c r="B2786" s="30">
        <v>0</v>
      </c>
      <c r="C2786" s="30">
        <v>13.86</v>
      </c>
      <c r="G2786" s="18"/>
    </row>
    <row r="2787" spans="1:7" x14ac:dyDescent="0.25">
      <c r="A2787" s="30">
        <v>1.6773420906118859</v>
      </c>
      <c r="B2787" s="30">
        <v>0</v>
      </c>
      <c r="C2787" s="30">
        <v>13.86</v>
      </c>
      <c r="G2787" s="18"/>
    </row>
    <row r="2788" spans="1:7" x14ac:dyDescent="0.25">
      <c r="A2788" s="30">
        <v>0.38744126301214676</v>
      </c>
      <c r="B2788" s="30">
        <v>0</v>
      </c>
      <c r="C2788" s="30">
        <v>13.86</v>
      </c>
      <c r="G2788" s="18"/>
    </row>
    <row r="2789" spans="1:7" x14ac:dyDescent="0.25">
      <c r="A2789" s="30">
        <v>1.8270042067336725</v>
      </c>
      <c r="B2789" s="30">
        <v>0</v>
      </c>
      <c r="C2789" s="30">
        <v>13.86</v>
      </c>
      <c r="G2789" s="18"/>
    </row>
    <row r="2790" spans="1:7" x14ac:dyDescent="0.25">
      <c r="A2790" s="30">
        <v>0.53280292597293288</v>
      </c>
      <c r="B2790" s="30">
        <v>0</v>
      </c>
      <c r="C2790" s="30">
        <v>13.86</v>
      </c>
      <c r="G2790" s="18"/>
    </row>
    <row r="2791" spans="1:7" x14ac:dyDescent="0.25">
      <c r="A2791" s="30">
        <v>1.2408726596853026</v>
      </c>
      <c r="B2791" s="30">
        <v>0</v>
      </c>
      <c r="C2791" s="30">
        <v>13.86</v>
      </c>
      <c r="G2791" s="18"/>
    </row>
    <row r="2792" spans="1:7" x14ac:dyDescent="0.25">
      <c r="A2792" s="30">
        <v>0.25723550416040358</v>
      </c>
      <c r="B2792" s="30">
        <v>0</v>
      </c>
      <c r="C2792" s="30">
        <v>13.86</v>
      </c>
      <c r="G2792" s="18"/>
    </row>
    <row r="2793" spans="1:7" x14ac:dyDescent="0.25">
      <c r="A2793" s="30">
        <v>1.0195328369970267</v>
      </c>
      <c r="B2793" s="30">
        <v>0</v>
      </c>
      <c r="C2793" s="30">
        <v>13.86</v>
      </c>
      <c r="G2793" s="18"/>
    </row>
    <row r="2794" spans="1:7" x14ac:dyDescent="0.25">
      <c r="A2794" s="30">
        <v>0.15023040849535874</v>
      </c>
      <c r="B2794" s="30">
        <v>0</v>
      </c>
      <c r="C2794" s="30">
        <v>13.86</v>
      </c>
      <c r="G2794" s="18"/>
    </row>
    <row r="2795" spans="1:7" x14ac:dyDescent="0.25">
      <c r="A2795" s="30">
        <v>1.9080116648082619</v>
      </c>
      <c r="B2795" s="30">
        <v>0</v>
      </c>
      <c r="C2795" s="30">
        <v>13.86</v>
      </c>
      <c r="G2795" s="18"/>
    </row>
    <row r="2796" spans="1:7" x14ac:dyDescent="0.25">
      <c r="A2796" s="30">
        <v>8.2975426199786734E-2</v>
      </c>
      <c r="B2796" s="30">
        <v>0</v>
      </c>
      <c r="C2796" s="30">
        <v>13.86</v>
      </c>
      <c r="G2796" s="18"/>
    </row>
    <row r="2797" spans="1:7" x14ac:dyDescent="0.25">
      <c r="A2797" s="30">
        <v>1.2462867244772995</v>
      </c>
      <c r="B2797" s="30">
        <v>0</v>
      </c>
      <c r="C2797" s="30">
        <v>13.86</v>
      </c>
      <c r="G2797" s="18"/>
    </row>
    <row r="2798" spans="1:7" x14ac:dyDescent="0.25">
      <c r="A2798" s="30">
        <v>1.1916708772832652</v>
      </c>
      <c r="B2798" s="30">
        <v>0</v>
      </c>
      <c r="C2798" s="30">
        <v>13.86</v>
      </c>
      <c r="G2798" s="18"/>
    </row>
    <row r="2799" spans="1:7" x14ac:dyDescent="0.25">
      <c r="A2799" s="30">
        <v>1.0418738479703891</v>
      </c>
      <c r="B2799" s="30">
        <v>0</v>
      </c>
      <c r="C2799" s="30">
        <v>13.86</v>
      </c>
      <c r="G2799" s="18"/>
    </row>
    <row r="2800" spans="1:7" x14ac:dyDescent="0.25">
      <c r="A2800" s="30">
        <v>0.33977290952376132</v>
      </c>
      <c r="B2800" s="30">
        <v>0</v>
      </c>
      <c r="C2800" s="30">
        <v>13.86</v>
      </c>
      <c r="G2800" s="18"/>
    </row>
    <row r="2801" spans="1:7" x14ac:dyDescent="0.25">
      <c r="A2801" s="30">
        <v>0.38598033970689516</v>
      </c>
      <c r="B2801" s="30">
        <v>0</v>
      </c>
      <c r="C2801" s="30">
        <v>13.86</v>
      </c>
      <c r="G2801" s="18"/>
    </row>
    <row r="2802" spans="1:7" x14ac:dyDescent="0.25">
      <c r="A2802" s="30">
        <v>1.1533729621970657E-2</v>
      </c>
      <c r="B2802" s="30">
        <v>0</v>
      </c>
      <c r="C2802" s="30">
        <v>24.779999999999998</v>
      </c>
      <c r="G2802" s="18"/>
    </row>
    <row r="2803" spans="1:7" x14ac:dyDescent="0.25">
      <c r="A2803" s="30">
        <v>1.0439976417531285</v>
      </c>
      <c r="B2803" s="30">
        <v>0</v>
      </c>
      <c r="C2803" s="30">
        <v>24.779999999999998</v>
      </c>
      <c r="G2803" s="18"/>
    </row>
    <row r="2804" spans="1:7" x14ac:dyDescent="0.25">
      <c r="A2804" s="30">
        <v>3.1571604865754277E-2</v>
      </c>
      <c r="B2804" s="30">
        <v>0</v>
      </c>
      <c r="C2804" s="30">
        <v>24.779999999999998</v>
      </c>
      <c r="G2804" s="18"/>
    </row>
    <row r="2805" spans="1:7" x14ac:dyDescent="0.25">
      <c r="A2805" s="30">
        <v>0.91593308023440334</v>
      </c>
      <c r="B2805" s="30">
        <v>0</v>
      </c>
      <c r="C2805" s="30">
        <v>24.779999999999998</v>
      </c>
      <c r="G2805" s="18"/>
    </row>
    <row r="2806" spans="1:7" x14ac:dyDescent="0.25">
      <c r="A2806" s="30">
        <v>0.61932119419268017</v>
      </c>
      <c r="B2806" s="30">
        <v>0</v>
      </c>
      <c r="C2806" s="30">
        <v>24.779999999999998</v>
      </c>
      <c r="G2806" s="18"/>
    </row>
    <row r="2807" spans="1:7" x14ac:dyDescent="0.25">
      <c r="A2807" s="30">
        <v>1.3642703043245121</v>
      </c>
      <c r="B2807" s="30">
        <v>0</v>
      </c>
      <c r="C2807" s="30">
        <v>24.779999999999998</v>
      </c>
      <c r="G2807" s="18"/>
    </row>
    <row r="2808" spans="1:7" x14ac:dyDescent="0.25">
      <c r="A2808" s="30">
        <v>0.30244279636441934</v>
      </c>
      <c r="B2808" s="30">
        <v>0</v>
      </c>
      <c r="C2808" s="30">
        <v>24.779999999999998</v>
      </c>
      <c r="G2808" s="18"/>
    </row>
    <row r="2809" spans="1:7" x14ac:dyDescent="0.25">
      <c r="A2809" s="30">
        <v>2.3782287431212228</v>
      </c>
      <c r="B2809" s="30">
        <v>0</v>
      </c>
      <c r="C2809" s="30">
        <v>24.779999999999998</v>
      </c>
      <c r="G2809" s="18"/>
    </row>
    <row r="2810" spans="1:7" x14ac:dyDescent="0.25">
      <c r="A2810" s="30">
        <v>0.34148144573725653</v>
      </c>
      <c r="B2810" s="30">
        <v>0</v>
      </c>
      <c r="C2810" s="30">
        <v>24.779999999999998</v>
      </c>
      <c r="G2810" s="18"/>
    </row>
    <row r="2811" spans="1:7" x14ac:dyDescent="0.25">
      <c r="A2811" s="30">
        <v>0.53386414631245094</v>
      </c>
      <c r="B2811" s="30">
        <v>0</v>
      </c>
      <c r="C2811" s="30">
        <v>24.779999999999998</v>
      </c>
      <c r="G2811" s="18"/>
    </row>
    <row r="2812" spans="1:7" x14ac:dyDescent="0.25">
      <c r="A2812" s="30">
        <v>0.72938491201661226</v>
      </c>
      <c r="B2812" s="30">
        <v>0</v>
      </c>
      <c r="C2812" s="30">
        <v>24.779999999999998</v>
      </c>
      <c r="G2812" s="18"/>
    </row>
    <row r="2813" spans="1:7" x14ac:dyDescent="0.25">
      <c r="A2813" s="30">
        <v>2.0112544558834942</v>
      </c>
      <c r="B2813" s="30">
        <v>0</v>
      </c>
      <c r="C2813" s="30">
        <v>24.779999999999998</v>
      </c>
      <c r="G2813" s="18"/>
    </row>
    <row r="2814" spans="1:7" x14ac:dyDescent="0.25">
      <c r="A2814" s="30">
        <v>1.1928725903639035</v>
      </c>
      <c r="B2814" s="30">
        <v>0</v>
      </c>
      <c r="C2814" s="30">
        <v>24.779999999999998</v>
      </c>
      <c r="G2814" s="18"/>
    </row>
    <row r="2815" spans="1:7" x14ac:dyDescent="0.25">
      <c r="A2815" s="30">
        <v>1.4812279815026084</v>
      </c>
      <c r="B2815" s="30">
        <v>0</v>
      </c>
      <c r="C2815" s="30">
        <v>24.779999999999998</v>
      </c>
      <c r="G2815" s="18"/>
    </row>
    <row r="2816" spans="1:7" x14ac:dyDescent="0.25">
      <c r="A2816" s="30">
        <v>1.3731725590974828</v>
      </c>
      <c r="B2816" s="30">
        <v>0</v>
      </c>
      <c r="C2816" s="30">
        <v>24.779999999999998</v>
      </c>
      <c r="G2816" s="18"/>
    </row>
    <row r="2817" spans="1:7" x14ac:dyDescent="0.25">
      <c r="A2817" s="30">
        <v>0.10469225766620331</v>
      </c>
      <c r="B2817" s="30">
        <v>0</v>
      </c>
      <c r="C2817" s="30">
        <v>24.779999999999998</v>
      </c>
      <c r="G2817" s="18"/>
    </row>
    <row r="2818" spans="1:7" x14ac:dyDescent="0.25">
      <c r="A2818" s="30">
        <v>1.3197292262312179</v>
      </c>
      <c r="B2818" s="30">
        <v>0</v>
      </c>
      <c r="C2818" s="30">
        <v>13.44</v>
      </c>
      <c r="G2818" s="18"/>
    </row>
    <row r="2819" spans="1:7" x14ac:dyDescent="0.25">
      <c r="A2819" s="30">
        <v>0.76519494705926905</v>
      </c>
      <c r="B2819" s="30">
        <v>0</v>
      </c>
      <c r="C2819" s="30">
        <v>13.44</v>
      </c>
      <c r="G2819" s="18"/>
    </row>
    <row r="2820" spans="1:7" x14ac:dyDescent="0.25">
      <c r="A2820" s="30">
        <v>1.0523422629925681</v>
      </c>
      <c r="B2820" s="30">
        <v>0</v>
      </c>
      <c r="C2820" s="30">
        <v>13.44</v>
      </c>
      <c r="G2820" s="18"/>
    </row>
    <row r="2821" spans="1:7" x14ac:dyDescent="0.25">
      <c r="A2821" s="30">
        <v>1.4959326964834871</v>
      </c>
      <c r="B2821" s="30">
        <v>0</v>
      </c>
      <c r="C2821" s="30">
        <v>13.44</v>
      </c>
      <c r="G2821" s="18"/>
    </row>
    <row r="2822" spans="1:7" x14ac:dyDescent="0.25">
      <c r="A2822" s="30">
        <v>0.71091549331059023</v>
      </c>
      <c r="B2822" s="30">
        <v>0</v>
      </c>
      <c r="C2822" s="30">
        <v>13.44</v>
      </c>
      <c r="G2822" s="18"/>
    </row>
    <row r="2823" spans="1:7" x14ac:dyDescent="0.25">
      <c r="A2823" s="30">
        <v>0.55731601798007091</v>
      </c>
      <c r="B2823" s="30">
        <v>0</v>
      </c>
      <c r="C2823" s="30">
        <v>13.44</v>
      </c>
      <c r="G2823" s="18"/>
    </row>
    <row r="2824" spans="1:7" x14ac:dyDescent="0.25">
      <c r="A2824" s="30">
        <v>0.96598613324369786</v>
      </c>
      <c r="B2824" s="30">
        <v>0</v>
      </c>
      <c r="C2824" s="30">
        <v>13.44</v>
      </c>
      <c r="G2824" s="18"/>
    </row>
    <row r="2825" spans="1:7" x14ac:dyDescent="0.25">
      <c r="A2825" s="30">
        <v>1.5046055707604187</v>
      </c>
      <c r="B2825" s="30">
        <v>0</v>
      </c>
      <c r="C2825" s="30">
        <v>13.44</v>
      </c>
      <c r="G2825" s="18"/>
    </row>
    <row r="2826" spans="1:7" x14ac:dyDescent="0.25">
      <c r="A2826" s="30">
        <v>0.42265982830670767</v>
      </c>
      <c r="B2826" s="30">
        <v>0</v>
      </c>
      <c r="C2826" s="30">
        <v>13.44</v>
      </c>
      <c r="G2826" s="18"/>
    </row>
    <row r="2827" spans="1:7" x14ac:dyDescent="0.25">
      <c r="A2827" s="30">
        <v>1.9194463295753657</v>
      </c>
      <c r="B2827" s="30">
        <v>0</v>
      </c>
      <c r="C2827" s="30">
        <v>13.44</v>
      </c>
      <c r="G2827" s="18"/>
    </row>
    <row r="2828" spans="1:7" x14ac:dyDescent="0.25">
      <c r="A2828" s="30">
        <v>0.58500719064258089</v>
      </c>
      <c r="B2828" s="30">
        <v>0</v>
      </c>
      <c r="C2828" s="30">
        <v>13.44</v>
      </c>
      <c r="G2828" s="18"/>
    </row>
    <row r="2829" spans="1:7" x14ac:dyDescent="0.25">
      <c r="A2829" s="30">
        <v>1.105151732189416</v>
      </c>
      <c r="B2829" s="30">
        <v>0</v>
      </c>
      <c r="C2829" s="30">
        <v>13.44</v>
      </c>
      <c r="G2829" s="18"/>
    </row>
    <row r="2830" spans="1:7" x14ac:dyDescent="0.25">
      <c r="A2830" s="30">
        <v>0.48662031707353315</v>
      </c>
      <c r="B2830" s="30">
        <v>0</v>
      </c>
      <c r="C2830" s="30">
        <v>13.44</v>
      </c>
      <c r="G2830" s="18"/>
    </row>
    <row r="2831" spans="1:7" x14ac:dyDescent="0.25">
      <c r="A2831" s="30">
        <v>1.2088881104743419</v>
      </c>
      <c r="B2831" s="30">
        <v>0</v>
      </c>
      <c r="C2831" s="30">
        <v>13.44</v>
      </c>
      <c r="G2831" s="18"/>
    </row>
    <row r="2832" spans="1:7" x14ac:dyDescent="0.25">
      <c r="A2832" s="30">
        <v>0.36684181305982777</v>
      </c>
      <c r="B2832" s="30">
        <v>0</v>
      </c>
      <c r="C2832" s="30">
        <v>13.44</v>
      </c>
      <c r="G2832" s="18"/>
    </row>
    <row r="2833" spans="1:7" x14ac:dyDescent="0.25">
      <c r="A2833" s="30">
        <v>1.1309811201189792</v>
      </c>
      <c r="B2833" s="30">
        <v>0</v>
      </c>
      <c r="C2833" s="30">
        <v>13.44</v>
      </c>
      <c r="G2833" s="18"/>
    </row>
    <row r="2834" spans="1:7" x14ac:dyDescent="0.25">
      <c r="A2834" s="30">
        <v>1.9852990211673839E-2</v>
      </c>
      <c r="B2834" s="30">
        <v>0</v>
      </c>
      <c r="C2834" s="30">
        <v>5.7399999999999993</v>
      </c>
      <c r="G2834" s="18"/>
    </row>
    <row r="2835" spans="1:7" x14ac:dyDescent="0.25">
      <c r="A2835" s="30">
        <v>0.56980366936249083</v>
      </c>
      <c r="B2835" s="30">
        <v>0</v>
      </c>
      <c r="C2835" s="30">
        <v>5.7399999999999993</v>
      </c>
      <c r="G2835" s="18"/>
    </row>
    <row r="2836" spans="1:7" x14ac:dyDescent="0.25">
      <c r="A2836" s="30">
        <v>0.68643876283805028</v>
      </c>
      <c r="B2836" s="30">
        <v>0</v>
      </c>
      <c r="C2836" s="30">
        <v>5.7399999999999993</v>
      </c>
      <c r="G2836" s="18"/>
    </row>
    <row r="2837" spans="1:7" x14ac:dyDescent="0.25">
      <c r="A2837" s="30">
        <v>1.1577057849690817</v>
      </c>
      <c r="B2837" s="30">
        <v>0</v>
      </c>
      <c r="C2837" s="30">
        <v>5.7399999999999993</v>
      </c>
      <c r="G2837" s="18"/>
    </row>
    <row r="2838" spans="1:7" x14ac:dyDescent="0.25">
      <c r="A2838" s="30">
        <v>1.2644973027373474</v>
      </c>
      <c r="B2838" s="30">
        <v>0</v>
      </c>
      <c r="C2838" s="30">
        <v>5.7399999999999993</v>
      </c>
      <c r="G2838" s="18"/>
    </row>
    <row r="2839" spans="1:7" x14ac:dyDescent="0.25">
      <c r="A2839" s="30">
        <v>2.288378570333002</v>
      </c>
      <c r="B2839" s="30">
        <v>0</v>
      </c>
      <c r="C2839" s="30">
        <v>5.7399999999999993</v>
      </c>
      <c r="G2839" s="18"/>
    </row>
    <row r="2840" spans="1:7" x14ac:dyDescent="0.25">
      <c r="A2840" s="30">
        <v>0.21061547503820557</v>
      </c>
      <c r="B2840" s="30">
        <v>0</v>
      </c>
      <c r="C2840" s="30">
        <v>5.7399999999999993</v>
      </c>
      <c r="G2840" s="18"/>
    </row>
    <row r="2841" spans="1:7" x14ac:dyDescent="0.25">
      <c r="A2841" s="30">
        <v>0.15810710320264637</v>
      </c>
      <c r="B2841" s="30">
        <v>0</v>
      </c>
      <c r="C2841" s="30">
        <v>5.7399999999999993</v>
      </c>
      <c r="G2841" s="18"/>
    </row>
    <row r="2842" spans="1:7" x14ac:dyDescent="0.25">
      <c r="A2842" s="30">
        <v>0.96424092742201073</v>
      </c>
      <c r="B2842" s="30">
        <v>0</v>
      </c>
      <c r="C2842" s="30">
        <v>5.7399999999999993</v>
      </c>
      <c r="G2842" s="18"/>
    </row>
    <row r="2843" spans="1:7" x14ac:dyDescent="0.25">
      <c r="A2843" s="30">
        <v>1.0531937364783022</v>
      </c>
      <c r="B2843" s="30">
        <v>0</v>
      </c>
      <c r="C2843" s="30">
        <v>5.7399999999999993</v>
      </c>
      <c r="G2843" s="18"/>
    </row>
    <row r="2844" spans="1:7" x14ac:dyDescent="0.25">
      <c r="A2844" s="30">
        <v>0.56467829011709492</v>
      </c>
      <c r="B2844" s="30">
        <v>0</v>
      </c>
      <c r="C2844" s="30">
        <v>5.7399999999999993</v>
      </c>
      <c r="G2844" s="18"/>
    </row>
    <row r="2845" spans="1:7" x14ac:dyDescent="0.25">
      <c r="A2845" s="30">
        <v>1.8088121590828758</v>
      </c>
      <c r="B2845" s="30">
        <v>0</v>
      </c>
      <c r="C2845" s="30">
        <v>5.7399999999999993</v>
      </c>
      <c r="G2845" s="18"/>
    </row>
    <row r="2846" spans="1:7" x14ac:dyDescent="0.25">
      <c r="A2846" s="30">
        <v>0.38404019082924934</v>
      </c>
      <c r="B2846" s="30">
        <v>0</v>
      </c>
      <c r="C2846" s="30">
        <v>5.7399999999999993</v>
      </c>
      <c r="G2846" s="18"/>
    </row>
    <row r="2847" spans="1:7" x14ac:dyDescent="0.25">
      <c r="A2847" s="30">
        <v>1.3722233502215595</v>
      </c>
      <c r="B2847" s="30">
        <v>0</v>
      </c>
      <c r="C2847" s="30">
        <v>5.7399999999999993</v>
      </c>
      <c r="G2847" s="18"/>
    </row>
    <row r="2848" spans="1:7" x14ac:dyDescent="0.25">
      <c r="A2848" s="30">
        <v>0.76978751423478886</v>
      </c>
      <c r="B2848" s="30">
        <v>0</v>
      </c>
      <c r="C2848" s="30">
        <v>5.7399999999999993</v>
      </c>
      <c r="G2848" s="18"/>
    </row>
    <row r="2849" spans="1:7" x14ac:dyDescent="0.25">
      <c r="A2849" s="30">
        <v>1.2412829066899775</v>
      </c>
      <c r="B2849" s="30">
        <v>0</v>
      </c>
      <c r="C2849" s="30">
        <v>5.7399999999999993</v>
      </c>
      <c r="G2849" s="18"/>
    </row>
    <row r="2850" spans="1:7" x14ac:dyDescent="0.25">
      <c r="A2850" s="30">
        <v>0.50678837125454834</v>
      </c>
      <c r="B2850" s="30">
        <v>0</v>
      </c>
      <c r="C2850" s="30">
        <v>20.299999999999997</v>
      </c>
      <c r="G2850" s="18"/>
    </row>
    <row r="2851" spans="1:7" x14ac:dyDescent="0.25">
      <c r="A2851" s="30">
        <v>0.58483997683902611</v>
      </c>
      <c r="B2851" s="30">
        <v>0</v>
      </c>
      <c r="C2851" s="30">
        <v>20.299999999999997</v>
      </c>
      <c r="G2851" s="18"/>
    </row>
    <row r="2852" spans="1:7" x14ac:dyDescent="0.25">
      <c r="A2852" s="30">
        <v>8.2524241663194456E-2</v>
      </c>
      <c r="B2852" s="30">
        <v>0</v>
      </c>
      <c r="C2852" s="30">
        <v>20.299999999999997</v>
      </c>
      <c r="G2852" s="18"/>
    </row>
    <row r="2853" spans="1:7" x14ac:dyDescent="0.25">
      <c r="A2853" s="30">
        <v>1.1336936828873241</v>
      </c>
      <c r="B2853" s="30">
        <v>0</v>
      </c>
      <c r="C2853" s="30">
        <v>20.299999999999997</v>
      </c>
      <c r="G2853" s="18"/>
    </row>
    <row r="2854" spans="1:7" x14ac:dyDescent="0.25">
      <c r="A2854" s="30">
        <v>0.82423993406320673</v>
      </c>
      <c r="B2854" s="30">
        <v>0</v>
      </c>
      <c r="C2854" s="30">
        <v>20.299999999999997</v>
      </c>
      <c r="G2854" s="18"/>
    </row>
    <row r="2855" spans="1:7" x14ac:dyDescent="0.25">
      <c r="A2855" s="30">
        <v>2.3261750192386721</v>
      </c>
      <c r="B2855" s="30">
        <v>0</v>
      </c>
      <c r="C2855" s="30">
        <v>20.299999999999997</v>
      </c>
      <c r="G2855" s="18"/>
    </row>
    <row r="2856" spans="1:7" x14ac:dyDescent="0.25">
      <c r="A2856" s="30">
        <v>0.25317783948754247</v>
      </c>
      <c r="B2856" s="30">
        <v>0</v>
      </c>
      <c r="C2856" s="30">
        <v>20.299999999999997</v>
      </c>
      <c r="G2856" s="18"/>
    </row>
    <row r="2857" spans="1:7" x14ac:dyDescent="0.25">
      <c r="A2857" s="30">
        <v>2.2841857356315964</v>
      </c>
      <c r="B2857" s="30">
        <v>0</v>
      </c>
      <c r="C2857" s="30">
        <v>20.299999999999997</v>
      </c>
      <c r="G2857" s="18"/>
    </row>
    <row r="2858" spans="1:7" x14ac:dyDescent="0.25">
      <c r="A2858" s="30">
        <v>0.92298668740056156</v>
      </c>
      <c r="B2858" s="30">
        <v>0</v>
      </c>
      <c r="C2858" s="30">
        <v>20.299999999999997</v>
      </c>
      <c r="G2858" s="18"/>
    </row>
    <row r="2859" spans="1:7" x14ac:dyDescent="0.25">
      <c r="A2859" s="30">
        <v>1.1435954134437778</v>
      </c>
      <c r="B2859" s="30">
        <v>0</v>
      </c>
      <c r="C2859" s="30">
        <v>20.299999999999997</v>
      </c>
      <c r="G2859" s="18"/>
    </row>
    <row r="2860" spans="1:7" x14ac:dyDescent="0.25">
      <c r="A2860" s="30">
        <v>1.1569241908357273</v>
      </c>
      <c r="B2860" s="30">
        <v>0</v>
      </c>
      <c r="C2860" s="30">
        <v>20.299999999999997</v>
      </c>
      <c r="G2860" s="18"/>
    </row>
    <row r="2861" spans="1:7" x14ac:dyDescent="0.25">
      <c r="A2861" s="30">
        <v>0.5909434987850809</v>
      </c>
      <c r="B2861" s="30">
        <v>0</v>
      </c>
      <c r="C2861" s="30">
        <v>20.299999999999997</v>
      </c>
      <c r="G2861" s="18"/>
    </row>
    <row r="2862" spans="1:7" x14ac:dyDescent="0.25">
      <c r="A2862" s="30">
        <v>0.51997226246468087</v>
      </c>
      <c r="B2862" s="30">
        <v>0</v>
      </c>
      <c r="C2862" s="30">
        <v>20.299999999999997</v>
      </c>
      <c r="G2862" s="18"/>
    </row>
    <row r="2863" spans="1:7" x14ac:dyDescent="0.25">
      <c r="A2863" s="30">
        <v>1.1952114935474178</v>
      </c>
      <c r="B2863" s="30">
        <v>0</v>
      </c>
      <c r="C2863" s="30">
        <v>20.299999999999997</v>
      </c>
      <c r="G2863" s="18"/>
    </row>
    <row r="2864" spans="1:7" x14ac:dyDescent="0.25">
      <c r="A2864" s="30">
        <v>0.26966406078306537</v>
      </c>
      <c r="B2864" s="30">
        <v>0</v>
      </c>
      <c r="C2864" s="30">
        <v>20.299999999999997</v>
      </c>
      <c r="G2864" s="18"/>
    </row>
    <row r="2865" spans="1:7" x14ac:dyDescent="0.25">
      <c r="A2865" s="30">
        <v>1.1773506018673285</v>
      </c>
      <c r="B2865" s="30">
        <v>0</v>
      </c>
      <c r="C2865" s="30">
        <v>23.799999999999997</v>
      </c>
      <c r="G2865" s="18"/>
    </row>
    <row r="2866" spans="1:7" x14ac:dyDescent="0.25">
      <c r="A2866" s="30">
        <v>1.0270813357682815</v>
      </c>
      <c r="B2866" s="30">
        <v>0</v>
      </c>
      <c r="C2866" s="30">
        <v>23.799999999999997</v>
      </c>
      <c r="G2866" s="18"/>
    </row>
    <row r="2867" spans="1:7" x14ac:dyDescent="0.25">
      <c r="A2867" s="30">
        <v>1.8970716066638638</v>
      </c>
      <c r="B2867" s="30">
        <v>0</v>
      </c>
      <c r="C2867" s="30">
        <v>23.799999999999997</v>
      </c>
      <c r="G2867" s="18"/>
    </row>
    <row r="2868" spans="1:7" x14ac:dyDescent="0.25">
      <c r="A2868" s="30">
        <v>1.2416415076076441</v>
      </c>
      <c r="B2868" s="30">
        <v>0</v>
      </c>
      <c r="C2868" s="30">
        <v>23.799999999999997</v>
      </c>
      <c r="G2868" s="18"/>
    </row>
    <row r="2869" spans="1:7" x14ac:dyDescent="0.25">
      <c r="A2869" s="30">
        <v>0.302537583811546</v>
      </c>
      <c r="B2869" s="30">
        <v>0</v>
      </c>
      <c r="C2869" s="30">
        <v>23.799999999999997</v>
      </c>
      <c r="G2869" s="18"/>
    </row>
    <row r="2870" spans="1:7" x14ac:dyDescent="0.25">
      <c r="A2870" s="30">
        <v>0.91857439443305966</v>
      </c>
      <c r="B2870" s="30">
        <v>0</v>
      </c>
      <c r="C2870" s="30">
        <v>23.799999999999997</v>
      </c>
      <c r="G2870" s="18"/>
    </row>
    <row r="2871" spans="1:7" x14ac:dyDescent="0.25">
      <c r="A2871" s="30">
        <v>0.7717430514954855</v>
      </c>
      <c r="B2871" s="30">
        <v>0</v>
      </c>
      <c r="C2871" s="30">
        <v>23.799999999999997</v>
      </c>
      <c r="G2871" s="18"/>
    </row>
    <row r="2872" spans="1:7" x14ac:dyDescent="0.25">
      <c r="A2872" s="30">
        <v>0.78106518618061815</v>
      </c>
      <c r="B2872" s="30">
        <v>0</v>
      </c>
      <c r="C2872" s="30">
        <v>23.799999999999997</v>
      </c>
      <c r="G2872" s="18"/>
    </row>
    <row r="2873" spans="1:7" x14ac:dyDescent="0.25">
      <c r="A2873" s="30">
        <v>1.0130326179434903</v>
      </c>
      <c r="B2873" s="30">
        <v>0</v>
      </c>
      <c r="C2873" s="30">
        <v>23.799999999999997</v>
      </c>
      <c r="G2873" s="18"/>
    </row>
    <row r="2874" spans="1:7" x14ac:dyDescent="0.25">
      <c r="A2874" s="30">
        <v>9.2036651400071071E-2</v>
      </c>
      <c r="B2874" s="30">
        <v>0</v>
      </c>
      <c r="C2874" s="30">
        <v>23.799999999999997</v>
      </c>
      <c r="G2874" s="18"/>
    </row>
    <row r="2875" spans="1:7" x14ac:dyDescent="0.25">
      <c r="A2875" s="30">
        <v>2.2535281959849405</v>
      </c>
      <c r="B2875" s="30">
        <v>0</v>
      </c>
      <c r="C2875" s="30">
        <v>23.799999999999997</v>
      </c>
      <c r="G2875" s="18"/>
    </row>
    <row r="2876" spans="1:7" x14ac:dyDescent="0.25">
      <c r="A2876" s="30">
        <v>0.20490561277953781</v>
      </c>
      <c r="B2876" s="30">
        <v>0</v>
      </c>
      <c r="C2876" s="30">
        <v>23.799999999999997</v>
      </c>
      <c r="G2876" s="18"/>
    </row>
    <row r="2877" spans="1:7" x14ac:dyDescent="0.25">
      <c r="A2877" s="30">
        <v>1.3858838966243705</v>
      </c>
      <c r="B2877" s="30">
        <v>0</v>
      </c>
      <c r="C2877" s="30">
        <v>23.799999999999997</v>
      </c>
      <c r="G2877" s="18"/>
    </row>
    <row r="2878" spans="1:7" x14ac:dyDescent="0.25">
      <c r="A2878" s="30">
        <v>0.15570500762430733</v>
      </c>
      <c r="B2878" s="30">
        <v>0</v>
      </c>
      <c r="C2878" s="30">
        <v>9.2399999999999984</v>
      </c>
      <c r="G2878" s="18"/>
    </row>
    <row r="2879" spans="1:7" x14ac:dyDescent="0.25">
      <c r="A2879" s="30">
        <v>0.66787622893202481</v>
      </c>
      <c r="B2879" s="30">
        <v>0</v>
      </c>
      <c r="C2879" s="30">
        <v>9.2399999999999984</v>
      </c>
      <c r="G2879" s="18"/>
    </row>
    <row r="2880" spans="1:7" x14ac:dyDescent="0.25">
      <c r="A2880" s="30">
        <v>0.41341460884298958</v>
      </c>
      <c r="B2880" s="30">
        <v>0</v>
      </c>
      <c r="C2880" s="30">
        <v>9.2399999999999984</v>
      </c>
      <c r="G2880" s="18"/>
    </row>
    <row r="2881" spans="1:7" x14ac:dyDescent="0.25">
      <c r="A2881" s="30">
        <v>0.85790174971793898</v>
      </c>
      <c r="B2881" s="30">
        <v>0</v>
      </c>
      <c r="C2881" s="30">
        <v>9.2399999999999984</v>
      </c>
      <c r="G2881" s="18"/>
    </row>
    <row r="2882" spans="1:7" x14ac:dyDescent="0.25">
      <c r="A2882" s="30">
        <v>0.71786304814198654</v>
      </c>
      <c r="B2882" s="30">
        <v>0</v>
      </c>
      <c r="C2882" s="30">
        <v>9.2399999999999984</v>
      </c>
      <c r="G2882" s="18"/>
    </row>
    <row r="2883" spans="1:7" x14ac:dyDescent="0.25">
      <c r="A2883" s="30">
        <v>0.23937383891888767</v>
      </c>
      <c r="B2883" s="30">
        <v>0</v>
      </c>
      <c r="C2883" s="30">
        <v>9.2399999999999984</v>
      </c>
      <c r="G2883" s="18"/>
    </row>
    <row r="2884" spans="1:7" x14ac:dyDescent="0.25">
      <c r="A2884" s="30">
        <v>0.10265100326056957</v>
      </c>
      <c r="B2884" s="30">
        <v>0</v>
      </c>
      <c r="C2884" s="30">
        <v>9.2399999999999984</v>
      </c>
      <c r="G2884" s="18"/>
    </row>
    <row r="2885" spans="1:7" x14ac:dyDescent="0.25">
      <c r="A2885" s="30">
        <v>0.23672719703859926</v>
      </c>
      <c r="B2885" s="30">
        <v>0</v>
      </c>
      <c r="C2885" s="30">
        <v>9.2399999999999984</v>
      </c>
      <c r="G2885" s="18"/>
    </row>
    <row r="2886" spans="1:7" x14ac:dyDescent="0.25">
      <c r="A2886" s="30">
        <v>0.61542916247328261</v>
      </c>
      <c r="B2886" s="30">
        <v>0</v>
      </c>
      <c r="C2886" s="30">
        <v>9.2399999999999984</v>
      </c>
      <c r="G2886" s="18"/>
    </row>
    <row r="2887" spans="1:7" x14ac:dyDescent="0.25">
      <c r="A2887" s="30">
        <v>1.8175127733434544</v>
      </c>
      <c r="B2887" s="30">
        <v>0</v>
      </c>
      <c r="C2887" s="30">
        <v>9.2399999999999984</v>
      </c>
      <c r="G2887" s="18"/>
    </row>
    <row r="2888" spans="1:7" x14ac:dyDescent="0.25">
      <c r="A2888" s="30">
        <v>0.76701548648121309</v>
      </c>
      <c r="B2888" s="30">
        <v>0</v>
      </c>
      <c r="C2888" s="30">
        <v>9.2399999999999984</v>
      </c>
      <c r="G2888" s="18"/>
    </row>
    <row r="2889" spans="1:7" x14ac:dyDescent="0.25">
      <c r="A2889" s="30">
        <v>1.8028733403438302</v>
      </c>
      <c r="B2889" s="30">
        <v>0</v>
      </c>
      <c r="C2889" s="30">
        <v>9.2399999999999984</v>
      </c>
      <c r="G2889" s="18"/>
    </row>
    <row r="2890" spans="1:7" x14ac:dyDescent="0.25">
      <c r="A2890" s="30">
        <v>0.32943710395360715</v>
      </c>
      <c r="B2890" s="30">
        <v>0</v>
      </c>
      <c r="C2890" s="30">
        <v>9.2399999999999984</v>
      </c>
      <c r="G2890" s="18"/>
    </row>
    <row r="2891" spans="1:7" x14ac:dyDescent="0.25">
      <c r="A2891" s="30">
        <v>1.045152252057332</v>
      </c>
      <c r="B2891" s="30">
        <v>0</v>
      </c>
      <c r="C2891" s="30">
        <v>9.2399999999999984</v>
      </c>
      <c r="G2891" s="18"/>
    </row>
    <row r="2892" spans="1:7" x14ac:dyDescent="0.25">
      <c r="A2892" s="30">
        <v>0.13046566107028063</v>
      </c>
      <c r="B2892" s="30">
        <v>0</v>
      </c>
      <c r="C2892" s="30">
        <v>9.2399999999999984</v>
      </c>
      <c r="G2892" s="18"/>
    </row>
    <row r="2893" spans="1:7" x14ac:dyDescent="0.25">
      <c r="A2893" s="30">
        <v>1.4252514429752616</v>
      </c>
      <c r="B2893" s="30">
        <v>0</v>
      </c>
      <c r="C2893" s="30">
        <v>9.2399999999999984</v>
      </c>
      <c r="G2893" s="18"/>
    </row>
    <row r="2894" spans="1:7" x14ac:dyDescent="0.25">
      <c r="A2894" s="30">
        <v>1.2213110542308325</v>
      </c>
      <c r="B2894" s="30">
        <v>0</v>
      </c>
      <c r="C2894" s="30">
        <v>22.259999999999998</v>
      </c>
      <c r="G2894" s="18"/>
    </row>
    <row r="2895" spans="1:7" x14ac:dyDescent="0.25">
      <c r="A2895" s="30">
        <v>1.5514450988756807</v>
      </c>
      <c r="B2895" s="30">
        <v>0</v>
      </c>
      <c r="C2895" s="30">
        <v>22.259999999999998</v>
      </c>
      <c r="G2895" s="18"/>
    </row>
    <row r="2896" spans="1:7" x14ac:dyDescent="0.25">
      <c r="A2896" s="30">
        <v>0.84905075951069053</v>
      </c>
      <c r="B2896" s="30">
        <v>0</v>
      </c>
      <c r="C2896" s="30">
        <v>22.259999999999998</v>
      </c>
      <c r="G2896" s="18"/>
    </row>
    <row r="2897" spans="1:7" x14ac:dyDescent="0.25">
      <c r="A2897" s="30">
        <v>0.61279766643553457</v>
      </c>
      <c r="B2897" s="30">
        <v>0</v>
      </c>
      <c r="C2897" s="30">
        <v>22.259999999999998</v>
      </c>
      <c r="G2897" s="18"/>
    </row>
    <row r="2898" spans="1:7" x14ac:dyDescent="0.25">
      <c r="A2898" s="30">
        <v>0.27220388505252779</v>
      </c>
      <c r="B2898" s="30">
        <v>0</v>
      </c>
      <c r="C2898" s="30">
        <v>22.259999999999998</v>
      </c>
      <c r="G2898" s="18"/>
    </row>
    <row r="2899" spans="1:7" x14ac:dyDescent="0.25">
      <c r="A2899" s="30">
        <v>0.83480207755903335</v>
      </c>
      <c r="B2899" s="30">
        <v>0</v>
      </c>
      <c r="C2899" s="30">
        <v>22.259999999999998</v>
      </c>
      <c r="G2899" s="18"/>
    </row>
    <row r="2900" spans="1:7" x14ac:dyDescent="0.25">
      <c r="A2900" s="30">
        <v>0.97051412409983906</v>
      </c>
      <c r="B2900" s="30">
        <v>0</v>
      </c>
      <c r="C2900" s="30">
        <v>22.259999999999998</v>
      </c>
      <c r="G2900" s="18"/>
    </row>
    <row r="2901" spans="1:7" x14ac:dyDescent="0.25">
      <c r="A2901" s="30">
        <v>0.73607742933655751</v>
      </c>
      <c r="B2901" s="30">
        <v>0</v>
      </c>
      <c r="C2901" s="30">
        <v>22.259999999999998</v>
      </c>
      <c r="G2901" s="18"/>
    </row>
    <row r="2902" spans="1:7" x14ac:dyDescent="0.25">
      <c r="A2902" s="30">
        <v>0.14767034517640992</v>
      </c>
      <c r="B2902" s="30">
        <v>0</v>
      </c>
      <c r="C2902" s="30">
        <v>22.259999999999998</v>
      </c>
      <c r="G2902" s="18"/>
    </row>
    <row r="2903" spans="1:7" x14ac:dyDescent="0.25">
      <c r="A2903" s="30">
        <v>2.0768019793262069</v>
      </c>
      <c r="B2903" s="30">
        <v>0</v>
      </c>
      <c r="C2903" s="30">
        <v>22.259999999999998</v>
      </c>
      <c r="G2903" s="18"/>
    </row>
    <row r="2904" spans="1:7" x14ac:dyDescent="0.25">
      <c r="A2904" s="30">
        <v>0.88878082932376634</v>
      </c>
      <c r="B2904" s="30">
        <v>0</v>
      </c>
      <c r="C2904" s="30">
        <v>22.259999999999998</v>
      </c>
      <c r="G2904" s="18"/>
    </row>
    <row r="2905" spans="1:7" x14ac:dyDescent="0.25">
      <c r="A2905" s="30">
        <v>1.3111808667336233</v>
      </c>
      <c r="B2905" s="30">
        <v>0</v>
      </c>
      <c r="C2905" s="30">
        <v>22.259999999999998</v>
      </c>
      <c r="G2905" s="18"/>
    </row>
    <row r="2906" spans="1:7" x14ac:dyDescent="0.25">
      <c r="A2906" s="30">
        <v>0.41241783298771767</v>
      </c>
      <c r="B2906" s="30">
        <v>0</v>
      </c>
      <c r="C2906" s="30">
        <v>22.259999999999998</v>
      </c>
      <c r="G2906" s="18"/>
    </row>
    <row r="2907" spans="1:7" x14ac:dyDescent="0.25">
      <c r="A2907" s="30">
        <v>2.3854671036927746</v>
      </c>
      <c r="B2907" s="30">
        <v>0</v>
      </c>
      <c r="C2907" s="30">
        <v>22.259999999999998</v>
      </c>
      <c r="G2907" s="18"/>
    </row>
    <row r="2908" spans="1:7" x14ac:dyDescent="0.25">
      <c r="A2908" s="30">
        <v>5.2084369729459956E-2</v>
      </c>
      <c r="B2908" s="30">
        <v>0</v>
      </c>
      <c r="C2908" s="30">
        <v>22.259999999999998</v>
      </c>
      <c r="G2908" s="18"/>
    </row>
    <row r="2909" spans="1:7" x14ac:dyDescent="0.25">
      <c r="A2909" s="30">
        <v>0.94061782787006343</v>
      </c>
      <c r="B2909" s="30">
        <v>0</v>
      </c>
      <c r="C2909" s="30">
        <v>22.259999999999998</v>
      </c>
      <c r="G2909" s="18"/>
    </row>
    <row r="2910" spans="1:7" x14ac:dyDescent="0.25">
      <c r="A2910" s="30">
        <v>1.0291173692248479</v>
      </c>
      <c r="B2910" s="30">
        <v>0</v>
      </c>
      <c r="C2910" s="30">
        <v>22.259999999999998</v>
      </c>
      <c r="G2910" s="18"/>
    </row>
    <row r="2911" spans="1:7" x14ac:dyDescent="0.25">
      <c r="A2911" s="30">
        <v>0.40854243180924532</v>
      </c>
      <c r="B2911" s="30">
        <v>0</v>
      </c>
      <c r="C2911" s="30">
        <v>20.86</v>
      </c>
      <c r="G2911" s="18"/>
    </row>
    <row r="2912" spans="1:7" x14ac:dyDescent="0.25">
      <c r="A2912" s="30">
        <v>1.1710432478196098</v>
      </c>
      <c r="B2912" s="30">
        <v>0</v>
      </c>
      <c r="C2912" s="30">
        <v>20.86</v>
      </c>
      <c r="G2912" s="18"/>
    </row>
    <row r="2913" spans="1:7" x14ac:dyDescent="0.25">
      <c r="A2913" s="30">
        <v>0.3911506428529834</v>
      </c>
      <c r="B2913" s="30">
        <v>0</v>
      </c>
      <c r="C2913" s="30">
        <v>20.86</v>
      </c>
      <c r="G2913" s="18"/>
    </row>
    <row r="2914" spans="1:7" x14ac:dyDescent="0.25">
      <c r="A2914" s="30">
        <v>0.20200852453078996</v>
      </c>
      <c r="B2914" s="30">
        <v>0</v>
      </c>
      <c r="C2914" s="30">
        <v>20.86</v>
      </c>
      <c r="G2914" s="18"/>
    </row>
    <row r="2915" spans="1:7" x14ac:dyDescent="0.25">
      <c r="A2915" s="30">
        <v>2.3703821379280479</v>
      </c>
      <c r="B2915" s="30">
        <v>0</v>
      </c>
      <c r="C2915" s="30">
        <v>20.86</v>
      </c>
      <c r="G2915" s="18"/>
    </row>
    <row r="2916" spans="1:7" x14ac:dyDescent="0.25">
      <c r="A2916" s="30">
        <v>0.84332885434949867</v>
      </c>
      <c r="B2916" s="30">
        <v>0</v>
      </c>
      <c r="C2916" s="30">
        <v>20.86</v>
      </c>
      <c r="G2916" s="18"/>
    </row>
    <row r="2917" spans="1:7" x14ac:dyDescent="0.25">
      <c r="A2917" s="30">
        <v>0.29929501291214794</v>
      </c>
      <c r="B2917" s="30">
        <v>0</v>
      </c>
      <c r="C2917" s="30">
        <v>20.86</v>
      </c>
      <c r="G2917" s="18"/>
    </row>
    <row r="2918" spans="1:7" x14ac:dyDescent="0.25">
      <c r="A2918" s="30">
        <v>0.3302600225730184</v>
      </c>
      <c r="B2918" s="30">
        <v>0</v>
      </c>
      <c r="C2918" s="30">
        <v>20.86</v>
      </c>
      <c r="G2918" s="18"/>
    </row>
    <row r="2919" spans="1:7" x14ac:dyDescent="0.25">
      <c r="A2919" s="30">
        <v>1.8022975055647521</v>
      </c>
      <c r="B2919" s="30">
        <v>0</v>
      </c>
      <c r="C2919" s="30">
        <v>20.86</v>
      </c>
      <c r="G2919" s="18"/>
    </row>
    <row r="2920" spans="1:7" x14ac:dyDescent="0.25">
      <c r="A2920" s="30">
        <v>0.85308081556832194</v>
      </c>
      <c r="B2920" s="30">
        <v>0</v>
      </c>
      <c r="C2920" s="30">
        <v>20.86</v>
      </c>
      <c r="G2920" s="18"/>
    </row>
    <row r="2921" spans="1:7" x14ac:dyDescent="0.25">
      <c r="A2921" s="30">
        <v>0.51932642813700947</v>
      </c>
      <c r="B2921" s="30">
        <v>0</v>
      </c>
      <c r="C2921" s="30">
        <v>20.86</v>
      </c>
      <c r="G2921" s="18"/>
    </row>
    <row r="2922" spans="1:7" x14ac:dyDescent="0.25">
      <c r="A2922" s="30">
        <v>0.51439750138314488</v>
      </c>
      <c r="B2922" s="30">
        <v>0</v>
      </c>
      <c r="C2922" s="30">
        <v>20.86</v>
      </c>
      <c r="G2922" s="18"/>
    </row>
    <row r="2923" spans="1:7" x14ac:dyDescent="0.25">
      <c r="A2923" s="30">
        <v>0.80437752667331996</v>
      </c>
      <c r="B2923" s="30">
        <v>0</v>
      </c>
      <c r="C2923" s="30">
        <v>20.86</v>
      </c>
      <c r="G2923" s="18"/>
    </row>
    <row r="2924" spans="1:7" x14ac:dyDescent="0.25">
      <c r="A2924" s="30">
        <v>1.3560814992182446</v>
      </c>
      <c r="B2924" s="30">
        <v>0</v>
      </c>
      <c r="C2924" s="30">
        <v>20.86</v>
      </c>
      <c r="G2924" s="18"/>
    </row>
    <row r="2925" spans="1:7" x14ac:dyDescent="0.25">
      <c r="A2925" s="30">
        <v>0.70426191578807518</v>
      </c>
      <c r="B2925" s="30">
        <v>0</v>
      </c>
      <c r="C2925" s="30">
        <v>20.86</v>
      </c>
      <c r="G2925" s="18"/>
    </row>
    <row r="2926" spans="1:7" x14ac:dyDescent="0.25">
      <c r="A2926" s="30">
        <v>0.97602000847408643</v>
      </c>
      <c r="B2926" s="30">
        <v>0</v>
      </c>
      <c r="C2926" s="30">
        <v>20.86</v>
      </c>
      <c r="G2926" s="18"/>
    </row>
    <row r="2927" spans="1:7" x14ac:dyDescent="0.25">
      <c r="A2927" s="30">
        <v>0.36345157720455712</v>
      </c>
      <c r="B2927" s="30">
        <v>0</v>
      </c>
      <c r="C2927" s="30">
        <v>15.12</v>
      </c>
      <c r="G2927" s="18"/>
    </row>
    <row r="2928" spans="1:7" x14ac:dyDescent="0.25">
      <c r="A2928" s="30">
        <v>0.49647209701152473</v>
      </c>
      <c r="B2928" s="30">
        <v>0</v>
      </c>
      <c r="C2928" s="30">
        <v>15.12</v>
      </c>
      <c r="G2928" s="18"/>
    </row>
    <row r="2929" spans="1:7" x14ac:dyDescent="0.25">
      <c r="A2929" s="30">
        <v>1.5932443558684526</v>
      </c>
      <c r="B2929" s="30">
        <v>0</v>
      </c>
      <c r="C2929" s="30">
        <v>15.12</v>
      </c>
      <c r="G2929" s="18"/>
    </row>
    <row r="2930" spans="1:7" x14ac:dyDescent="0.25">
      <c r="A2930" s="30">
        <v>0.43192155595822596</v>
      </c>
      <c r="B2930" s="30">
        <v>0</v>
      </c>
      <c r="C2930" s="30">
        <v>15.12</v>
      </c>
      <c r="G2930" s="18"/>
    </row>
    <row r="2931" spans="1:7" x14ac:dyDescent="0.25">
      <c r="A2931" s="30">
        <v>1.7249868633797582E-2</v>
      </c>
      <c r="B2931" s="30">
        <v>0</v>
      </c>
      <c r="C2931" s="30">
        <v>15.12</v>
      </c>
      <c r="G2931" s="18"/>
    </row>
    <row r="2932" spans="1:7" x14ac:dyDescent="0.25">
      <c r="A2932" s="30">
        <v>1.3140811766507459</v>
      </c>
      <c r="B2932" s="30">
        <v>0</v>
      </c>
      <c r="C2932" s="30">
        <v>15.12</v>
      </c>
      <c r="G2932" s="18"/>
    </row>
    <row r="2933" spans="1:7" x14ac:dyDescent="0.25">
      <c r="A2933" s="30">
        <v>0.93668249374694645</v>
      </c>
      <c r="B2933" s="30">
        <v>0</v>
      </c>
      <c r="C2933" s="30">
        <v>15.12</v>
      </c>
      <c r="G2933" s="18"/>
    </row>
    <row r="2934" spans="1:7" x14ac:dyDescent="0.25">
      <c r="A2934" s="30">
        <v>1.0078886379015894</v>
      </c>
      <c r="B2934" s="30">
        <v>0</v>
      </c>
      <c r="C2934" s="30">
        <v>15.12</v>
      </c>
      <c r="G2934" s="18"/>
    </row>
    <row r="2935" spans="1:7" x14ac:dyDescent="0.25">
      <c r="A2935" s="30">
        <v>1.9937323265581199</v>
      </c>
      <c r="B2935" s="30">
        <v>0</v>
      </c>
      <c r="C2935" s="30">
        <v>15.12</v>
      </c>
      <c r="G2935" s="18"/>
    </row>
    <row r="2936" spans="1:7" x14ac:dyDescent="0.25">
      <c r="A2936" s="30">
        <v>1.0284415300125109</v>
      </c>
      <c r="B2936" s="30">
        <v>0</v>
      </c>
      <c r="C2936" s="30">
        <v>15.12</v>
      </c>
      <c r="G2936" s="18"/>
    </row>
    <row r="2937" spans="1:7" x14ac:dyDescent="0.25">
      <c r="A2937" s="30">
        <v>0.963088992741994</v>
      </c>
      <c r="B2937" s="30">
        <v>0</v>
      </c>
      <c r="C2937" s="30">
        <v>15.12</v>
      </c>
      <c r="G2937" s="18"/>
    </row>
    <row r="2938" spans="1:7" x14ac:dyDescent="0.25">
      <c r="A2938" s="30">
        <v>0.37822970073352957</v>
      </c>
      <c r="B2938" s="30">
        <v>0</v>
      </c>
      <c r="C2938" s="30">
        <v>15.12</v>
      </c>
      <c r="G2938" s="18"/>
    </row>
    <row r="2939" spans="1:7" x14ac:dyDescent="0.25">
      <c r="A2939" s="30">
        <v>0.13364308177283579</v>
      </c>
      <c r="B2939" s="30">
        <v>0</v>
      </c>
      <c r="C2939" s="30">
        <v>15.12</v>
      </c>
      <c r="G2939" s="18"/>
    </row>
    <row r="2940" spans="1:7" x14ac:dyDescent="0.25">
      <c r="A2940" s="30">
        <v>1.1103747498336347</v>
      </c>
      <c r="B2940" s="30">
        <v>0</v>
      </c>
      <c r="C2940" s="30">
        <v>15.12</v>
      </c>
      <c r="G2940" s="18"/>
    </row>
    <row r="2941" spans="1:7" x14ac:dyDescent="0.25">
      <c r="A2941" s="30">
        <v>1.7872442068220695</v>
      </c>
      <c r="B2941" s="30">
        <v>0</v>
      </c>
      <c r="C2941" s="30">
        <v>15.12</v>
      </c>
      <c r="G2941" s="18"/>
    </row>
    <row r="2942" spans="1:7" x14ac:dyDescent="0.25">
      <c r="A2942" s="30">
        <v>0.24983027357403492</v>
      </c>
      <c r="B2942" s="30">
        <v>0</v>
      </c>
      <c r="C2942" s="30">
        <v>15.12</v>
      </c>
      <c r="G2942" s="18"/>
    </row>
    <row r="2943" spans="1:7" x14ac:dyDescent="0.25">
      <c r="A2943" s="30">
        <v>2.269668609672141</v>
      </c>
      <c r="B2943" s="30">
        <v>0</v>
      </c>
      <c r="C2943" s="30">
        <v>9.94</v>
      </c>
      <c r="G2943" s="18"/>
    </row>
    <row r="2944" spans="1:7" x14ac:dyDescent="0.25">
      <c r="A2944" s="30">
        <v>0.53522911054697853</v>
      </c>
      <c r="B2944" s="30">
        <v>0</v>
      </c>
      <c r="C2944" s="30">
        <v>9.94</v>
      </c>
      <c r="G2944" s="18"/>
    </row>
    <row r="2945" spans="1:7" x14ac:dyDescent="0.25">
      <c r="A2945" s="30">
        <v>0.26576236087075011</v>
      </c>
      <c r="B2945" s="30">
        <v>0</v>
      </c>
      <c r="C2945" s="30">
        <v>9.94</v>
      </c>
      <c r="G2945" s="18"/>
    </row>
    <row r="2946" spans="1:7" x14ac:dyDescent="0.25">
      <c r="A2946" s="30">
        <v>0.10146905923592402</v>
      </c>
      <c r="B2946" s="30">
        <v>0</v>
      </c>
      <c r="C2946" s="30">
        <v>9.94</v>
      </c>
      <c r="G2946" s="18"/>
    </row>
    <row r="2947" spans="1:7" x14ac:dyDescent="0.25">
      <c r="A2947" s="30">
        <v>2.1176853954584893</v>
      </c>
      <c r="B2947" s="30">
        <v>0</v>
      </c>
      <c r="C2947" s="30">
        <v>9.94</v>
      </c>
      <c r="G2947" s="18"/>
    </row>
    <row r="2948" spans="1:7" x14ac:dyDescent="0.25">
      <c r="A2948" s="30">
        <v>0.98802311542578924</v>
      </c>
      <c r="B2948" s="30">
        <v>0</v>
      </c>
      <c r="C2948" s="30">
        <v>9.94</v>
      </c>
      <c r="G2948" s="18"/>
    </row>
    <row r="2949" spans="1:7" x14ac:dyDescent="0.25">
      <c r="A2949" s="30">
        <v>0.93568150651182302</v>
      </c>
      <c r="B2949" s="30">
        <v>0</v>
      </c>
      <c r="C2949" s="30">
        <v>9.94</v>
      </c>
      <c r="G2949" s="18"/>
    </row>
    <row r="2950" spans="1:7" x14ac:dyDescent="0.25">
      <c r="A2950" s="30">
        <v>0.93129800870315527</v>
      </c>
      <c r="B2950" s="30">
        <v>0</v>
      </c>
      <c r="C2950" s="30">
        <v>9.94</v>
      </c>
      <c r="G2950" s="18"/>
    </row>
    <row r="2951" spans="1:7" x14ac:dyDescent="0.25">
      <c r="A2951" s="30">
        <v>1.6216769436892087</v>
      </c>
      <c r="B2951" s="30">
        <v>0</v>
      </c>
      <c r="C2951" s="30">
        <v>9.94</v>
      </c>
      <c r="G2951" s="18"/>
    </row>
    <row r="2952" spans="1:7" x14ac:dyDescent="0.25">
      <c r="A2952" s="30">
        <v>0.65824237984562117</v>
      </c>
      <c r="B2952" s="30">
        <v>0</v>
      </c>
      <c r="C2952" s="30">
        <v>9.94</v>
      </c>
      <c r="G2952" s="18"/>
    </row>
    <row r="2953" spans="1:7" x14ac:dyDescent="0.25">
      <c r="A2953" s="30">
        <v>1.5143057355804685</v>
      </c>
      <c r="B2953" s="30">
        <v>0</v>
      </c>
      <c r="C2953" s="30">
        <v>9.94</v>
      </c>
      <c r="G2953" s="18"/>
    </row>
    <row r="2954" spans="1:7" x14ac:dyDescent="0.25">
      <c r="A2954" s="30">
        <v>1.2517355315911407</v>
      </c>
      <c r="B2954" s="30">
        <v>0</v>
      </c>
      <c r="C2954" s="30">
        <v>9.94</v>
      </c>
      <c r="G2954" s="18"/>
    </row>
    <row r="2955" spans="1:7" x14ac:dyDescent="0.25">
      <c r="A2955" s="30">
        <v>1.0379904679621497</v>
      </c>
      <c r="B2955" s="30">
        <v>0</v>
      </c>
      <c r="C2955" s="30">
        <v>9.94</v>
      </c>
      <c r="G2955" s="18"/>
    </row>
    <row r="2956" spans="1:7" x14ac:dyDescent="0.25">
      <c r="A2956" s="30">
        <v>0.3852249433337317</v>
      </c>
      <c r="B2956" s="30">
        <v>0</v>
      </c>
      <c r="C2956" s="30">
        <v>9.94</v>
      </c>
      <c r="G2956" s="18"/>
    </row>
    <row r="2957" spans="1:7" x14ac:dyDescent="0.25">
      <c r="A2957" s="30">
        <v>1.8339431829143134</v>
      </c>
      <c r="B2957" s="30">
        <v>0</v>
      </c>
      <c r="C2957" s="30">
        <v>9.94</v>
      </c>
      <c r="G2957" s="18"/>
    </row>
    <row r="2958" spans="1:7" x14ac:dyDescent="0.25">
      <c r="A2958" s="30">
        <v>0.80989436432000406</v>
      </c>
      <c r="B2958" s="30">
        <v>0</v>
      </c>
      <c r="C2958" s="30">
        <v>9.94</v>
      </c>
      <c r="G2958" s="18"/>
    </row>
    <row r="2959" spans="1:7" x14ac:dyDescent="0.25">
      <c r="A2959" s="30">
        <v>0.14421077146641573</v>
      </c>
      <c r="B2959" s="30">
        <v>0</v>
      </c>
      <c r="C2959" s="30">
        <v>15.26</v>
      </c>
      <c r="G2959" s="18"/>
    </row>
    <row r="2960" spans="1:7" x14ac:dyDescent="0.25">
      <c r="A2960" s="30">
        <v>0.23781617280825634</v>
      </c>
      <c r="B2960" s="30">
        <v>0</v>
      </c>
      <c r="C2960" s="30">
        <v>15.26</v>
      </c>
      <c r="G2960" s="18"/>
    </row>
    <row r="2961" spans="1:7" x14ac:dyDescent="0.25">
      <c r="A2961" s="30">
        <v>1.758918966544385</v>
      </c>
      <c r="B2961" s="30">
        <v>0</v>
      </c>
      <c r="C2961" s="30">
        <v>15.26</v>
      </c>
      <c r="G2961" s="18"/>
    </row>
    <row r="2962" spans="1:7" x14ac:dyDescent="0.25">
      <c r="A2962" s="30">
        <v>1.1724475405563937</v>
      </c>
      <c r="B2962" s="30">
        <v>0</v>
      </c>
      <c r="C2962" s="30">
        <v>15.26</v>
      </c>
      <c r="G2962" s="18"/>
    </row>
    <row r="2963" spans="1:7" x14ac:dyDescent="0.25">
      <c r="A2963" s="30">
        <v>1.4475959039391113</v>
      </c>
      <c r="B2963" s="30">
        <v>0</v>
      </c>
      <c r="C2963" s="30">
        <v>15.26</v>
      </c>
      <c r="G2963" s="18"/>
    </row>
    <row r="2964" spans="1:7" x14ac:dyDescent="0.25">
      <c r="A2964" s="30">
        <v>0.54315542820616924</v>
      </c>
      <c r="B2964" s="30">
        <v>0</v>
      </c>
      <c r="C2964" s="30">
        <v>15.26</v>
      </c>
      <c r="G2964" s="18"/>
    </row>
    <row r="2965" spans="1:7" x14ac:dyDescent="0.25">
      <c r="A2965" s="30">
        <v>1.5270581125217237</v>
      </c>
      <c r="B2965" s="30">
        <v>0</v>
      </c>
      <c r="C2965" s="30">
        <v>15.26</v>
      </c>
      <c r="G2965" s="18"/>
    </row>
    <row r="2966" spans="1:7" x14ac:dyDescent="0.25">
      <c r="A2966" s="30">
        <v>1.3685776859256333</v>
      </c>
      <c r="B2966" s="30">
        <v>0</v>
      </c>
      <c r="C2966" s="30">
        <v>15.26</v>
      </c>
      <c r="G2966" s="18"/>
    </row>
    <row r="2967" spans="1:7" x14ac:dyDescent="0.25">
      <c r="A2967" s="30">
        <v>1.4101505550330198</v>
      </c>
      <c r="B2967" s="30">
        <v>0</v>
      </c>
      <c r="C2967" s="30">
        <v>15.26</v>
      </c>
      <c r="G2967" s="18"/>
    </row>
    <row r="2968" spans="1:7" x14ac:dyDescent="0.25">
      <c r="A2968" s="30">
        <v>0.97765129916635019</v>
      </c>
      <c r="B2968" s="30">
        <v>0</v>
      </c>
      <c r="C2968" s="30">
        <v>15.26</v>
      </c>
      <c r="G2968" s="18"/>
    </row>
    <row r="2969" spans="1:7" x14ac:dyDescent="0.25">
      <c r="A2969" s="30">
        <v>1.9677348538302364</v>
      </c>
      <c r="B2969" s="30">
        <v>0</v>
      </c>
      <c r="C2969" s="30">
        <v>15.26</v>
      </c>
      <c r="G2969" s="18"/>
    </row>
    <row r="2970" spans="1:7" x14ac:dyDescent="0.25">
      <c r="A2970" s="30">
        <v>1.0470455533886533</v>
      </c>
      <c r="B2970" s="30">
        <v>0</v>
      </c>
      <c r="C2970" s="30">
        <v>15.26</v>
      </c>
      <c r="G2970" s="18"/>
    </row>
    <row r="2971" spans="1:7" x14ac:dyDescent="0.25">
      <c r="A2971" s="30">
        <v>0.44248338157822464</v>
      </c>
      <c r="B2971" s="30">
        <v>0</v>
      </c>
      <c r="C2971" s="30">
        <v>15.26</v>
      </c>
      <c r="G2971" s="18"/>
    </row>
    <row r="2972" spans="1:7" x14ac:dyDescent="0.25">
      <c r="A2972" s="30">
        <v>1.2497989420323001</v>
      </c>
      <c r="B2972" s="30">
        <v>0</v>
      </c>
      <c r="C2972" s="30">
        <v>15.26</v>
      </c>
      <c r="G2972" s="18"/>
    </row>
    <row r="2973" spans="1:7" x14ac:dyDescent="0.25">
      <c r="A2973" s="30">
        <v>1.8708681470323114</v>
      </c>
      <c r="B2973" s="30">
        <v>0</v>
      </c>
      <c r="C2973" s="30">
        <v>15.26</v>
      </c>
      <c r="G2973" s="18"/>
    </row>
    <row r="2974" spans="1:7" x14ac:dyDescent="0.25">
      <c r="A2974" s="30">
        <v>0.55235912259370423</v>
      </c>
      <c r="B2974" s="30">
        <v>0</v>
      </c>
      <c r="C2974" s="30">
        <v>15.26</v>
      </c>
      <c r="G2974" s="18"/>
    </row>
    <row r="2975" spans="1:7" x14ac:dyDescent="0.25">
      <c r="A2975" s="30">
        <v>1.1472825637796316</v>
      </c>
      <c r="B2975" s="30">
        <v>0</v>
      </c>
      <c r="C2975" s="30">
        <v>15.26</v>
      </c>
      <c r="G2975" s="18"/>
    </row>
    <row r="2976" spans="1:7" x14ac:dyDescent="0.25">
      <c r="A2976" s="30">
        <v>1.0851608569272553</v>
      </c>
      <c r="B2976" s="30">
        <v>0</v>
      </c>
      <c r="C2976" s="30">
        <v>22.259999999999998</v>
      </c>
      <c r="G2976" s="18"/>
    </row>
    <row r="2977" spans="1:7" x14ac:dyDescent="0.25">
      <c r="A2977" s="30">
        <v>2.176055652756919</v>
      </c>
      <c r="B2977" s="30">
        <v>0</v>
      </c>
      <c r="C2977" s="30">
        <v>22.259999999999998</v>
      </c>
      <c r="G2977" s="18"/>
    </row>
    <row r="2978" spans="1:7" x14ac:dyDescent="0.25">
      <c r="A2978" s="30">
        <v>0.49312869717032581</v>
      </c>
      <c r="B2978" s="30">
        <v>0</v>
      </c>
      <c r="C2978" s="30">
        <v>22.259999999999998</v>
      </c>
      <c r="G2978" s="18"/>
    </row>
    <row r="2979" spans="1:7" x14ac:dyDescent="0.25">
      <c r="A2979" s="30">
        <v>0.47178616290002828</v>
      </c>
      <c r="B2979" s="30">
        <v>0</v>
      </c>
      <c r="C2979" s="30">
        <v>22.259999999999998</v>
      </c>
      <c r="G2979" s="18"/>
    </row>
    <row r="2980" spans="1:7" x14ac:dyDescent="0.25">
      <c r="A2980" s="30">
        <v>0.50605599264114898</v>
      </c>
      <c r="B2980" s="30">
        <v>0</v>
      </c>
      <c r="C2980" s="30">
        <v>22.259999999999998</v>
      </c>
      <c r="G2980" s="18"/>
    </row>
    <row r="2981" spans="1:7" x14ac:dyDescent="0.25">
      <c r="A2981" s="30">
        <v>2.3144775434092346</v>
      </c>
      <c r="B2981" s="30">
        <v>0</v>
      </c>
      <c r="C2981" s="30">
        <v>22.259999999999998</v>
      </c>
      <c r="G2981" s="18"/>
    </row>
    <row r="2982" spans="1:7" x14ac:dyDescent="0.25">
      <c r="A2982" s="30">
        <v>0.53721290578072434</v>
      </c>
      <c r="B2982" s="30">
        <v>0</v>
      </c>
      <c r="C2982" s="30">
        <v>22.259999999999998</v>
      </c>
      <c r="G2982" s="18"/>
    </row>
    <row r="2983" spans="1:7" x14ac:dyDescent="0.25">
      <c r="A2983" s="30">
        <v>1.9876210661625329</v>
      </c>
      <c r="B2983" s="30">
        <v>0</v>
      </c>
      <c r="C2983" s="30">
        <v>22.259999999999998</v>
      </c>
      <c r="G2983" s="18"/>
    </row>
    <row r="2984" spans="1:7" x14ac:dyDescent="0.25">
      <c r="A2984" s="30">
        <v>1.2270613959875674</v>
      </c>
      <c r="B2984" s="30">
        <v>0</v>
      </c>
      <c r="C2984" s="30">
        <v>22.259999999999998</v>
      </c>
      <c r="G2984" s="18"/>
    </row>
    <row r="2985" spans="1:7" x14ac:dyDescent="0.25">
      <c r="A2985" s="30">
        <v>1.1060256675574307</v>
      </c>
      <c r="B2985" s="30">
        <v>0</v>
      </c>
      <c r="C2985" s="30">
        <v>22.259999999999998</v>
      </c>
      <c r="G2985" s="18"/>
    </row>
    <row r="2986" spans="1:7" x14ac:dyDescent="0.25">
      <c r="A2986" s="30">
        <v>0.4443619986601921</v>
      </c>
      <c r="B2986" s="30">
        <v>0</v>
      </c>
      <c r="C2986" s="30">
        <v>22.259999999999998</v>
      </c>
      <c r="G2986" s="18"/>
    </row>
    <row r="2987" spans="1:7" x14ac:dyDescent="0.25">
      <c r="A2987" s="30">
        <v>0.33777836044305454</v>
      </c>
      <c r="B2987" s="30">
        <v>0</v>
      </c>
      <c r="C2987" s="30">
        <v>22.259999999999998</v>
      </c>
      <c r="G2987" s="18"/>
    </row>
    <row r="2988" spans="1:7" x14ac:dyDescent="0.25">
      <c r="A2988" s="30">
        <v>1.0969795194424896</v>
      </c>
      <c r="B2988" s="30">
        <v>0</v>
      </c>
      <c r="C2988" s="30">
        <v>22.259999999999998</v>
      </c>
      <c r="G2988" s="18"/>
    </row>
    <row r="2989" spans="1:7" x14ac:dyDescent="0.25">
      <c r="A2989" s="30">
        <v>1.3657694525481823</v>
      </c>
      <c r="B2989" s="30">
        <v>0</v>
      </c>
      <c r="C2989" s="30">
        <v>22.259999999999998</v>
      </c>
      <c r="G2989" s="18"/>
    </row>
    <row r="2990" spans="1:7" x14ac:dyDescent="0.25">
      <c r="A2990" s="30">
        <v>0.37402573780245113</v>
      </c>
      <c r="B2990" s="30">
        <v>0</v>
      </c>
      <c r="C2990" s="30">
        <v>22.259999999999998</v>
      </c>
      <c r="G2990" s="18"/>
    </row>
    <row r="2991" spans="1:7" x14ac:dyDescent="0.25">
      <c r="A2991" s="30">
        <v>1.6015839282902129</v>
      </c>
      <c r="B2991" s="30">
        <v>0</v>
      </c>
      <c r="C2991" s="30">
        <v>22.259999999999998</v>
      </c>
      <c r="G2991" s="18"/>
    </row>
    <row r="2992" spans="1:7" x14ac:dyDescent="0.25">
      <c r="A2992" s="30">
        <v>0.44708395264291917</v>
      </c>
      <c r="B2992" s="30">
        <v>0</v>
      </c>
      <c r="C2992" s="30">
        <v>14.979999999999999</v>
      </c>
      <c r="G2992" s="18"/>
    </row>
    <row r="2993" spans="1:7" x14ac:dyDescent="0.25">
      <c r="A2993" s="30">
        <v>2.0051727236917092</v>
      </c>
      <c r="B2993" s="30">
        <v>0</v>
      </c>
      <c r="C2993" s="30">
        <v>14.979999999999999</v>
      </c>
      <c r="G2993" s="18"/>
    </row>
    <row r="2994" spans="1:7" x14ac:dyDescent="0.25">
      <c r="A2994" s="30">
        <v>0.4019720713048332</v>
      </c>
      <c r="B2994" s="30">
        <v>0</v>
      </c>
      <c r="C2994" s="30">
        <v>14.979999999999999</v>
      </c>
      <c r="G2994" s="18"/>
    </row>
    <row r="2995" spans="1:7" x14ac:dyDescent="0.25">
      <c r="A2995" s="30">
        <v>1.0001499955584934</v>
      </c>
      <c r="B2995" s="30">
        <v>0</v>
      </c>
      <c r="C2995" s="30">
        <v>14.979999999999999</v>
      </c>
      <c r="G2995" s="18"/>
    </row>
    <row r="2996" spans="1:7" x14ac:dyDescent="0.25">
      <c r="A2996" s="30">
        <v>0.19285014840728806</v>
      </c>
      <c r="B2996" s="30">
        <v>0</v>
      </c>
      <c r="C2996" s="30">
        <v>14.979999999999999</v>
      </c>
      <c r="G2996" s="18"/>
    </row>
    <row r="2997" spans="1:7" x14ac:dyDescent="0.25">
      <c r="A2997" s="30">
        <v>0.29263556547404213</v>
      </c>
      <c r="B2997" s="30">
        <v>0</v>
      </c>
      <c r="C2997" s="30">
        <v>14.979999999999999</v>
      </c>
      <c r="G2997" s="18"/>
    </row>
    <row r="2998" spans="1:7" x14ac:dyDescent="0.25">
      <c r="A2998" s="30">
        <v>0.28425486609892037</v>
      </c>
      <c r="B2998" s="30">
        <v>0</v>
      </c>
      <c r="C2998" s="30">
        <v>14.979999999999999</v>
      </c>
      <c r="G2998" s="18"/>
    </row>
    <row r="2999" spans="1:7" x14ac:dyDescent="0.25">
      <c r="A2999" s="30">
        <v>4.4017787932730722E-2</v>
      </c>
      <c r="B2999" s="30">
        <v>0</v>
      </c>
      <c r="C2999" s="30">
        <v>14.979999999999999</v>
      </c>
      <c r="G2999" s="18"/>
    </row>
    <row r="3000" spans="1:7" x14ac:dyDescent="0.25">
      <c r="A3000" s="30">
        <v>1.3848886218524934</v>
      </c>
      <c r="B3000" s="30">
        <v>0</v>
      </c>
      <c r="C3000" s="30">
        <v>14.979999999999999</v>
      </c>
      <c r="G3000" s="18"/>
    </row>
    <row r="3001" spans="1:7" x14ac:dyDescent="0.25">
      <c r="A3001" s="30">
        <v>0.3718685407276805</v>
      </c>
      <c r="B3001" s="30">
        <v>0</v>
      </c>
      <c r="C3001" s="30">
        <v>14.979999999999999</v>
      </c>
      <c r="G3001" s="18"/>
    </row>
    <row r="3002" spans="1:7" x14ac:dyDescent="0.25">
      <c r="A3002" s="30">
        <v>0.11418232606074422</v>
      </c>
      <c r="B3002" s="30">
        <v>0</v>
      </c>
      <c r="C3002" s="30">
        <v>14.979999999999999</v>
      </c>
      <c r="G3002" s="18"/>
    </row>
    <row r="3003" spans="1:7" x14ac:dyDescent="0.25">
      <c r="A3003" s="30">
        <v>1.5167582125908852</v>
      </c>
      <c r="B3003" s="30">
        <v>0</v>
      </c>
      <c r="C3003" s="30">
        <v>14.979999999999999</v>
      </c>
      <c r="G3003" s="18"/>
    </row>
    <row r="3004" spans="1:7" x14ac:dyDescent="0.25">
      <c r="A3004" s="30">
        <v>1.3369158049787839</v>
      </c>
      <c r="B3004" s="30">
        <v>0</v>
      </c>
      <c r="C3004" s="30">
        <v>14.979999999999999</v>
      </c>
      <c r="G3004" s="18"/>
    </row>
    <row r="3005" spans="1:7" x14ac:dyDescent="0.25">
      <c r="A3005" s="30">
        <v>0.99912393991357895</v>
      </c>
      <c r="B3005" s="30">
        <v>0</v>
      </c>
      <c r="C3005" s="30">
        <v>14.979999999999999</v>
      </c>
      <c r="G3005" s="18"/>
    </row>
    <row r="3006" spans="1:7" x14ac:dyDescent="0.25">
      <c r="A3006" s="30">
        <v>0.35352624599146082</v>
      </c>
      <c r="B3006" s="30">
        <v>0</v>
      </c>
      <c r="C3006" s="30">
        <v>14.979999999999999</v>
      </c>
      <c r="G3006" s="18"/>
    </row>
    <row r="3007" spans="1:7" x14ac:dyDescent="0.25">
      <c r="A3007" s="30">
        <v>1.5468221921696339</v>
      </c>
      <c r="B3007" s="30">
        <v>0</v>
      </c>
      <c r="C3007" s="30">
        <v>14.979999999999999</v>
      </c>
      <c r="G3007" s="18"/>
    </row>
    <row r="3008" spans="1:7" x14ac:dyDescent="0.25">
      <c r="A3008" s="30">
        <v>0.37060931317632512</v>
      </c>
      <c r="B3008" s="30">
        <v>0</v>
      </c>
      <c r="C3008" s="30">
        <v>14.979999999999999</v>
      </c>
      <c r="G3008" s="18"/>
    </row>
    <row r="3009" spans="1:7" x14ac:dyDescent="0.25">
      <c r="A3009" s="30">
        <v>2.2440660554818894</v>
      </c>
      <c r="B3009" s="30">
        <v>0</v>
      </c>
      <c r="C3009" s="30">
        <v>10.92</v>
      </c>
      <c r="G3009" s="18"/>
    </row>
    <row r="3010" spans="1:7" x14ac:dyDescent="0.25">
      <c r="A3010" s="30">
        <v>0.42590408139896069</v>
      </c>
      <c r="B3010" s="30">
        <v>0</v>
      </c>
      <c r="C3010" s="30">
        <v>10.92</v>
      </c>
      <c r="G3010" s="18"/>
    </row>
    <row r="3011" spans="1:7" x14ac:dyDescent="0.25">
      <c r="A3011" s="30">
        <v>0.20598714128383505</v>
      </c>
      <c r="B3011" s="30">
        <v>0</v>
      </c>
      <c r="C3011" s="30">
        <v>10.92</v>
      </c>
      <c r="G3011" s="18"/>
    </row>
    <row r="3012" spans="1:7" x14ac:dyDescent="0.25">
      <c r="A3012" s="30">
        <v>7.0401776622100537E-2</v>
      </c>
      <c r="B3012" s="30">
        <v>0</v>
      </c>
      <c r="C3012" s="30">
        <v>10.92</v>
      </c>
      <c r="G3012" s="18"/>
    </row>
    <row r="3013" spans="1:7" x14ac:dyDescent="0.25">
      <c r="A3013" s="30">
        <v>2.1883059560135956</v>
      </c>
      <c r="B3013" s="30">
        <v>0</v>
      </c>
      <c r="C3013" s="30">
        <v>10.92</v>
      </c>
      <c r="G3013" s="18"/>
    </row>
    <row r="3014" spans="1:7" x14ac:dyDescent="0.25">
      <c r="A3014" s="30">
        <v>1.0832797324833197</v>
      </c>
      <c r="B3014" s="30">
        <v>0</v>
      </c>
      <c r="C3014" s="30">
        <v>10.92</v>
      </c>
      <c r="G3014" s="18"/>
    </row>
    <row r="3015" spans="1:7" x14ac:dyDescent="0.25">
      <c r="A3015" s="30">
        <v>2.1126527370737609</v>
      </c>
      <c r="B3015" s="30">
        <v>0</v>
      </c>
      <c r="C3015" s="30">
        <v>10.92</v>
      </c>
      <c r="G3015" s="18"/>
    </row>
    <row r="3016" spans="1:7" x14ac:dyDescent="0.25">
      <c r="A3016" s="30">
        <v>0.27454900614956951</v>
      </c>
      <c r="B3016" s="30">
        <v>0</v>
      </c>
      <c r="C3016" s="30">
        <v>10.92</v>
      </c>
      <c r="G3016" s="18"/>
    </row>
    <row r="3017" spans="1:7" x14ac:dyDescent="0.25">
      <c r="A3017" s="30">
        <v>0.89686727944985767</v>
      </c>
      <c r="B3017" s="30">
        <v>0</v>
      </c>
      <c r="C3017" s="30">
        <v>10.92</v>
      </c>
      <c r="G3017" s="18"/>
    </row>
    <row r="3018" spans="1:7" x14ac:dyDescent="0.25">
      <c r="A3018" s="30">
        <v>0.28647070868105623</v>
      </c>
      <c r="B3018" s="30">
        <v>0</v>
      </c>
      <c r="C3018" s="30">
        <v>10.92</v>
      </c>
      <c r="G3018" s="18"/>
    </row>
    <row r="3019" spans="1:7" x14ac:dyDescent="0.25">
      <c r="A3019" s="30">
        <v>1.8476722907875591</v>
      </c>
      <c r="B3019" s="30">
        <v>0</v>
      </c>
      <c r="C3019" s="30">
        <v>10.92</v>
      </c>
      <c r="G3019" s="18"/>
    </row>
    <row r="3020" spans="1:7" x14ac:dyDescent="0.25">
      <c r="A3020" s="30">
        <v>0.62882962684993371</v>
      </c>
      <c r="B3020" s="30">
        <v>0</v>
      </c>
      <c r="C3020" s="30">
        <v>10.92</v>
      </c>
      <c r="G3020" s="18"/>
    </row>
    <row r="3021" spans="1:7" x14ac:dyDescent="0.25">
      <c r="A3021" s="30">
        <v>0.3268306593885546</v>
      </c>
      <c r="B3021" s="30">
        <v>0</v>
      </c>
      <c r="C3021" s="30">
        <v>10.92</v>
      </c>
      <c r="G3021" s="18"/>
    </row>
    <row r="3022" spans="1:7" x14ac:dyDescent="0.25">
      <c r="A3022" s="30">
        <v>0.75980867221786397</v>
      </c>
      <c r="B3022" s="30">
        <v>0</v>
      </c>
      <c r="C3022" s="30">
        <v>10.92</v>
      </c>
      <c r="G3022" s="18"/>
    </row>
    <row r="3023" spans="1:7" x14ac:dyDescent="0.25">
      <c r="A3023" s="30">
        <v>2.1647419119178468</v>
      </c>
      <c r="B3023" s="30">
        <v>0</v>
      </c>
      <c r="C3023" s="30">
        <v>10.92</v>
      </c>
      <c r="G3023" s="18"/>
    </row>
    <row r="3024" spans="1:7" x14ac:dyDescent="0.25">
      <c r="A3024" s="30">
        <v>0.80062138304026509</v>
      </c>
      <c r="B3024" s="30">
        <v>0</v>
      </c>
      <c r="C3024" s="30">
        <v>10.92</v>
      </c>
      <c r="G3024" s="18"/>
    </row>
    <row r="3025" spans="1:7" x14ac:dyDescent="0.25">
      <c r="A3025" s="30">
        <v>2.1051813969473621</v>
      </c>
      <c r="B3025" s="30">
        <v>0</v>
      </c>
      <c r="C3025" s="30">
        <v>18.899999999999999</v>
      </c>
      <c r="G3025" s="18"/>
    </row>
    <row r="3026" spans="1:7" x14ac:dyDescent="0.25">
      <c r="A3026" s="30">
        <v>0.48210764279078633</v>
      </c>
      <c r="B3026" s="30">
        <v>0</v>
      </c>
      <c r="C3026" s="30">
        <v>18.899999999999999</v>
      </c>
      <c r="G3026" s="18"/>
    </row>
    <row r="3027" spans="1:7" x14ac:dyDescent="0.25">
      <c r="A3027" s="30">
        <v>0.11110454330565638</v>
      </c>
      <c r="B3027" s="30">
        <v>0</v>
      </c>
      <c r="C3027" s="30">
        <v>18.899999999999999</v>
      </c>
      <c r="G3027" s="18"/>
    </row>
    <row r="3028" spans="1:7" x14ac:dyDescent="0.25">
      <c r="A3028" s="30">
        <v>0.62778362573467494</v>
      </c>
      <c r="B3028" s="30">
        <v>0</v>
      </c>
      <c r="C3028" s="30">
        <v>18.899999999999999</v>
      </c>
      <c r="G3028" s="18"/>
    </row>
    <row r="3029" spans="1:7" x14ac:dyDescent="0.25">
      <c r="A3029" s="30">
        <v>1.9367082480403153</v>
      </c>
      <c r="B3029" s="30">
        <v>0</v>
      </c>
      <c r="C3029" s="30">
        <v>18.899999999999999</v>
      </c>
      <c r="G3029" s="18"/>
    </row>
    <row r="3030" spans="1:7" x14ac:dyDescent="0.25">
      <c r="A3030" s="30">
        <v>0.85732133695430601</v>
      </c>
      <c r="B3030" s="30">
        <v>0</v>
      </c>
      <c r="C3030" s="30">
        <v>18.899999999999999</v>
      </c>
      <c r="G3030" s="18"/>
    </row>
    <row r="3031" spans="1:7" x14ac:dyDescent="0.25">
      <c r="A3031" s="30">
        <v>0.24826640759734281</v>
      </c>
      <c r="B3031" s="30">
        <v>0</v>
      </c>
      <c r="C3031" s="30">
        <v>18.899999999999999</v>
      </c>
      <c r="G3031" s="18"/>
    </row>
    <row r="3032" spans="1:7" x14ac:dyDescent="0.25">
      <c r="A3032" s="30">
        <v>7.9875042105611291E-2</v>
      </c>
      <c r="B3032" s="30">
        <v>0</v>
      </c>
      <c r="C3032" s="30">
        <v>18.899999999999999</v>
      </c>
      <c r="G3032" s="18"/>
    </row>
    <row r="3033" spans="1:7" x14ac:dyDescent="0.25">
      <c r="A3033" s="30">
        <v>1.016054010988767</v>
      </c>
      <c r="B3033" s="30">
        <v>0</v>
      </c>
      <c r="C3033" s="30">
        <v>18.899999999999999</v>
      </c>
      <c r="G3033" s="18"/>
    </row>
    <row r="3034" spans="1:7" x14ac:dyDescent="0.25">
      <c r="A3034" s="30">
        <v>1.1142503265338539</v>
      </c>
      <c r="B3034" s="30">
        <v>0</v>
      </c>
      <c r="C3034" s="30">
        <v>18.899999999999999</v>
      </c>
      <c r="G3034" s="18"/>
    </row>
    <row r="3035" spans="1:7" x14ac:dyDescent="0.25">
      <c r="A3035" s="30">
        <v>0.13936892795414807</v>
      </c>
      <c r="B3035" s="30">
        <v>0</v>
      </c>
      <c r="C3035" s="30">
        <v>18.899999999999999</v>
      </c>
      <c r="G3035" s="18"/>
    </row>
    <row r="3036" spans="1:7" x14ac:dyDescent="0.25">
      <c r="A3036" s="30">
        <v>0.80728905223599379</v>
      </c>
      <c r="B3036" s="30">
        <v>0</v>
      </c>
      <c r="C3036" s="30">
        <v>18.899999999999999</v>
      </c>
      <c r="G3036" s="18"/>
    </row>
    <row r="3037" spans="1:7" x14ac:dyDescent="0.25">
      <c r="A3037" s="30">
        <v>0.54717898584423219</v>
      </c>
      <c r="B3037" s="30">
        <v>0</v>
      </c>
      <c r="C3037" s="30">
        <v>18.899999999999999</v>
      </c>
      <c r="G3037" s="18"/>
    </row>
    <row r="3038" spans="1:7" x14ac:dyDescent="0.25">
      <c r="A3038" s="30">
        <v>0.26842479306595263</v>
      </c>
      <c r="B3038" s="30">
        <v>0</v>
      </c>
      <c r="C3038" s="30">
        <v>18.899999999999999</v>
      </c>
      <c r="G3038" s="18"/>
    </row>
    <row r="3039" spans="1:7" x14ac:dyDescent="0.25">
      <c r="A3039" s="30">
        <v>1.3453836324846657</v>
      </c>
      <c r="B3039" s="30">
        <v>0</v>
      </c>
      <c r="C3039" s="30">
        <v>32.199999999999996</v>
      </c>
      <c r="G3039" s="18"/>
    </row>
    <row r="3040" spans="1:7" x14ac:dyDescent="0.25">
      <c r="A3040" s="30">
        <v>1.1733702181478214</v>
      </c>
      <c r="B3040" s="30">
        <v>0</v>
      </c>
      <c r="C3040" s="30">
        <v>32.199999999999996</v>
      </c>
      <c r="G3040" s="18"/>
    </row>
    <row r="3041" spans="1:7" x14ac:dyDescent="0.25">
      <c r="A3041" s="30">
        <v>0.50024193488647428</v>
      </c>
      <c r="B3041" s="30">
        <v>0</v>
      </c>
      <c r="C3041" s="30">
        <v>32.199999999999996</v>
      </c>
      <c r="G3041" s="18"/>
    </row>
    <row r="3042" spans="1:7" x14ac:dyDescent="0.25">
      <c r="A3042" s="30">
        <v>0.84313586452670086</v>
      </c>
      <c r="B3042" s="30">
        <v>0</v>
      </c>
      <c r="C3042" s="30">
        <v>32.199999999999996</v>
      </c>
      <c r="G3042" s="18"/>
    </row>
    <row r="3043" spans="1:7" x14ac:dyDescent="0.25">
      <c r="A3043" s="30">
        <v>1.3865244692493375</v>
      </c>
      <c r="B3043" s="30">
        <v>0</v>
      </c>
      <c r="C3043" s="30">
        <v>32.199999999999996</v>
      </c>
      <c r="G3043" s="18"/>
    </row>
    <row r="3044" spans="1:7" x14ac:dyDescent="0.25">
      <c r="A3044" s="30">
        <v>6.7316182235888089E-4</v>
      </c>
      <c r="B3044" s="30">
        <v>0</v>
      </c>
      <c r="C3044" s="30">
        <v>32.199999999999996</v>
      </c>
      <c r="G3044" s="18"/>
    </row>
    <row r="3045" spans="1:7" x14ac:dyDescent="0.25">
      <c r="A3045" s="30">
        <v>1.8907894095650988</v>
      </c>
      <c r="B3045" s="30">
        <v>0</v>
      </c>
      <c r="C3045" s="30">
        <v>32.199999999999996</v>
      </c>
      <c r="G3045" s="18"/>
    </row>
    <row r="3046" spans="1:7" x14ac:dyDescent="0.25">
      <c r="A3046" s="30">
        <v>6.0198098718312235E-2</v>
      </c>
      <c r="B3046" s="30">
        <v>0</v>
      </c>
      <c r="C3046" s="30">
        <v>32.199999999999996</v>
      </c>
      <c r="G3046" s="18"/>
    </row>
    <row r="3047" spans="1:7" x14ac:dyDescent="0.25">
      <c r="A3047" s="30">
        <v>0.23899276300994404</v>
      </c>
      <c r="B3047" s="30">
        <v>0</v>
      </c>
      <c r="C3047" s="30">
        <v>32.199999999999996</v>
      </c>
      <c r="G3047" s="18"/>
    </row>
    <row r="3048" spans="1:7" x14ac:dyDescent="0.25">
      <c r="A3048" s="30">
        <v>0.54152372734753118</v>
      </c>
      <c r="B3048" s="30">
        <v>0</v>
      </c>
      <c r="C3048" s="30">
        <v>32.199999999999996</v>
      </c>
      <c r="G3048" s="18"/>
    </row>
    <row r="3049" spans="1:7" x14ac:dyDescent="0.25">
      <c r="A3049" s="30">
        <v>1.4862511250086625</v>
      </c>
      <c r="B3049" s="30">
        <v>0</v>
      </c>
      <c r="C3049" s="30">
        <v>32.199999999999996</v>
      </c>
      <c r="G3049" s="18"/>
    </row>
    <row r="3050" spans="1:7" x14ac:dyDescent="0.25">
      <c r="A3050" s="30">
        <v>0.88638428876669617</v>
      </c>
      <c r="B3050" s="30">
        <v>0</v>
      </c>
      <c r="C3050" s="30">
        <v>32.199999999999996</v>
      </c>
      <c r="G3050" s="18"/>
    </row>
    <row r="3051" spans="1:7" x14ac:dyDescent="0.25">
      <c r="A3051" s="30">
        <v>1.0013100704493956</v>
      </c>
      <c r="B3051" s="30">
        <v>0</v>
      </c>
      <c r="C3051" s="30">
        <v>32.199999999999996</v>
      </c>
      <c r="G3051" s="18"/>
    </row>
    <row r="3052" spans="1:7" x14ac:dyDescent="0.25">
      <c r="A3052" s="30">
        <v>0.91370951197115569</v>
      </c>
      <c r="B3052" s="30">
        <v>0</v>
      </c>
      <c r="C3052" s="30">
        <v>32.199999999999996</v>
      </c>
      <c r="G3052" s="18"/>
    </row>
    <row r="3053" spans="1:7" x14ac:dyDescent="0.25">
      <c r="A3053" s="30">
        <v>0.51355283411213182</v>
      </c>
      <c r="B3053" s="30">
        <v>0</v>
      </c>
      <c r="C3053" s="30">
        <v>19.32</v>
      </c>
      <c r="G3053" s="18"/>
    </row>
    <row r="3054" spans="1:7" x14ac:dyDescent="0.25">
      <c r="A3054" s="30">
        <v>0.93094684326692556</v>
      </c>
      <c r="B3054" s="30">
        <v>0</v>
      </c>
      <c r="C3054" s="30">
        <v>19.32</v>
      </c>
      <c r="G3054" s="18"/>
    </row>
    <row r="3055" spans="1:7" x14ac:dyDescent="0.25">
      <c r="A3055" s="30">
        <v>0.90727217306634222</v>
      </c>
      <c r="B3055" s="30">
        <v>0</v>
      </c>
      <c r="C3055" s="30">
        <v>19.32</v>
      </c>
      <c r="G3055" s="18"/>
    </row>
    <row r="3056" spans="1:7" x14ac:dyDescent="0.25">
      <c r="A3056" s="30">
        <v>0.25612322852842972</v>
      </c>
      <c r="B3056" s="30">
        <v>0</v>
      </c>
      <c r="C3056" s="30">
        <v>19.32</v>
      </c>
      <c r="G3056" s="18"/>
    </row>
    <row r="3057" spans="1:7" x14ac:dyDescent="0.25">
      <c r="A3057" s="30">
        <v>1.7787585329355367</v>
      </c>
      <c r="B3057" s="30">
        <v>0</v>
      </c>
      <c r="C3057" s="30">
        <v>19.32</v>
      </c>
      <c r="G3057" s="18"/>
    </row>
    <row r="3058" spans="1:7" x14ac:dyDescent="0.25">
      <c r="A3058" s="30">
        <v>0.81403220552372169</v>
      </c>
      <c r="B3058" s="30">
        <v>0</v>
      </c>
      <c r="C3058" s="30">
        <v>19.32</v>
      </c>
      <c r="G3058" s="18"/>
    </row>
    <row r="3059" spans="1:7" x14ac:dyDescent="0.25">
      <c r="A3059" s="30">
        <v>1.9085316188545771</v>
      </c>
      <c r="B3059" s="30">
        <v>0</v>
      </c>
      <c r="C3059" s="30">
        <v>19.32</v>
      </c>
      <c r="G3059" s="18"/>
    </row>
    <row r="3060" spans="1:7" x14ac:dyDescent="0.25">
      <c r="A3060" s="30">
        <v>1.107835749304364</v>
      </c>
      <c r="B3060" s="30">
        <v>0</v>
      </c>
      <c r="C3060" s="30">
        <v>19.32</v>
      </c>
      <c r="G3060" s="18"/>
    </row>
    <row r="3061" spans="1:7" x14ac:dyDescent="0.25">
      <c r="A3061" s="30">
        <v>1.8317666468069163</v>
      </c>
      <c r="B3061" s="30">
        <v>0</v>
      </c>
      <c r="C3061" s="30">
        <v>19.32</v>
      </c>
      <c r="G3061" s="18"/>
    </row>
    <row r="3062" spans="1:7" x14ac:dyDescent="0.25">
      <c r="A3062" s="30">
        <v>0.43183272443186238</v>
      </c>
      <c r="B3062" s="30">
        <v>0</v>
      </c>
      <c r="C3062" s="30">
        <v>19.32</v>
      </c>
      <c r="G3062" s="18"/>
    </row>
    <row r="3063" spans="1:7" x14ac:dyDescent="0.25">
      <c r="A3063" s="30">
        <v>0.93288216448132499</v>
      </c>
      <c r="B3063" s="30">
        <v>0</v>
      </c>
      <c r="C3063" s="30">
        <v>19.32</v>
      </c>
      <c r="G3063" s="18"/>
    </row>
    <row r="3064" spans="1:7" x14ac:dyDescent="0.25">
      <c r="A3064" s="30">
        <v>0.31455070817428649</v>
      </c>
      <c r="B3064" s="30">
        <v>0</v>
      </c>
      <c r="C3064" s="30">
        <v>19.32</v>
      </c>
      <c r="G3064" s="18"/>
    </row>
    <row r="3065" spans="1:7" x14ac:dyDescent="0.25">
      <c r="A3065" s="30">
        <v>2.0121352675248962</v>
      </c>
      <c r="B3065" s="30">
        <v>0</v>
      </c>
      <c r="C3065" s="30">
        <v>19.32</v>
      </c>
      <c r="G3065" s="18"/>
    </row>
    <row r="3066" spans="1:7" x14ac:dyDescent="0.25">
      <c r="A3066" s="30">
        <v>0.55575363951716694</v>
      </c>
      <c r="B3066" s="30">
        <v>0</v>
      </c>
      <c r="C3066" s="30">
        <v>19.32</v>
      </c>
      <c r="G3066" s="18"/>
    </row>
    <row r="3067" spans="1:7" x14ac:dyDescent="0.25">
      <c r="A3067" s="30">
        <v>0.23724107903949027</v>
      </c>
      <c r="B3067" s="30">
        <v>0</v>
      </c>
      <c r="C3067" s="30">
        <v>19.32</v>
      </c>
      <c r="G3067" s="18"/>
    </row>
    <row r="3068" spans="1:7" x14ac:dyDescent="0.25">
      <c r="A3068" s="30">
        <v>1.3178191323451043</v>
      </c>
      <c r="B3068" s="30">
        <v>0</v>
      </c>
      <c r="C3068" s="30">
        <v>12.32</v>
      </c>
      <c r="G3068" s="18"/>
    </row>
    <row r="3069" spans="1:7" x14ac:dyDescent="0.25">
      <c r="A3069" s="30">
        <v>1.161525502196572</v>
      </c>
      <c r="B3069" s="30">
        <v>0</v>
      </c>
      <c r="C3069" s="30">
        <v>12.32</v>
      </c>
      <c r="G3069" s="18"/>
    </row>
    <row r="3070" spans="1:7" x14ac:dyDescent="0.25">
      <c r="A3070" s="30">
        <v>5.3611169310874132E-2</v>
      </c>
      <c r="B3070" s="30">
        <v>0</v>
      </c>
      <c r="C3070" s="30">
        <v>12.32</v>
      </c>
      <c r="G3070" s="18"/>
    </row>
    <row r="3071" spans="1:7" x14ac:dyDescent="0.25">
      <c r="A3071" s="30">
        <v>2.3509434000813307</v>
      </c>
      <c r="B3071" s="30">
        <v>0</v>
      </c>
      <c r="C3071" s="30">
        <v>12.32</v>
      </c>
      <c r="G3071" s="18"/>
    </row>
    <row r="3072" spans="1:7" x14ac:dyDescent="0.25">
      <c r="A3072" s="30">
        <v>0.77575000647359382</v>
      </c>
      <c r="B3072" s="30">
        <v>0</v>
      </c>
      <c r="C3072" s="30">
        <v>12.32</v>
      </c>
      <c r="G3072" s="18"/>
    </row>
    <row r="3073" spans="1:7" x14ac:dyDescent="0.25">
      <c r="A3073" s="30">
        <v>1.6916970919083449</v>
      </c>
      <c r="B3073" s="30">
        <v>0</v>
      </c>
      <c r="C3073" s="30">
        <v>12.32</v>
      </c>
      <c r="G3073" s="18"/>
    </row>
    <row r="3074" spans="1:7" x14ac:dyDescent="0.25">
      <c r="A3074" s="30">
        <v>0.87729415321177928</v>
      </c>
      <c r="B3074" s="30">
        <v>0</v>
      </c>
      <c r="C3074" s="30">
        <v>12.32</v>
      </c>
      <c r="G3074" s="18"/>
    </row>
    <row r="3075" spans="1:7" x14ac:dyDescent="0.25">
      <c r="A3075" s="30">
        <v>1.3903213200945153</v>
      </c>
      <c r="B3075" s="30">
        <v>0</v>
      </c>
      <c r="C3075" s="30">
        <v>12.32</v>
      </c>
      <c r="G3075" s="18"/>
    </row>
    <row r="3076" spans="1:7" x14ac:dyDescent="0.25">
      <c r="A3076" s="30">
        <v>0.30291542213368761</v>
      </c>
      <c r="B3076" s="30">
        <v>0</v>
      </c>
      <c r="C3076" s="30">
        <v>12.32</v>
      </c>
      <c r="G3076" s="18"/>
    </row>
    <row r="3077" spans="1:7" x14ac:dyDescent="0.25">
      <c r="A3077" s="30">
        <v>1.3886690173980407</v>
      </c>
      <c r="B3077" s="30">
        <v>0</v>
      </c>
      <c r="C3077" s="30">
        <v>12.32</v>
      </c>
      <c r="G3077" s="18"/>
    </row>
    <row r="3078" spans="1:7" x14ac:dyDescent="0.25">
      <c r="A3078" s="30">
        <v>1.2601504246151638</v>
      </c>
      <c r="B3078" s="30">
        <v>0</v>
      </c>
      <c r="C3078" s="30">
        <v>12.32</v>
      </c>
      <c r="G3078" s="18"/>
    </row>
    <row r="3079" spans="1:7" x14ac:dyDescent="0.25">
      <c r="A3079" s="30">
        <v>1.9525437460800141</v>
      </c>
      <c r="B3079" s="30">
        <v>0</v>
      </c>
      <c r="C3079" s="30">
        <v>12.32</v>
      </c>
      <c r="G3079" s="18"/>
    </row>
    <row r="3080" spans="1:7" x14ac:dyDescent="0.25">
      <c r="A3080" s="30">
        <v>8.5662895948311849E-2</v>
      </c>
      <c r="B3080" s="30">
        <v>0</v>
      </c>
      <c r="C3080" s="30">
        <v>12.32</v>
      </c>
      <c r="G3080" s="18"/>
    </row>
    <row r="3081" spans="1:7" x14ac:dyDescent="0.25">
      <c r="A3081" s="30">
        <v>0.90106683993890502</v>
      </c>
      <c r="B3081" s="30">
        <v>0</v>
      </c>
      <c r="C3081" s="30">
        <v>12.32</v>
      </c>
      <c r="G3081" s="18"/>
    </row>
    <row r="3082" spans="1:7" x14ac:dyDescent="0.25">
      <c r="A3082" s="30">
        <v>1.4954256665716214E-2</v>
      </c>
      <c r="B3082" s="30">
        <v>0</v>
      </c>
      <c r="C3082" s="30">
        <v>12.32</v>
      </c>
      <c r="G3082" s="18"/>
    </row>
    <row r="3083" spans="1:7" x14ac:dyDescent="0.25">
      <c r="A3083" s="30">
        <v>2.1353446238032645</v>
      </c>
      <c r="B3083" s="30">
        <v>0</v>
      </c>
      <c r="C3083" s="30">
        <v>12.32</v>
      </c>
      <c r="G3083" s="18"/>
    </row>
    <row r="3084" spans="1:7" x14ac:dyDescent="0.25">
      <c r="A3084" s="30">
        <v>0.22311017110860173</v>
      </c>
      <c r="B3084" s="30">
        <v>0</v>
      </c>
      <c r="C3084" s="30">
        <v>22.54</v>
      </c>
      <c r="G3084" s="18"/>
    </row>
    <row r="3085" spans="1:7" x14ac:dyDescent="0.25">
      <c r="A3085" s="30">
        <v>2.1167732585274233</v>
      </c>
      <c r="B3085" s="30">
        <v>0</v>
      </c>
      <c r="C3085" s="30">
        <v>22.54</v>
      </c>
      <c r="G3085" s="18"/>
    </row>
    <row r="3086" spans="1:7" x14ac:dyDescent="0.25">
      <c r="A3086" s="30">
        <v>0.98768203178762559</v>
      </c>
      <c r="B3086" s="30">
        <v>0</v>
      </c>
      <c r="C3086" s="30">
        <v>22.54</v>
      </c>
      <c r="G3086" s="18"/>
    </row>
    <row r="3087" spans="1:7" x14ac:dyDescent="0.25">
      <c r="A3087" s="30">
        <v>0.25589111660964486</v>
      </c>
      <c r="B3087" s="30">
        <v>0</v>
      </c>
      <c r="C3087" s="30">
        <v>22.54</v>
      </c>
      <c r="G3087" s="18"/>
    </row>
    <row r="3088" spans="1:7" x14ac:dyDescent="0.25">
      <c r="A3088" s="30">
        <v>0.5101757268786794</v>
      </c>
      <c r="B3088" s="30">
        <v>0</v>
      </c>
      <c r="C3088" s="30">
        <v>22.54</v>
      </c>
      <c r="G3088" s="18"/>
    </row>
    <row r="3089" spans="1:7" x14ac:dyDescent="0.25">
      <c r="A3089" s="30">
        <v>1.3492708171707253</v>
      </c>
      <c r="B3089" s="30">
        <v>0</v>
      </c>
      <c r="C3089" s="30">
        <v>22.54</v>
      </c>
      <c r="G3089" s="18"/>
    </row>
    <row r="3090" spans="1:7" x14ac:dyDescent="0.25">
      <c r="A3090" s="30">
        <v>0.98018936567679782</v>
      </c>
      <c r="B3090" s="30">
        <v>0</v>
      </c>
      <c r="C3090" s="30">
        <v>22.54</v>
      </c>
      <c r="G3090" s="18"/>
    </row>
    <row r="3091" spans="1:7" x14ac:dyDescent="0.25">
      <c r="A3091" s="30">
        <v>0.30010398426725915</v>
      </c>
      <c r="B3091" s="30">
        <v>0</v>
      </c>
      <c r="C3091" s="30">
        <v>22.54</v>
      </c>
      <c r="G3091" s="18"/>
    </row>
    <row r="3092" spans="1:7" x14ac:dyDescent="0.25">
      <c r="A3092" s="30">
        <v>0.3520755184142777</v>
      </c>
      <c r="B3092" s="30">
        <v>0</v>
      </c>
      <c r="C3092" s="30">
        <v>22.54</v>
      </c>
      <c r="G3092" s="18"/>
    </row>
    <row r="3093" spans="1:7" x14ac:dyDescent="0.25">
      <c r="A3093" s="30">
        <v>1.2372179208123222</v>
      </c>
      <c r="B3093" s="30">
        <v>0</v>
      </c>
      <c r="C3093" s="30">
        <v>22.54</v>
      </c>
      <c r="G3093" s="18"/>
    </row>
    <row r="3094" spans="1:7" x14ac:dyDescent="0.25">
      <c r="A3094" s="30">
        <v>0.39421998969992894</v>
      </c>
      <c r="B3094" s="30">
        <v>0</v>
      </c>
      <c r="C3094" s="30">
        <v>22.54</v>
      </c>
      <c r="G3094" s="18"/>
    </row>
    <row r="3095" spans="1:7" x14ac:dyDescent="0.25">
      <c r="A3095" s="30">
        <v>1.6536933180736615</v>
      </c>
      <c r="B3095" s="30">
        <v>0</v>
      </c>
      <c r="C3095" s="30">
        <v>22.54</v>
      </c>
      <c r="G3095" s="18"/>
    </row>
    <row r="3096" spans="1:7" x14ac:dyDescent="0.25">
      <c r="A3096" s="30">
        <v>1.2756197075429447</v>
      </c>
      <c r="B3096" s="30">
        <v>0</v>
      </c>
      <c r="C3096" s="30">
        <v>22.54</v>
      </c>
      <c r="G3096" s="18"/>
    </row>
    <row r="3097" spans="1:7" x14ac:dyDescent="0.25">
      <c r="A3097" s="30">
        <v>0.48511983056943453</v>
      </c>
      <c r="B3097" s="30">
        <v>0</v>
      </c>
      <c r="C3097" s="30">
        <v>22.54</v>
      </c>
      <c r="G3097" s="18"/>
    </row>
    <row r="3098" spans="1:7" x14ac:dyDescent="0.25">
      <c r="A3098" s="30">
        <v>0.53999034200366769</v>
      </c>
      <c r="B3098" s="30">
        <v>0</v>
      </c>
      <c r="C3098" s="30">
        <v>22.54</v>
      </c>
      <c r="G3098" s="18"/>
    </row>
    <row r="3099" spans="1:7" x14ac:dyDescent="0.25">
      <c r="A3099" s="30">
        <v>0.96879787045347354</v>
      </c>
      <c r="B3099" s="30">
        <v>0</v>
      </c>
      <c r="C3099" s="30">
        <v>22.54</v>
      </c>
      <c r="G3099" s="18"/>
    </row>
    <row r="3100" spans="1:7" x14ac:dyDescent="0.25">
      <c r="A3100" s="30">
        <v>1.3038319761023236</v>
      </c>
      <c r="B3100" s="30">
        <v>0</v>
      </c>
      <c r="C3100" s="30">
        <v>11.620000000000001</v>
      </c>
      <c r="G3100" s="18"/>
    </row>
    <row r="3101" spans="1:7" x14ac:dyDescent="0.25">
      <c r="A3101" s="30">
        <v>0.6227519264812077</v>
      </c>
      <c r="B3101" s="30">
        <v>0</v>
      </c>
      <c r="C3101" s="30">
        <v>11.620000000000001</v>
      </c>
      <c r="G3101" s="18"/>
    </row>
    <row r="3102" spans="1:7" x14ac:dyDescent="0.25">
      <c r="A3102" s="30">
        <v>0.71315773782622516</v>
      </c>
      <c r="B3102" s="30">
        <v>0</v>
      </c>
      <c r="C3102" s="30">
        <v>11.620000000000001</v>
      </c>
      <c r="G3102" s="18"/>
    </row>
    <row r="3103" spans="1:7" x14ac:dyDescent="0.25">
      <c r="A3103" s="30">
        <v>1.2329723511945025</v>
      </c>
      <c r="B3103" s="30">
        <v>0</v>
      </c>
      <c r="C3103" s="30">
        <v>11.620000000000001</v>
      </c>
      <c r="G3103" s="18"/>
    </row>
    <row r="3104" spans="1:7" x14ac:dyDescent="0.25">
      <c r="A3104" s="30">
        <v>1.0372124512444285</v>
      </c>
      <c r="B3104" s="30">
        <v>0</v>
      </c>
      <c r="C3104" s="30">
        <v>11.620000000000001</v>
      </c>
      <c r="G3104" s="18"/>
    </row>
    <row r="3105" spans="1:7" x14ac:dyDescent="0.25">
      <c r="A3105" s="30">
        <v>1.6606724567241193</v>
      </c>
      <c r="B3105" s="30">
        <v>0</v>
      </c>
      <c r="C3105" s="30">
        <v>11.620000000000001</v>
      </c>
      <c r="G3105" s="18"/>
    </row>
    <row r="3106" spans="1:7" x14ac:dyDescent="0.25">
      <c r="A3106" s="30">
        <v>0.29669999763831556</v>
      </c>
      <c r="B3106" s="30">
        <v>0</v>
      </c>
      <c r="C3106" s="30">
        <v>11.620000000000001</v>
      </c>
      <c r="G3106" s="18"/>
    </row>
    <row r="3107" spans="1:7" x14ac:dyDescent="0.25">
      <c r="A3107" s="30">
        <v>1.0217177061115144</v>
      </c>
      <c r="B3107" s="30">
        <v>0</v>
      </c>
      <c r="C3107" s="30">
        <v>11.620000000000001</v>
      </c>
      <c r="G3107" s="18"/>
    </row>
    <row r="3108" spans="1:7" x14ac:dyDescent="0.25">
      <c r="A3108" s="30">
        <v>0.61372592570379791</v>
      </c>
      <c r="B3108" s="30">
        <v>0</v>
      </c>
      <c r="C3108" s="30">
        <v>11.620000000000001</v>
      </c>
      <c r="G3108" s="18"/>
    </row>
    <row r="3109" spans="1:7" x14ac:dyDescent="0.25">
      <c r="A3109" s="30">
        <v>2.0363164391965096</v>
      </c>
      <c r="B3109" s="30">
        <v>0</v>
      </c>
      <c r="C3109" s="30">
        <v>11.620000000000001</v>
      </c>
      <c r="G3109" s="18"/>
    </row>
    <row r="3110" spans="1:7" x14ac:dyDescent="0.25">
      <c r="A3110" s="30">
        <v>0.50965500431190114</v>
      </c>
      <c r="B3110" s="30">
        <v>0</v>
      </c>
      <c r="C3110" s="30">
        <v>11.620000000000001</v>
      </c>
      <c r="G3110" s="18"/>
    </row>
    <row r="3111" spans="1:7" x14ac:dyDescent="0.25">
      <c r="A3111" s="30">
        <v>1.6531698712408673</v>
      </c>
      <c r="B3111" s="30">
        <v>0</v>
      </c>
      <c r="C3111" s="30">
        <v>11.620000000000001</v>
      </c>
      <c r="G3111" s="18"/>
    </row>
    <row r="3112" spans="1:7" x14ac:dyDescent="0.25">
      <c r="A3112" s="30">
        <v>1.0639257873229135</v>
      </c>
      <c r="B3112" s="30">
        <v>0</v>
      </c>
      <c r="C3112" s="30">
        <v>11.620000000000001</v>
      </c>
      <c r="G3112" s="18"/>
    </row>
    <row r="3113" spans="1:7" x14ac:dyDescent="0.25">
      <c r="A3113" s="30">
        <v>0.43748412541886311</v>
      </c>
      <c r="B3113" s="30">
        <v>0</v>
      </c>
      <c r="C3113" s="30">
        <v>11.620000000000001</v>
      </c>
      <c r="G3113" s="18"/>
    </row>
    <row r="3114" spans="1:7" x14ac:dyDescent="0.25">
      <c r="A3114" s="30">
        <v>1.3975773888203986</v>
      </c>
      <c r="B3114" s="30">
        <v>0</v>
      </c>
      <c r="C3114" s="30">
        <v>11.620000000000001</v>
      </c>
      <c r="G3114" s="18"/>
    </row>
    <row r="3115" spans="1:7" x14ac:dyDescent="0.25">
      <c r="A3115" s="30">
        <v>0.99296521239072355</v>
      </c>
      <c r="B3115" s="30">
        <v>0</v>
      </c>
      <c r="C3115" s="30">
        <v>11.620000000000001</v>
      </c>
      <c r="G3115" s="18"/>
    </row>
    <row r="3116" spans="1:7" x14ac:dyDescent="0.25">
      <c r="A3116" s="30">
        <v>0.30078809716031174</v>
      </c>
      <c r="B3116" s="30">
        <v>0</v>
      </c>
      <c r="C3116" s="30">
        <v>11.620000000000001</v>
      </c>
      <c r="G3116" s="18"/>
    </row>
    <row r="3117" spans="1:7" x14ac:dyDescent="0.25">
      <c r="A3117" s="30">
        <v>1.1486415148561933</v>
      </c>
      <c r="B3117" s="30">
        <v>0</v>
      </c>
      <c r="C3117" s="30">
        <v>22.54</v>
      </c>
      <c r="G3117" s="18"/>
    </row>
    <row r="3118" spans="1:7" x14ac:dyDescent="0.25">
      <c r="A3118" s="30">
        <v>0.34532312147515654</v>
      </c>
      <c r="B3118" s="30">
        <v>0</v>
      </c>
      <c r="C3118" s="30">
        <v>22.54</v>
      </c>
      <c r="G3118" s="18"/>
    </row>
    <row r="3119" spans="1:7" x14ac:dyDescent="0.25">
      <c r="A3119" s="30">
        <v>0.65761039346715977</v>
      </c>
      <c r="B3119" s="30">
        <v>0</v>
      </c>
      <c r="C3119" s="30">
        <v>22.54</v>
      </c>
      <c r="G3119" s="18"/>
    </row>
    <row r="3120" spans="1:7" x14ac:dyDescent="0.25">
      <c r="A3120" s="30">
        <v>0.41200567217560857</v>
      </c>
      <c r="B3120" s="30">
        <v>0</v>
      </c>
      <c r="C3120" s="30">
        <v>22.54</v>
      </c>
      <c r="G3120" s="18"/>
    </row>
    <row r="3121" spans="1:7" x14ac:dyDescent="0.25">
      <c r="A3121" s="30">
        <v>0.26432919238176933</v>
      </c>
      <c r="B3121" s="30">
        <v>0</v>
      </c>
      <c r="C3121" s="30">
        <v>22.54</v>
      </c>
      <c r="G3121" s="18"/>
    </row>
    <row r="3122" spans="1:7" x14ac:dyDescent="0.25">
      <c r="A3122" s="30">
        <v>0.963887838748683</v>
      </c>
      <c r="B3122" s="30">
        <v>0</v>
      </c>
      <c r="C3122" s="30">
        <v>22.54</v>
      </c>
      <c r="G3122" s="18"/>
    </row>
    <row r="3123" spans="1:7" x14ac:dyDescent="0.25">
      <c r="A3123" s="30">
        <v>1.6165405310627559</v>
      </c>
      <c r="B3123" s="30">
        <v>0</v>
      </c>
      <c r="C3123" s="30">
        <v>22.54</v>
      </c>
      <c r="G3123" s="18"/>
    </row>
    <row r="3124" spans="1:7" x14ac:dyDescent="0.25">
      <c r="A3124" s="30">
        <v>0.581539209500194</v>
      </c>
      <c r="B3124" s="30">
        <v>0</v>
      </c>
      <c r="C3124" s="30">
        <v>22.54</v>
      </c>
      <c r="G3124" s="18"/>
    </row>
    <row r="3125" spans="1:7" x14ac:dyDescent="0.25">
      <c r="A3125" s="30">
        <v>1.2925934480652195</v>
      </c>
      <c r="B3125" s="30">
        <v>0</v>
      </c>
      <c r="C3125" s="30">
        <v>22.54</v>
      </c>
      <c r="G3125" s="18"/>
    </row>
    <row r="3126" spans="1:7" x14ac:dyDescent="0.25">
      <c r="A3126" s="30">
        <v>1.1641560888106204</v>
      </c>
      <c r="B3126" s="30">
        <v>0</v>
      </c>
      <c r="C3126" s="30">
        <v>22.54</v>
      </c>
      <c r="G3126" s="18"/>
    </row>
    <row r="3127" spans="1:7" x14ac:dyDescent="0.25">
      <c r="A3127" s="30">
        <v>0.54458116873746876</v>
      </c>
      <c r="B3127" s="30">
        <v>0</v>
      </c>
      <c r="C3127" s="30">
        <v>22.54</v>
      </c>
      <c r="G3127" s="18"/>
    </row>
    <row r="3128" spans="1:7" x14ac:dyDescent="0.25">
      <c r="A3128" s="30">
        <v>1.2437367129861565</v>
      </c>
      <c r="B3128" s="30">
        <v>0</v>
      </c>
      <c r="C3128" s="30">
        <v>22.54</v>
      </c>
      <c r="G3128" s="18"/>
    </row>
    <row r="3129" spans="1:7" x14ac:dyDescent="0.25">
      <c r="A3129" s="30">
        <v>1.6044785987371271</v>
      </c>
      <c r="B3129" s="30">
        <v>0</v>
      </c>
      <c r="C3129" s="30">
        <v>22.54</v>
      </c>
      <c r="G3129" s="18"/>
    </row>
    <row r="3130" spans="1:7" x14ac:dyDescent="0.25">
      <c r="A3130" s="30">
        <v>0.8366899012299186</v>
      </c>
      <c r="B3130" s="30">
        <v>0</v>
      </c>
      <c r="C3130" s="30">
        <v>22.54</v>
      </c>
      <c r="G3130" s="18"/>
    </row>
    <row r="3131" spans="1:7" x14ac:dyDescent="0.25">
      <c r="A3131" s="30">
        <v>0.59482818284128158</v>
      </c>
      <c r="B3131" s="30">
        <v>0</v>
      </c>
      <c r="C3131" s="30">
        <v>22.54</v>
      </c>
      <c r="G3131" s="18"/>
    </row>
    <row r="3132" spans="1:7" x14ac:dyDescent="0.25">
      <c r="A3132" s="30">
        <v>1.3741824093882762</v>
      </c>
      <c r="B3132" s="30">
        <v>0</v>
      </c>
      <c r="C3132" s="30">
        <v>22.54</v>
      </c>
      <c r="G3132" s="18"/>
    </row>
    <row r="3133" spans="1:7" x14ac:dyDescent="0.25">
      <c r="A3133" s="30">
        <v>1.0537814350320809</v>
      </c>
      <c r="B3133" s="30">
        <v>0</v>
      </c>
      <c r="C3133" s="30">
        <v>22.54</v>
      </c>
      <c r="G3133" s="18"/>
    </row>
    <row r="3134" spans="1:7" x14ac:dyDescent="0.25">
      <c r="A3134" s="30">
        <v>0.43862222867939149</v>
      </c>
      <c r="B3134" s="30">
        <v>0</v>
      </c>
      <c r="C3134" s="30">
        <v>23.099999999999998</v>
      </c>
      <c r="G3134" s="18"/>
    </row>
    <row r="3135" spans="1:7" x14ac:dyDescent="0.25">
      <c r="A3135" s="30">
        <v>0.33646064444325569</v>
      </c>
      <c r="B3135" s="30">
        <v>0</v>
      </c>
      <c r="C3135" s="30">
        <v>23.099999999999998</v>
      </c>
      <c r="G3135" s="18"/>
    </row>
    <row r="3136" spans="1:7" x14ac:dyDescent="0.25">
      <c r="A3136" s="30">
        <v>1.0988185247425464</v>
      </c>
      <c r="B3136" s="30">
        <v>0</v>
      </c>
      <c r="C3136" s="30">
        <v>23.099999999999998</v>
      </c>
      <c r="G3136" s="18"/>
    </row>
    <row r="3137" spans="1:7" x14ac:dyDescent="0.25">
      <c r="A3137" s="30">
        <v>0.84513842182406296</v>
      </c>
      <c r="B3137" s="30">
        <v>0</v>
      </c>
      <c r="C3137" s="30">
        <v>23.099999999999998</v>
      </c>
      <c r="G3137" s="18"/>
    </row>
    <row r="3138" spans="1:7" x14ac:dyDescent="0.25">
      <c r="A3138" s="30">
        <v>0.71451732461503981</v>
      </c>
      <c r="B3138" s="30">
        <v>0</v>
      </c>
      <c r="C3138" s="30">
        <v>23.099999999999998</v>
      </c>
      <c r="G3138" s="18"/>
    </row>
    <row r="3139" spans="1:7" x14ac:dyDescent="0.25">
      <c r="A3139" s="30">
        <v>1.626130707191568</v>
      </c>
      <c r="B3139" s="30">
        <v>0</v>
      </c>
      <c r="C3139" s="30">
        <v>23.099999999999998</v>
      </c>
      <c r="G3139" s="18"/>
    </row>
    <row r="3140" spans="1:7" x14ac:dyDescent="0.25">
      <c r="A3140" s="30">
        <v>0.31026669600049828</v>
      </c>
      <c r="B3140" s="30">
        <v>0</v>
      </c>
      <c r="C3140" s="30">
        <v>23.099999999999998</v>
      </c>
      <c r="G3140" s="18"/>
    </row>
    <row r="3141" spans="1:7" x14ac:dyDescent="0.25">
      <c r="A3141" s="30">
        <v>1.1754177192927358</v>
      </c>
      <c r="B3141" s="30">
        <v>0</v>
      </c>
      <c r="C3141" s="30">
        <v>23.099999999999998</v>
      </c>
      <c r="G3141" s="18"/>
    </row>
    <row r="3142" spans="1:7" x14ac:dyDescent="0.25">
      <c r="A3142" s="30">
        <v>1.3121075183940081</v>
      </c>
      <c r="B3142" s="30">
        <v>0</v>
      </c>
      <c r="C3142" s="30">
        <v>23.099999999999998</v>
      </c>
      <c r="G3142" s="18"/>
    </row>
    <row r="3143" spans="1:7" x14ac:dyDescent="0.25">
      <c r="A3143" s="30">
        <v>0.41665331624098584</v>
      </c>
      <c r="B3143" s="30">
        <v>0</v>
      </c>
      <c r="C3143" s="30">
        <v>23.099999999999998</v>
      </c>
      <c r="G3143" s="18"/>
    </row>
    <row r="3144" spans="1:7" x14ac:dyDescent="0.25">
      <c r="A3144" s="30">
        <v>1.8360055182513536E-2</v>
      </c>
      <c r="B3144" s="30">
        <v>0</v>
      </c>
      <c r="C3144" s="30">
        <v>23.099999999999998</v>
      </c>
      <c r="G3144" s="18"/>
    </row>
    <row r="3145" spans="1:7" x14ac:dyDescent="0.25">
      <c r="A3145" s="30">
        <v>0.19283850602270167</v>
      </c>
      <c r="B3145" s="30">
        <v>0</v>
      </c>
      <c r="C3145" s="30">
        <v>23.099999999999998</v>
      </c>
      <c r="G3145" s="18"/>
    </row>
    <row r="3146" spans="1:7" x14ac:dyDescent="0.25">
      <c r="A3146" s="30">
        <v>0.24419650145256283</v>
      </c>
      <c r="B3146" s="30">
        <v>0</v>
      </c>
      <c r="C3146" s="30">
        <v>23.099999999999998</v>
      </c>
      <c r="G3146" s="18"/>
    </row>
    <row r="3147" spans="1:7" x14ac:dyDescent="0.25">
      <c r="A3147" s="30">
        <v>0.5303285296073561</v>
      </c>
      <c r="B3147" s="30">
        <v>0</v>
      </c>
      <c r="C3147" s="30">
        <v>23.099999999999998</v>
      </c>
      <c r="G3147" s="18"/>
    </row>
    <row r="3148" spans="1:7" x14ac:dyDescent="0.25">
      <c r="A3148" s="30">
        <v>0.52223575838117964</v>
      </c>
      <c r="B3148" s="30">
        <v>0</v>
      </c>
      <c r="C3148" s="30">
        <v>23.099999999999998</v>
      </c>
      <c r="G3148" s="18"/>
    </row>
    <row r="3149" spans="1:7" x14ac:dyDescent="0.25">
      <c r="A3149" s="30">
        <v>1.2979638065566534</v>
      </c>
      <c r="B3149" s="30">
        <v>0</v>
      </c>
      <c r="C3149" s="30">
        <v>23.099999999999998</v>
      </c>
      <c r="G3149" s="18"/>
    </row>
    <row r="3150" spans="1:7" x14ac:dyDescent="0.25">
      <c r="A3150" s="30">
        <v>0.5773312675572454</v>
      </c>
      <c r="B3150" s="30">
        <v>0</v>
      </c>
      <c r="C3150" s="30">
        <v>14.279999999999998</v>
      </c>
      <c r="G3150" s="18"/>
    </row>
    <row r="3151" spans="1:7" x14ac:dyDescent="0.25">
      <c r="A3151" s="30">
        <v>2.3780799558397923</v>
      </c>
      <c r="B3151" s="30">
        <v>0</v>
      </c>
      <c r="C3151" s="30">
        <v>14.279999999999998</v>
      </c>
      <c r="G3151" s="18"/>
    </row>
    <row r="3152" spans="1:7" x14ac:dyDescent="0.25">
      <c r="A3152" s="30">
        <v>1.3484543666143525</v>
      </c>
      <c r="B3152" s="30">
        <v>0</v>
      </c>
      <c r="C3152" s="30">
        <v>14.279999999999998</v>
      </c>
      <c r="G3152" s="18"/>
    </row>
    <row r="3153" spans="1:7" x14ac:dyDescent="0.25">
      <c r="A3153" s="30">
        <v>1.7786021044691396</v>
      </c>
      <c r="B3153" s="30">
        <v>0</v>
      </c>
      <c r="C3153" s="30">
        <v>14.279999999999998</v>
      </c>
      <c r="G3153" s="18"/>
    </row>
    <row r="3154" spans="1:7" x14ac:dyDescent="0.25">
      <c r="A3154" s="30">
        <v>0.35188700031547004</v>
      </c>
      <c r="B3154" s="30">
        <v>0</v>
      </c>
      <c r="C3154" s="30">
        <v>14.279999999999998</v>
      </c>
      <c r="G3154" s="18"/>
    </row>
    <row r="3155" spans="1:7" x14ac:dyDescent="0.25">
      <c r="A3155" s="30">
        <v>0.45124619034107427</v>
      </c>
      <c r="B3155" s="30">
        <v>0</v>
      </c>
      <c r="C3155" s="30">
        <v>14.279999999999998</v>
      </c>
      <c r="G3155" s="18"/>
    </row>
    <row r="3156" spans="1:7" x14ac:dyDescent="0.25">
      <c r="A3156" s="30">
        <v>0.74806287090532586</v>
      </c>
      <c r="B3156" s="30">
        <v>0</v>
      </c>
      <c r="C3156" s="30">
        <v>14.279999999999998</v>
      </c>
      <c r="G3156" s="18"/>
    </row>
    <row r="3157" spans="1:7" x14ac:dyDescent="0.25">
      <c r="A3157" s="30">
        <v>0.84420205312256003</v>
      </c>
      <c r="B3157" s="30">
        <v>0</v>
      </c>
      <c r="C3157" s="30">
        <v>14.279999999999998</v>
      </c>
      <c r="G3157" s="18"/>
    </row>
    <row r="3158" spans="1:7" x14ac:dyDescent="0.25">
      <c r="A3158" s="30">
        <v>1.1401568637580823</v>
      </c>
      <c r="B3158" s="30">
        <v>0</v>
      </c>
      <c r="C3158" s="30">
        <v>14.279999999999998</v>
      </c>
      <c r="G3158" s="18"/>
    </row>
    <row r="3159" spans="1:7" x14ac:dyDescent="0.25">
      <c r="A3159" s="30">
        <v>1.6543416903886765</v>
      </c>
      <c r="B3159" s="30">
        <v>0</v>
      </c>
      <c r="C3159" s="30">
        <v>14.279999999999998</v>
      </c>
      <c r="G3159" s="18"/>
    </row>
    <row r="3160" spans="1:7" x14ac:dyDescent="0.25">
      <c r="A3160" s="30">
        <v>8.650436727267849E-2</v>
      </c>
      <c r="B3160" s="30">
        <v>0</v>
      </c>
      <c r="C3160" s="30">
        <v>14.279999999999998</v>
      </c>
      <c r="G3160" s="18"/>
    </row>
    <row r="3161" spans="1:7" x14ac:dyDescent="0.25">
      <c r="A3161" s="30">
        <v>2.3803491890233008E-2</v>
      </c>
      <c r="B3161" s="30">
        <v>0</v>
      </c>
      <c r="C3161" s="30">
        <v>14.279999999999998</v>
      </c>
      <c r="G3161" s="18"/>
    </row>
    <row r="3162" spans="1:7" x14ac:dyDescent="0.25">
      <c r="A3162" s="30">
        <v>1.8883462552350204E-2</v>
      </c>
      <c r="B3162" s="30">
        <v>0</v>
      </c>
      <c r="C3162" s="30">
        <v>14.279999999999998</v>
      </c>
      <c r="G3162" s="18"/>
    </row>
    <row r="3163" spans="1:7" x14ac:dyDescent="0.25">
      <c r="A3163" s="30">
        <v>1.3952661071668941</v>
      </c>
      <c r="B3163" s="30">
        <v>0</v>
      </c>
      <c r="C3163" s="30">
        <v>14.279999999999998</v>
      </c>
      <c r="G3163" s="18"/>
    </row>
    <row r="3164" spans="1:7" x14ac:dyDescent="0.25">
      <c r="A3164" s="30">
        <v>0.57169925977984559</v>
      </c>
      <c r="B3164" s="30">
        <v>0</v>
      </c>
      <c r="C3164" s="30">
        <v>14.279999999999998</v>
      </c>
      <c r="G3164" s="18"/>
    </row>
    <row r="3165" spans="1:7" x14ac:dyDescent="0.25">
      <c r="A3165" s="30">
        <v>2.7241229448299632E-2</v>
      </c>
      <c r="B3165" s="30">
        <v>0</v>
      </c>
      <c r="C3165" s="30">
        <v>10.78</v>
      </c>
      <c r="G3165" s="18"/>
    </row>
    <row r="3166" spans="1:7" x14ac:dyDescent="0.25">
      <c r="A3166" s="30">
        <v>0.86186123449905028</v>
      </c>
      <c r="B3166" s="30">
        <v>0</v>
      </c>
      <c r="C3166" s="30">
        <v>10.78</v>
      </c>
      <c r="G3166" s="18"/>
    </row>
    <row r="3167" spans="1:7" x14ac:dyDescent="0.25">
      <c r="A3167" s="30">
        <v>0.26472000704707693</v>
      </c>
      <c r="B3167" s="30">
        <v>0</v>
      </c>
      <c r="C3167" s="30">
        <v>10.78</v>
      </c>
      <c r="G3167" s="18"/>
    </row>
    <row r="3168" spans="1:7" x14ac:dyDescent="0.25">
      <c r="A3168" s="30">
        <v>0.60059154764038125</v>
      </c>
      <c r="B3168" s="30">
        <v>0</v>
      </c>
      <c r="C3168" s="30">
        <v>10.78</v>
      </c>
      <c r="G3168" s="18"/>
    </row>
    <row r="3169" spans="1:7" x14ac:dyDescent="0.25">
      <c r="A3169" s="30">
        <v>2.3100505085487675</v>
      </c>
      <c r="B3169" s="30">
        <v>0</v>
      </c>
      <c r="C3169" s="30">
        <v>10.78</v>
      </c>
      <c r="G3169" s="18"/>
    </row>
    <row r="3170" spans="1:7" x14ac:dyDescent="0.25">
      <c r="A3170" s="30">
        <v>0.42240282870724039</v>
      </c>
      <c r="B3170" s="30">
        <v>0</v>
      </c>
      <c r="C3170" s="30">
        <v>10.78</v>
      </c>
      <c r="G3170" s="18"/>
    </row>
    <row r="3171" spans="1:7" x14ac:dyDescent="0.25">
      <c r="A3171" s="30">
        <v>0.56517909067392524</v>
      </c>
      <c r="B3171" s="30">
        <v>0</v>
      </c>
      <c r="C3171" s="30">
        <v>10.78</v>
      </c>
      <c r="G3171" s="18"/>
    </row>
    <row r="3172" spans="1:7" x14ac:dyDescent="0.25">
      <c r="A3172" s="30">
        <v>1.2649035592849136</v>
      </c>
      <c r="B3172" s="30">
        <v>0</v>
      </c>
      <c r="C3172" s="30">
        <v>10.78</v>
      </c>
      <c r="G3172" s="18"/>
    </row>
    <row r="3173" spans="1:7" x14ac:dyDescent="0.25">
      <c r="A3173" s="30">
        <v>1.487876804831701</v>
      </c>
      <c r="B3173" s="30">
        <v>0</v>
      </c>
      <c r="C3173" s="30">
        <v>10.78</v>
      </c>
      <c r="G3173" s="18"/>
    </row>
    <row r="3174" spans="1:7" x14ac:dyDescent="0.25">
      <c r="A3174" s="30">
        <v>1.2432131292226132</v>
      </c>
      <c r="B3174" s="30">
        <v>0</v>
      </c>
      <c r="C3174" s="30">
        <v>10.78</v>
      </c>
      <c r="G3174" s="18"/>
    </row>
    <row r="3175" spans="1:7" x14ac:dyDescent="0.25">
      <c r="A3175" s="30">
        <v>0.72043552140433398</v>
      </c>
      <c r="B3175" s="30">
        <v>0</v>
      </c>
      <c r="C3175" s="30">
        <v>10.78</v>
      </c>
      <c r="G3175" s="18"/>
    </row>
    <row r="3176" spans="1:7" x14ac:dyDescent="0.25">
      <c r="A3176" s="30">
        <v>0.3023229794166083</v>
      </c>
      <c r="B3176" s="30">
        <v>0</v>
      </c>
      <c r="C3176" s="30">
        <v>10.78</v>
      </c>
      <c r="G3176" s="18"/>
    </row>
    <row r="3177" spans="1:7" x14ac:dyDescent="0.25">
      <c r="A3177" s="30">
        <v>0.58278687286949504</v>
      </c>
      <c r="B3177" s="30">
        <v>0</v>
      </c>
      <c r="C3177" s="30">
        <v>10.78</v>
      </c>
      <c r="G3177" s="18"/>
    </row>
    <row r="3178" spans="1:7" x14ac:dyDescent="0.25">
      <c r="A3178" s="30">
        <v>0.84525356580908118</v>
      </c>
      <c r="B3178" s="30">
        <v>0</v>
      </c>
      <c r="C3178" s="30">
        <v>10.78</v>
      </c>
      <c r="G3178" s="18"/>
    </row>
    <row r="3179" spans="1:7" x14ac:dyDescent="0.25">
      <c r="A3179" s="30">
        <v>1.3532300354698616</v>
      </c>
      <c r="B3179" s="30">
        <v>0</v>
      </c>
      <c r="C3179" s="30">
        <v>10.78</v>
      </c>
      <c r="G3179" s="18"/>
    </row>
    <row r="3180" spans="1:7" x14ac:dyDescent="0.25">
      <c r="A3180" s="30">
        <v>0.89384492808281024</v>
      </c>
      <c r="B3180" s="30">
        <v>0</v>
      </c>
      <c r="C3180" s="30">
        <v>10.78</v>
      </c>
      <c r="G3180" s="18"/>
    </row>
    <row r="3181" spans="1:7" x14ac:dyDescent="0.25">
      <c r="A3181" s="30">
        <v>1.8417612148637166</v>
      </c>
      <c r="B3181" s="30">
        <v>0</v>
      </c>
      <c r="C3181" s="30">
        <v>14.559999999999999</v>
      </c>
      <c r="G3181" s="18"/>
    </row>
    <row r="3182" spans="1:7" x14ac:dyDescent="0.25">
      <c r="A3182" s="30">
        <v>1.4561677556638109E-2</v>
      </c>
      <c r="B3182" s="30">
        <v>0</v>
      </c>
      <c r="C3182" s="30">
        <v>14.559999999999999</v>
      </c>
      <c r="G3182" s="18"/>
    </row>
    <row r="3183" spans="1:7" x14ac:dyDescent="0.25">
      <c r="A3183" s="30">
        <v>0.86883643306038894</v>
      </c>
      <c r="B3183" s="30">
        <v>0</v>
      </c>
      <c r="C3183" s="30">
        <v>14.559999999999999</v>
      </c>
      <c r="G3183" s="18"/>
    </row>
    <row r="3184" spans="1:7" x14ac:dyDescent="0.25">
      <c r="A3184" s="30">
        <v>0.68751131753673689</v>
      </c>
      <c r="B3184" s="30">
        <v>0</v>
      </c>
      <c r="C3184" s="30">
        <v>14.559999999999999</v>
      </c>
      <c r="G3184" s="18"/>
    </row>
    <row r="3185" spans="1:7" x14ac:dyDescent="0.25">
      <c r="A3185" s="30">
        <v>0.67173754312367939</v>
      </c>
      <c r="B3185" s="30">
        <v>0</v>
      </c>
      <c r="C3185" s="30">
        <v>14.559999999999999</v>
      </c>
      <c r="G3185" s="18"/>
    </row>
    <row r="3186" spans="1:7" x14ac:dyDescent="0.25">
      <c r="A3186" s="30">
        <v>0.43681855956733145</v>
      </c>
      <c r="B3186" s="30">
        <v>0</v>
      </c>
      <c r="C3186" s="30">
        <v>14.559999999999999</v>
      </c>
      <c r="G3186" s="18"/>
    </row>
    <row r="3187" spans="1:7" x14ac:dyDescent="0.25">
      <c r="A3187" s="30">
        <v>1.6619680445142528</v>
      </c>
      <c r="B3187" s="30">
        <v>0</v>
      </c>
      <c r="C3187" s="30">
        <v>14.559999999999999</v>
      </c>
      <c r="G3187" s="18"/>
    </row>
    <row r="3188" spans="1:7" x14ac:dyDescent="0.25">
      <c r="A3188" s="30">
        <v>1.0419676454698683</v>
      </c>
      <c r="B3188" s="30">
        <v>0</v>
      </c>
      <c r="C3188" s="30">
        <v>14.559999999999999</v>
      </c>
      <c r="G3188" s="18"/>
    </row>
    <row r="3189" spans="1:7" x14ac:dyDescent="0.25">
      <c r="A3189" s="30">
        <v>8.4702556406685933E-2</v>
      </c>
      <c r="B3189" s="30">
        <v>0</v>
      </c>
      <c r="C3189" s="30">
        <v>14.559999999999999</v>
      </c>
      <c r="G3189" s="18"/>
    </row>
    <row r="3190" spans="1:7" x14ac:dyDescent="0.25">
      <c r="A3190" s="30">
        <v>7.4179656297740065E-2</v>
      </c>
      <c r="B3190" s="30">
        <v>0</v>
      </c>
      <c r="C3190" s="30">
        <v>14.559999999999999</v>
      </c>
      <c r="G3190" s="18"/>
    </row>
    <row r="3191" spans="1:7" x14ac:dyDescent="0.25">
      <c r="A3191" s="30">
        <v>0.20313823584243745</v>
      </c>
      <c r="B3191" s="30">
        <v>0</v>
      </c>
      <c r="C3191" s="30">
        <v>14.559999999999999</v>
      </c>
      <c r="G3191" s="18"/>
    </row>
    <row r="3192" spans="1:7" x14ac:dyDescent="0.25">
      <c r="A3192" s="30">
        <v>1.1855066055972583</v>
      </c>
      <c r="B3192" s="30">
        <v>0</v>
      </c>
      <c r="C3192" s="30">
        <v>14.559999999999999</v>
      </c>
      <c r="G3192" s="18"/>
    </row>
    <row r="3193" spans="1:7" x14ac:dyDescent="0.25">
      <c r="A3193" s="30">
        <v>1.8910445391075925</v>
      </c>
      <c r="B3193" s="30">
        <v>0</v>
      </c>
      <c r="C3193" s="30">
        <v>14.559999999999999</v>
      </c>
      <c r="G3193" s="18"/>
    </row>
    <row r="3194" spans="1:7" x14ac:dyDescent="0.25">
      <c r="A3194" s="30">
        <v>0.69931954040107391</v>
      </c>
      <c r="B3194" s="30">
        <v>0</v>
      </c>
      <c r="C3194" s="30">
        <v>14.559999999999999</v>
      </c>
      <c r="G3194" s="18"/>
    </row>
    <row r="3195" spans="1:7" x14ac:dyDescent="0.25">
      <c r="A3195" s="30">
        <v>1.2347441776427459E-2</v>
      </c>
      <c r="B3195" s="30">
        <v>0</v>
      </c>
      <c r="C3195" s="30">
        <v>14.559999999999999</v>
      </c>
      <c r="G3195" s="18"/>
    </row>
    <row r="3196" spans="1:7" x14ac:dyDescent="0.25">
      <c r="A3196" s="30">
        <v>0.60192043664003625</v>
      </c>
      <c r="B3196" s="30">
        <v>0</v>
      </c>
      <c r="C3196" s="30">
        <v>14.559999999999999</v>
      </c>
      <c r="G3196" s="18"/>
    </row>
    <row r="3197" spans="1:7" x14ac:dyDescent="0.25">
      <c r="A3197" s="30">
        <v>0.2958667214787587</v>
      </c>
      <c r="B3197" s="30">
        <v>0</v>
      </c>
      <c r="C3197" s="30">
        <v>26.32</v>
      </c>
      <c r="G3197" s="18"/>
    </row>
    <row r="3198" spans="1:7" x14ac:dyDescent="0.25">
      <c r="A3198" s="30">
        <v>0.63702076068089764</v>
      </c>
      <c r="B3198" s="30">
        <v>0</v>
      </c>
      <c r="C3198" s="30">
        <v>26.32</v>
      </c>
      <c r="G3198" s="18"/>
    </row>
    <row r="3199" spans="1:7" x14ac:dyDescent="0.25">
      <c r="A3199" s="30">
        <v>2.2646567782195519</v>
      </c>
      <c r="B3199" s="30">
        <v>0</v>
      </c>
      <c r="C3199" s="30">
        <v>26.32</v>
      </c>
      <c r="G3199" s="18"/>
    </row>
    <row r="3200" spans="1:7" x14ac:dyDescent="0.25">
      <c r="A3200" s="30">
        <v>2.3279675801358922E-3</v>
      </c>
      <c r="B3200" s="30">
        <v>0</v>
      </c>
      <c r="C3200" s="30">
        <v>26.32</v>
      </c>
      <c r="G3200" s="18"/>
    </row>
    <row r="3201" spans="1:7" x14ac:dyDescent="0.25">
      <c r="A3201" s="30">
        <v>2.2074330354500748E-2</v>
      </c>
      <c r="B3201" s="30">
        <v>0</v>
      </c>
      <c r="C3201" s="30">
        <v>26.32</v>
      </c>
      <c r="G3201" s="18"/>
    </row>
    <row r="3202" spans="1:7" x14ac:dyDescent="0.25">
      <c r="A3202" s="30">
        <v>8.9165892501956834E-2</v>
      </c>
      <c r="B3202" s="30">
        <v>0</v>
      </c>
      <c r="C3202" s="30">
        <v>26.32</v>
      </c>
      <c r="G3202" s="18"/>
    </row>
    <row r="3203" spans="1:7" x14ac:dyDescent="0.25">
      <c r="A3203" s="30">
        <v>1.4091354533937175</v>
      </c>
      <c r="B3203" s="30">
        <v>0</v>
      </c>
      <c r="C3203" s="30">
        <v>26.32</v>
      </c>
      <c r="G3203" s="18"/>
    </row>
    <row r="3204" spans="1:7" x14ac:dyDescent="0.25">
      <c r="A3204" s="30">
        <v>0.49122129962190764</v>
      </c>
      <c r="B3204" s="30">
        <v>0</v>
      </c>
      <c r="C3204" s="30">
        <v>26.32</v>
      </c>
      <c r="G3204" s="18"/>
    </row>
    <row r="3205" spans="1:7" x14ac:dyDescent="0.25">
      <c r="A3205" s="30">
        <v>1.8318118919900122</v>
      </c>
      <c r="B3205" s="30">
        <v>0</v>
      </c>
      <c r="C3205" s="30">
        <v>26.32</v>
      </c>
      <c r="G3205" s="18"/>
    </row>
    <row r="3206" spans="1:7" x14ac:dyDescent="0.25">
      <c r="A3206" s="30">
        <v>0.77359832096607217</v>
      </c>
      <c r="B3206" s="30">
        <v>0</v>
      </c>
      <c r="C3206" s="30">
        <v>26.32</v>
      </c>
      <c r="G3206" s="18"/>
    </row>
    <row r="3207" spans="1:7" x14ac:dyDescent="0.25">
      <c r="A3207" s="30">
        <v>0.13250361243678696</v>
      </c>
      <c r="B3207" s="30">
        <v>0</v>
      </c>
      <c r="C3207" s="30">
        <v>26.32</v>
      </c>
      <c r="G3207" s="18"/>
    </row>
    <row r="3208" spans="1:7" x14ac:dyDescent="0.25">
      <c r="A3208" s="30">
        <v>0.53966435318831651</v>
      </c>
      <c r="B3208" s="30">
        <v>0</v>
      </c>
      <c r="C3208" s="30">
        <v>26.32</v>
      </c>
      <c r="G3208" s="18"/>
    </row>
    <row r="3209" spans="1:7" x14ac:dyDescent="0.25">
      <c r="A3209" s="30">
        <v>2.2352080075840952</v>
      </c>
      <c r="B3209" s="30">
        <v>0</v>
      </c>
      <c r="C3209" s="30">
        <v>26.32</v>
      </c>
      <c r="G3209" s="18"/>
    </row>
    <row r="3210" spans="1:7" x14ac:dyDescent="0.25">
      <c r="A3210" s="30">
        <v>1.1859607714585658</v>
      </c>
      <c r="B3210" s="30">
        <v>0</v>
      </c>
      <c r="C3210" s="30">
        <v>26.32</v>
      </c>
      <c r="G3210" s="18"/>
    </row>
    <row r="3211" spans="1:7" x14ac:dyDescent="0.25">
      <c r="A3211" s="30">
        <v>0.93856034903941232</v>
      </c>
      <c r="B3211" s="30">
        <v>0</v>
      </c>
      <c r="C3211" s="30">
        <v>26.32</v>
      </c>
      <c r="G3211" s="18"/>
    </row>
    <row r="3212" spans="1:7" x14ac:dyDescent="0.25">
      <c r="A3212" s="30">
        <v>0.94690718063223911</v>
      </c>
      <c r="B3212" s="30">
        <v>0</v>
      </c>
      <c r="C3212" s="30">
        <v>26.32</v>
      </c>
      <c r="G3212" s="18"/>
    </row>
    <row r="3213" spans="1:7" x14ac:dyDescent="0.25">
      <c r="A3213" s="30">
        <v>1.811130371341805</v>
      </c>
      <c r="B3213" s="30">
        <v>0</v>
      </c>
      <c r="C3213" s="30">
        <v>12.04</v>
      </c>
      <c r="G3213" s="18"/>
    </row>
    <row r="3214" spans="1:7" x14ac:dyDescent="0.25">
      <c r="A3214" s="30">
        <v>1.0980798900279343</v>
      </c>
      <c r="B3214" s="30">
        <v>0</v>
      </c>
      <c r="C3214" s="30">
        <v>12.04</v>
      </c>
      <c r="G3214" s="18"/>
    </row>
    <row r="3215" spans="1:7" x14ac:dyDescent="0.25">
      <c r="A3215" s="30">
        <v>0.74478498972009599</v>
      </c>
      <c r="B3215" s="30">
        <v>0</v>
      </c>
      <c r="C3215" s="30">
        <v>12.04</v>
      </c>
      <c r="G3215" s="18"/>
    </row>
    <row r="3216" spans="1:7" x14ac:dyDescent="0.25">
      <c r="A3216" s="30">
        <v>0.68653780213349891</v>
      </c>
      <c r="B3216" s="30">
        <v>0</v>
      </c>
      <c r="C3216" s="30">
        <v>12.04</v>
      </c>
      <c r="G3216" s="18"/>
    </row>
    <row r="3217" spans="1:7" x14ac:dyDescent="0.25">
      <c r="A3217" s="30">
        <v>0.14722201573874702</v>
      </c>
      <c r="B3217" s="30">
        <v>0</v>
      </c>
      <c r="C3217" s="30">
        <v>12.04</v>
      </c>
      <c r="G3217" s="18"/>
    </row>
    <row r="3218" spans="1:7" x14ac:dyDescent="0.25">
      <c r="A3218" s="30">
        <v>0.67028097560593625</v>
      </c>
      <c r="B3218" s="30">
        <v>0</v>
      </c>
      <c r="C3218" s="30">
        <v>12.04</v>
      </c>
      <c r="G3218" s="18"/>
    </row>
    <row r="3219" spans="1:7" x14ac:dyDescent="0.25">
      <c r="A3219" s="30">
        <v>1.9826116537164817</v>
      </c>
      <c r="B3219" s="30">
        <v>0</v>
      </c>
      <c r="C3219" s="30">
        <v>12.04</v>
      </c>
      <c r="G3219" s="18"/>
    </row>
    <row r="3220" spans="1:7" x14ac:dyDescent="0.25">
      <c r="A3220" s="30">
        <v>0.57474106958577131</v>
      </c>
      <c r="B3220" s="30">
        <v>0</v>
      </c>
      <c r="C3220" s="30">
        <v>12.04</v>
      </c>
      <c r="G3220" s="18"/>
    </row>
    <row r="3221" spans="1:7" x14ac:dyDescent="0.25">
      <c r="A3221" s="30">
        <v>1.3607581575515497</v>
      </c>
      <c r="B3221" s="30">
        <v>0</v>
      </c>
      <c r="C3221" s="30">
        <v>12.04</v>
      </c>
      <c r="G3221" s="18"/>
    </row>
    <row r="3222" spans="1:7" x14ac:dyDescent="0.25">
      <c r="A3222" s="30">
        <v>0.11020973812476134</v>
      </c>
      <c r="B3222" s="30">
        <v>0</v>
      </c>
      <c r="C3222" s="30">
        <v>12.04</v>
      </c>
      <c r="G3222" s="18"/>
    </row>
    <row r="3223" spans="1:7" x14ac:dyDescent="0.25">
      <c r="A3223" s="30">
        <v>0.88127003136053728</v>
      </c>
      <c r="B3223" s="30">
        <v>0</v>
      </c>
      <c r="C3223" s="30">
        <v>12.04</v>
      </c>
      <c r="G3223" s="18"/>
    </row>
    <row r="3224" spans="1:7" x14ac:dyDescent="0.25">
      <c r="A3224" s="30">
        <v>0.44358505892521666</v>
      </c>
      <c r="B3224" s="30">
        <v>0</v>
      </c>
      <c r="C3224" s="30">
        <v>12.04</v>
      </c>
      <c r="G3224" s="18"/>
    </row>
    <row r="3225" spans="1:7" x14ac:dyDescent="0.25">
      <c r="A3225" s="30">
        <v>0.84124295273203664</v>
      </c>
      <c r="B3225" s="30">
        <v>0</v>
      </c>
      <c r="C3225" s="30">
        <v>12.04</v>
      </c>
      <c r="G3225" s="18"/>
    </row>
    <row r="3226" spans="1:7" x14ac:dyDescent="0.25">
      <c r="A3226" s="30">
        <v>0.63922299445877262</v>
      </c>
      <c r="B3226" s="30">
        <v>0</v>
      </c>
      <c r="C3226" s="30">
        <v>12.04</v>
      </c>
      <c r="G3226" s="18"/>
    </row>
    <row r="3227" spans="1:7" x14ac:dyDescent="0.25">
      <c r="A3227" s="30">
        <v>1.7800130780094172</v>
      </c>
      <c r="B3227" s="30">
        <v>0</v>
      </c>
      <c r="C3227" s="30">
        <v>12.04</v>
      </c>
      <c r="G3227" s="18"/>
    </row>
    <row r="3228" spans="1:7" x14ac:dyDescent="0.25">
      <c r="A3228" s="30">
        <v>0.27357722198312068</v>
      </c>
      <c r="B3228" s="30">
        <v>0</v>
      </c>
      <c r="C3228" s="30">
        <v>12.04</v>
      </c>
      <c r="G3228" s="18"/>
    </row>
    <row r="3229" spans="1:7" x14ac:dyDescent="0.25">
      <c r="A3229" s="30">
        <v>0.90432797593150893</v>
      </c>
      <c r="B3229" s="30">
        <v>0</v>
      </c>
      <c r="C3229" s="30">
        <v>24.359999999999996</v>
      </c>
      <c r="G3229" s="18"/>
    </row>
    <row r="3230" spans="1:7" x14ac:dyDescent="0.25">
      <c r="A3230" s="30">
        <v>0.69170470473042323</v>
      </c>
      <c r="B3230" s="30">
        <v>0</v>
      </c>
      <c r="C3230" s="30">
        <v>24.359999999999996</v>
      </c>
      <c r="G3230" s="18"/>
    </row>
    <row r="3231" spans="1:7" x14ac:dyDescent="0.25">
      <c r="A3231" s="30">
        <v>0.66943506534301067</v>
      </c>
      <c r="B3231" s="30">
        <v>0</v>
      </c>
      <c r="C3231" s="30">
        <v>24.359999999999996</v>
      </c>
      <c r="G3231" s="18"/>
    </row>
    <row r="3232" spans="1:7" x14ac:dyDescent="0.25">
      <c r="A3232" s="30">
        <v>0.93818723730643838</v>
      </c>
      <c r="B3232" s="30">
        <v>0</v>
      </c>
      <c r="C3232" s="30">
        <v>24.359999999999996</v>
      </c>
      <c r="G3232" s="18"/>
    </row>
    <row r="3233" spans="1:7" x14ac:dyDescent="0.25">
      <c r="A3233" s="30">
        <v>2.1141951479549848</v>
      </c>
      <c r="B3233" s="30">
        <v>0</v>
      </c>
      <c r="C3233" s="30">
        <v>24.359999999999996</v>
      </c>
      <c r="G3233" s="18"/>
    </row>
    <row r="3234" spans="1:7" x14ac:dyDescent="0.25">
      <c r="A3234" s="30">
        <v>0.44084494648196004</v>
      </c>
      <c r="B3234" s="30">
        <v>0</v>
      </c>
      <c r="C3234" s="30">
        <v>24.359999999999996</v>
      </c>
      <c r="G3234" s="18"/>
    </row>
    <row r="3235" spans="1:7" x14ac:dyDescent="0.25">
      <c r="A3235" s="30">
        <v>2.3449889491015101</v>
      </c>
      <c r="B3235" s="30">
        <v>0</v>
      </c>
      <c r="C3235" s="30">
        <v>24.359999999999996</v>
      </c>
      <c r="G3235" s="18"/>
    </row>
    <row r="3236" spans="1:7" x14ac:dyDescent="0.25">
      <c r="A3236" s="30">
        <v>1.2242286192053264</v>
      </c>
      <c r="B3236" s="30">
        <v>0</v>
      </c>
      <c r="C3236" s="30">
        <v>24.359999999999996</v>
      </c>
      <c r="G3236" s="18"/>
    </row>
    <row r="3237" spans="1:7" x14ac:dyDescent="0.25">
      <c r="A3237" s="30">
        <v>1.7543765304053032</v>
      </c>
      <c r="B3237" s="30">
        <v>0</v>
      </c>
      <c r="C3237" s="30">
        <v>24.359999999999996</v>
      </c>
      <c r="G3237" s="18"/>
    </row>
    <row r="3238" spans="1:7" x14ac:dyDescent="0.25">
      <c r="A3238" s="30">
        <v>1.0781248979480735</v>
      </c>
      <c r="B3238" s="30">
        <v>0</v>
      </c>
      <c r="C3238" s="30">
        <v>24.359999999999996</v>
      </c>
      <c r="G3238" s="18"/>
    </row>
    <row r="3239" spans="1:7" x14ac:dyDescent="0.25">
      <c r="A3239" s="30">
        <v>0.84583350793994949</v>
      </c>
      <c r="B3239" s="30">
        <v>0</v>
      </c>
      <c r="C3239" s="30">
        <v>24.359999999999996</v>
      </c>
      <c r="G3239" s="18"/>
    </row>
    <row r="3240" spans="1:7" x14ac:dyDescent="0.25">
      <c r="A3240" s="30">
        <v>0.80471840823831919</v>
      </c>
      <c r="B3240" s="30">
        <v>0</v>
      </c>
      <c r="C3240" s="30">
        <v>24.359999999999996</v>
      </c>
      <c r="G3240" s="18"/>
    </row>
    <row r="3241" spans="1:7" x14ac:dyDescent="0.25">
      <c r="A3241" s="30">
        <v>2.2304067814538633</v>
      </c>
      <c r="B3241" s="30">
        <v>0</v>
      </c>
      <c r="C3241" s="30">
        <v>24.359999999999996</v>
      </c>
      <c r="G3241" s="18"/>
    </row>
    <row r="3242" spans="1:7" x14ac:dyDescent="0.25">
      <c r="A3242" s="30">
        <v>1.1582156464780573</v>
      </c>
      <c r="B3242" s="30">
        <v>0</v>
      </c>
      <c r="C3242" s="30">
        <v>24.359999999999996</v>
      </c>
      <c r="G3242" s="18"/>
    </row>
    <row r="3243" spans="1:7" x14ac:dyDescent="0.25">
      <c r="A3243" s="30">
        <v>0.12502422133811608</v>
      </c>
      <c r="B3243" s="30">
        <v>0</v>
      </c>
      <c r="C3243" s="30">
        <v>24.359999999999996</v>
      </c>
      <c r="G3243" s="18"/>
    </row>
    <row r="3244" spans="1:7" x14ac:dyDescent="0.25">
      <c r="A3244" s="30">
        <v>1.2092655612149985</v>
      </c>
      <c r="B3244" s="30">
        <v>0</v>
      </c>
      <c r="C3244" s="30">
        <v>24.22</v>
      </c>
      <c r="G3244" s="18"/>
    </row>
    <row r="3245" spans="1:7" x14ac:dyDescent="0.25">
      <c r="A3245" s="30">
        <v>0.61577939004910964</v>
      </c>
      <c r="B3245" s="30">
        <v>0</v>
      </c>
      <c r="C3245" s="30">
        <v>24.22</v>
      </c>
      <c r="G3245" s="18"/>
    </row>
    <row r="3246" spans="1:7" x14ac:dyDescent="0.25">
      <c r="A3246" s="30">
        <v>1.126670561357852</v>
      </c>
      <c r="B3246" s="30">
        <v>0</v>
      </c>
      <c r="C3246" s="30">
        <v>24.22</v>
      </c>
      <c r="G3246" s="18"/>
    </row>
    <row r="3247" spans="1:7" x14ac:dyDescent="0.25">
      <c r="A3247" s="30">
        <v>2.0380979445535639</v>
      </c>
      <c r="B3247" s="30">
        <v>0</v>
      </c>
      <c r="C3247" s="30">
        <v>24.22</v>
      </c>
      <c r="G3247" s="18"/>
    </row>
    <row r="3248" spans="1:7" x14ac:dyDescent="0.25">
      <c r="A3248" s="30">
        <v>0.43264258720172111</v>
      </c>
      <c r="B3248" s="30">
        <v>0</v>
      </c>
      <c r="C3248" s="30">
        <v>24.22</v>
      </c>
      <c r="G3248" s="18"/>
    </row>
    <row r="3249" spans="1:7" x14ac:dyDescent="0.25">
      <c r="A3249" s="30">
        <v>1.1610877384806333</v>
      </c>
      <c r="B3249" s="30">
        <v>0</v>
      </c>
      <c r="C3249" s="30">
        <v>24.22</v>
      </c>
      <c r="G3249" s="18"/>
    </row>
    <row r="3250" spans="1:7" x14ac:dyDescent="0.25">
      <c r="A3250" s="30">
        <v>0.70800647652879156</v>
      </c>
      <c r="B3250" s="30">
        <v>0</v>
      </c>
      <c r="C3250" s="30">
        <v>24.22</v>
      </c>
      <c r="G3250" s="18"/>
    </row>
    <row r="3251" spans="1:7" x14ac:dyDescent="0.25">
      <c r="A3251" s="30">
        <v>0.88067924328617231</v>
      </c>
      <c r="B3251" s="30">
        <v>0</v>
      </c>
      <c r="C3251" s="30">
        <v>24.22</v>
      </c>
      <c r="G3251" s="18"/>
    </row>
    <row r="3252" spans="1:7" x14ac:dyDescent="0.25">
      <c r="A3252" s="30">
        <v>0.25731984383459061</v>
      </c>
      <c r="B3252" s="30">
        <v>0</v>
      </c>
      <c r="C3252" s="30">
        <v>24.22</v>
      </c>
      <c r="G3252" s="18"/>
    </row>
    <row r="3253" spans="1:7" x14ac:dyDescent="0.25">
      <c r="A3253" s="30">
        <v>1.8026199350102605</v>
      </c>
      <c r="B3253" s="30">
        <v>0</v>
      </c>
      <c r="C3253" s="30">
        <v>24.22</v>
      </c>
      <c r="G3253" s="18"/>
    </row>
    <row r="3254" spans="1:7" x14ac:dyDescent="0.25">
      <c r="A3254" s="30">
        <v>0.51239116930303619</v>
      </c>
      <c r="B3254" s="30">
        <v>0</v>
      </c>
      <c r="C3254" s="30">
        <v>24.22</v>
      </c>
      <c r="G3254" s="18"/>
    </row>
    <row r="3255" spans="1:7" x14ac:dyDescent="0.25">
      <c r="A3255" s="30">
        <v>1.570055360743255</v>
      </c>
      <c r="B3255" s="30">
        <v>0</v>
      </c>
      <c r="C3255" s="30">
        <v>24.22</v>
      </c>
      <c r="G3255" s="18"/>
    </row>
    <row r="3256" spans="1:7" x14ac:dyDescent="0.25">
      <c r="A3256" s="30">
        <v>0.39814869838015843</v>
      </c>
      <c r="B3256" s="30">
        <v>0</v>
      </c>
      <c r="C3256" s="30">
        <v>19.04</v>
      </c>
      <c r="G3256" s="18"/>
    </row>
    <row r="3257" spans="1:7" x14ac:dyDescent="0.25">
      <c r="A3257" s="30">
        <v>2.026248852086995</v>
      </c>
      <c r="B3257" s="30">
        <v>0</v>
      </c>
      <c r="C3257" s="30">
        <v>19.04</v>
      </c>
      <c r="G3257" s="18"/>
    </row>
    <row r="3258" spans="1:7" x14ac:dyDescent="0.25">
      <c r="A3258" s="30">
        <v>0.7602501072047283</v>
      </c>
      <c r="B3258" s="30">
        <v>0</v>
      </c>
      <c r="C3258" s="30">
        <v>19.04</v>
      </c>
      <c r="G3258" s="18"/>
    </row>
    <row r="3259" spans="1:7" x14ac:dyDescent="0.25">
      <c r="A3259" s="30">
        <v>0.64449281197419639</v>
      </c>
      <c r="B3259" s="30">
        <v>0</v>
      </c>
      <c r="C3259" s="30">
        <v>19.04</v>
      </c>
      <c r="G3259" s="18"/>
    </row>
    <row r="3260" spans="1:7" x14ac:dyDescent="0.25">
      <c r="A3260" s="30">
        <v>0.10441781022405545</v>
      </c>
      <c r="B3260" s="30">
        <v>0</v>
      </c>
      <c r="C3260" s="30">
        <v>19.04</v>
      </c>
      <c r="G3260" s="18"/>
    </row>
    <row r="3261" spans="1:7" x14ac:dyDescent="0.25">
      <c r="A3261" s="30">
        <v>1.7398021593568402</v>
      </c>
      <c r="B3261" s="30">
        <v>0</v>
      </c>
      <c r="C3261" s="30">
        <v>19.04</v>
      </c>
      <c r="G3261" s="18"/>
    </row>
    <row r="3262" spans="1:7" x14ac:dyDescent="0.25">
      <c r="A3262" s="30">
        <v>0.18421619884456097</v>
      </c>
      <c r="B3262" s="30">
        <v>0</v>
      </c>
      <c r="C3262" s="30">
        <v>19.04</v>
      </c>
      <c r="G3262" s="18"/>
    </row>
    <row r="3263" spans="1:7" x14ac:dyDescent="0.25">
      <c r="A3263" s="30">
        <v>1.1674885828302088</v>
      </c>
      <c r="B3263" s="30">
        <v>0</v>
      </c>
      <c r="C3263" s="30">
        <v>19.04</v>
      </c>
      <c r="G3263" s="18"/>
    </row>
    <row r="3264" spans="1:7" x14ac:dyDescent="0.25">
      <c r="A3264" s="30">
        <v>0.59085688923976354</v>
      </c>
      <c r="B3264" s="30">
        <v>0</v>
      </c>
      <c r="C3264" s="30">
        <v>19.04</v>
      </c>
      <c r="G3264" s="18"/>
    </row>
    <row r="3265" spans="1:7" x14ac:dyDescent="0.25">
      <c r="A3265" s="30">
        <v>0.64144117994389771</v>
      </c>
      <c r="B3265" s="30">
        <v>0</v>
      </c>
      <c r="C3265" s="30">
        <v>19.04</v>
      </c>
      <c r="G3265" s="18"/>
    </row>
    <row r="3266" spans="1:7" x14ac:dyDescent="0.25">
      <c r="A3266" s="30">
        <v>0.95833252417304904</v>
      </c>
      <c r="B3266" s="30">
        <v>0</v>
      </c>
      <c r="C3266" s="30">
        <v>19.04</v>
      </c>
      <c r="G3266" s="18"/>
    </row>
    <row r="3267" spans="1:7" x14ac:dyDescent="0.25">
      <c r="A3267" s="30">
        <v>0.17528789685674626</v>
      </c>
      <c r="B3267" s="30">
        <v>0</v>
      </c>
      <c r="C3267" s="30">
        <v>19.04</v>
      </c>
      <c r="G3267" s="18"/>
    </row>
    <row r="3268" spans="1:7" x14ac:dyDescent="0.25">
      <c r="A3268" s="30">
        <v>0.18744759995542251</v>
      </c>
      <c r="B3268" s="30">
        <v>0</v>
      </c>
      <c r="C3268" s="30">
        <v>9.7999999999999989</v>
      </c>
      <c r="G3268" s="18"/>
    </row>
    <row r="3269" spans="1:7" x14ac:dyDescent="0.25">
      <c r="A3269" s="30">
        <v>2.382796485198261</v>
      </c>
      <c r="B3269" s="30">
        <v>0</v>
      </c>
      <c r="C3269" s="30">
        <v>9.7999999999999989</v>
      </c>
      <c r="G3269" s="18"/>
    </row>
    <row r="3270" spans="1:7" x14ac:dyDescent="0.25">
      <c r="A3270" s="30">
        <v>0.36189394483542436</v>
      </c>
      <c r="B3270" s="30">
        <v>0</v>
      </c>
      <c r="C3270" s="30">
        <v>9.7999999999999989</v>
      </c>
      <c r="G3270" s="18"/>
    </row>
    <row r="3271" spans="1:7" x14ac:dyDescent="0.25">
      <c r="A3271" s="30">
        <v>0.75518379048684126</v>
      </c>
      <c r="B3271" s="30">
        <v>0</v>
      </c>
      <c r="C3271" s="30">
        <v>9.7999999999999989</v>
      </c>
      <c r="G3271" s="18"/>
    </row>
    <row r="3272" spans="1:7" x14ac:dyDescent="0.25">
      <c r="A3272" s="30">
        <v>1.0374676725707679</v>
      </c>
      <c r="B3272" s="30">
        <v>0</v>
      </c>
      <c r="C3272" s="30">
        <v>9.7999999999999989</v>
      </c>
      <c r="G3272" s="18"/>
    </row>
    <row r="3273" spans="1:7" x14ac:dyDescent="0.25">
      <c r="A3273" s="30">
        <v>0.97430068389019797</v>
      </c>
      <c r="B3273" s="30">
        <v>0</v>
      </c>
      <c r="C3273" s="30">
        <v>9.7999999999999989</v>
      </c>
      <c r="G3273" s="18"/>
    </row>
    <row r="3274" spans="1:7" x14ac:dyDescent="0.25">
      <c r="A3274" s="30">
        <v>0.70239149096781317</v>
      </c>
      <c r="B3274" s="30">
        <v>0</v>
      </c>
      <c r="C3274" s="30">
        <v>9.7999999999999989</v>
      </c>
      <c r="G3274" s="18"/>
    </row>
    <row r="3275" spans="1:7" x14ac:dyDescent="0.25">
      <c r="A3275" s="30">
        <v>0.33165587815363001</v>
      </c>
      <c r="B3275" s="30">
        <v>0</v>
      </c>
      <c r="C3275" s="30">
        <v>9.7999999999999989</v>
      </c>
      <c r="G3275" s="18"/>
    </row>
    <row r="3276" spans="1:7" x14ac:dyDescent="0.25">
      <c r="A3276" s="30">
        <v>0.56325910764058418</v>
      </c>
      <c r="B3276" s="30">
        <v>0</v>
      </c>
      <c r="C3276" s="30">
        <v>9.7999999999999989</v>
      </c>
      <c r="G3276" s="18"/>
    </row>
    <row r="3277" spans="1:7" x14ac:dyDescent="0.25">
      <c r="A3277" s="30">
        <v>1.3338072696628172</v>
      </c>
      <c r="B3277" s="30">
        <v>0</v>
      </c>
      <c r="C3277" s="30">
        <v>9.7999999999999989</v>
      </c>
      <c r="G3277" s="18"/>
    </row>
    <row r="3278" spans="1:7" x14ac:dyDescent="0.25">
      <c r="A3278" s="30">
        <v>0.35276751104128407</v>
      </c>
      <c r="B3278" s="30">
        <v>0</v>
      </c>
      <c r="C3278" s="30">
        <v>9.7999999999999989</v>
      </c>
      <c r="G3278" s="18"/>
    </row>
    <row r="3279" spans="1:7" x14ac:dyDescent="0.25">
      <c r="A3279" s="30">
        <v>1.490435716264976</v>
      </c>
      <c r="B3279" s="30">
        <v>0</v>
      </c>
      <c r="C3279" s="30">
        <v>9.7999999999999989</v>
      </c>
      <c r="G3279" s="18"/>
    </row>
    <row r="3280" spans="1:7" x14ac:dyDescent="0.25">
      <c r="A3280" s="30">
        <v>0.84080412565576756</v>
      </c>
      <c r="B3280" s="30">
        <v>0</v>
      </c>
      <c r="C3280" s="30">
        <v>9.7999999999999989</v>
      </c>
      <c r="G3280" s="18"/>
    </row>
    <row r="3281" spans="1:7" x14ac:dyDescent="0.25">
      <c r="A3281" s="30">
        <v>0.74706280263143543</v>
      </c>
      <c r="B3281" s="30">
        <v>0</v>
      </c>
      <c r="C3281" s="30">
        <v>9.7999999999999989</v>
      </c>
      <c r="G3281" s="18"/>
    </row>
    <row r="3282" spans="1:7" x14ac:dyDescent="0.25">
      <c r="A3282" s="30">
        <v>8.7616626468112149E-2</v>
      </c>
      <c r="B3282" s="30">
        <v>0</v>
      </c>
      <c r="C3282" s="30">
        <v>9.7999999999999989</v>
      </c>
      <c r="G3282" s="18"/>
    </row>
    <row r="3283" spans="1:7" x14ac:dyDescent="0.25">
      <c r="A3283" s="30">
        <v>1.3665400979753524</v>
      </c>
      <c r="B3283" s="30">
        <v>0</v>
      </c>
      <c r="C3283" s="30">
        <v>9.7999999999999989</v>
      </c>
      <c r="G3283" s="18"/>
    </row>
    <row r="3284" spans="1:7" x14ac:dyDescent="0.25">
      <c r="A3284" s="30">
        <v>0.62392978416158973</v>
      </c>
      <c r="B3284" s="30">
        <v>0</v>
      </c>
      <c r="C3284" s="30">
        <v>4.34</v>
      </c>
      <c r="G3284" s="18"/>
    </row>
    <row r="3285" spans="1:7" x14ac:dyDescent="0.25">
      <c r="A3285" s="30">
        <v>0.14565418838340066</v>
      </c>
      <c r="B3285" s="30">
        <v>0</v>
      </c>
      <c r="C3285" s="30">
        <v>4.34</v>
      </c>
      <c r="G3285" s="18"/>
    </row>
    <row r="3286" spans="1:7" x14ac:dyDescent="0.25">
      <c r="A3286" s="30">
        <v>0.24789656799190024</v>
      </c>
      <c r="B3286" s="30">
        <v>0</v>
      </c>
      <c r="C3286" s="30">
        <v>4.34</v>
      </c>
      <c r="G3286" s="18"/>
    </row>
    <row r="3287" spans="1:7" x14ac:dyDescent="0.25">
      <c r="A3287" s="30">
        <v>1.8409215759428919</v>
      </c>
      <c r="B3287" s="30">
        <v>0</v>
      </c>
      <c r="C3287" s="30">
        <v>4.34</v>
      </c>
      <c r="G3287" s="18"/>
    </row>
    <row r="3288" spans="1:7" x14ac:dyDescent="0.25">
      <c r="A3288" s="30">
        <v>0.84997686859580845</v>
      </c>
      <c r="B3288" s="30">
        <v>0</v>
      </c>
      <c r="C3288" s="30">
        <v>4.34</v>
      </c>
      <c r="G3288" s="18"/>
    </row>
    <row r="3289" spans="1:7" x14ac:dyDescent="0.25">
      <c r="A3289" s="30">
        <v>0.11466324651454016</v>
      </c>
      <c r="B3289" s="30">
        <v>0</v>
      </c>
      <c r="C3289" s="30">
        <v>4.34</v>
      </c>
      <c r="G3289" s="18"/>
    </row>
    <row r="3290" spans="1:7" x14ac:dyDescent="0.25">
      <c r="A3290" s="30">
        <v>7.5240130571633229E-2</v>
      </c>
      <c r="B3290" s="30">
        <v>0</v>
      </c>
      <c r="C3290" s="30">
        <v>4.34</v>
      </c>
      <c r="G3290" s="18"/>
    </row>
    <row r="3291" spans="1:7" x14ac:dyDescent="0.25">
      <c r="A3291" s="30">
        <v>0.79016599359435857</v>
      </c>
      <c r="B3291" s="30">
        <v>0</v>
      </c>
      <c r="C3291" s="30">
        <v>4.34</v>
      </c>
      <c r="G3291" s="18"/>
    </row>
    <row r="3292" spans="1:7" x14ac:dyDescent="0.25">
      <c r="A3292" s="30">
        <v>1.3650965186603072</v>
      </c>
      <c r="B3292" s="30">
        <v>0</v>
      </c>
      <c r="C3292" s="30">
        <v>4.34</v>
      </c>
      <c r="G3292" s="18"/>
    </row>
    <row r="3293" spans="1:7" x14ac:dyDescent="0.25">
      <c r="A3293" s="30">
        <v>1.2343377180502775</v>
      </c>
      <c r="B3293" s="30">
        <v>0</v>
      </c>
      <c r="C3293" s="30">
        <v>4.34</v>
      </c>
      <c r="G3293" s="18"/>
    </row>
    <row r="3294" spans="1:7" x14ac:dyDescent="0.25">
      <c r="A3294" s="30">
        <v>0.10331986265770579</v>
      </c>
      <c r="B3294" s="30">
        <v>0</v>
      </c>
      <c r="C3294" s="30">
        <v>4.34</v>
      </c>
      <c r="G3294" s="18"/>
    </row>
    <row r="3295" spans="1:7" x14ac:dyDescent="0.25">
      <c r="A3295" s="30">
        <v>1.4515114918013932</v>
      </c>
      <c r="B3295" s="30">
        <v>0</v>
      </c>
      <c r="C3295" s="30">
        <v>4.34</v>
      </c>
      <c r="G3295" s="18"/>
    </row>
    <row r="3296" spans="1:7" x14ac:dyDescent="0.25">
      <c r="A3296" s="30">
        <v>0.36362591023625834</v>
      </c>
      <c r="B3296" s="30">
        <v>0</v>
      </c>
      <c r="C3296" s="30">
        <v>4.34</v>
      </c>
      <c r="G3296" s="18"/>
    </row>
    <row r="3297" spans="1:7" x14ac:dyDescent="0.25">
      <c r="A3297" s="30">
        <v>9.2544831569530389E-2</v>
      </c>
      <c r="B3297" s="30">
        <v>0</v>
      </c>
      <c r="C3297" s="30">
        <v>4.34</v>
      </c>
      <c r="G3297" s="18"/>
    </row>
    <row r="3298" spans="1:7" x14ac:dyDescent="0.25">
      <c r="A3298" s="30">
        <v>0.72682980579720513</v>
      </c>
      <c r="B3298" s="30">
        <v>0</v>
      </c>
      <c r="C3298" s="30">
        <v>4.34</v>
      </c>
      <c r="G3298" s="18"/>
    </row>
    <row r="3299" spans="1:7" x14ac:dyDescent="0.25">
      <c r="A3299" s="30">
        <v>1.5628871583241921</v>
      </c>
      <c r="B3299" s="30">
        <v>0</v>
      </c>
      <c r="C3299" s="30">
        <v>4.34</v>
      </c>
      <c r="G3299" s="18"/>
    </row>
    <row r="3300" spans="1:7" x14ac:dyDescent="0.25">
      <c r="A3300" s="30">
        <v>1.391460324470037</v>
      </c>
      <c r="B3300" s="30">
        <v>0</v>
      </c>
      <c r="C3300" s="30">
        <v>4.34</v>
      </c>
      <c r="G3300" s="18"/>
    </row>
    <row r="3301" spans="1:7" x14ac:dyDescent="0.25">
      <c r="A3301" s="30">
        <v>2.1607071587409918</v>
      </c>
      <c r="B3301" s="30">
        <v>0</v>
      </c>
      <c r="C3301" s="30">
        <v>22.679999999999996</v>
      </c>
      <c r="G3301" s="18"/>
    </row>
    <row r="3302" spans="1:7" x14ac:dyDescent="0.25">
      <c r="A3302" s="30">
        <v>0.81058989118323832</v>
      </c>
      <c r="B3302" s="30">
        <v>0</v>
      </c>
      <c r="C3302" s="30">
        <v>22.679999999999996</v>
      </c>
      <c r="G3302" s="18"/>
    </row>
    <row r="3303" spans="1:7" x14ac:dyDescent="0.25">
      <c r="A3303" s="30">
        <v>0.94988420850269151</v>
      </c>
      <c r="B3303" s="30">
        <v>0</v>
      </c>
      <c r="C3303" s="30">
        <v>22.679999999999996</v>
      </c>
      <c r="G3303" s="18"/>
    </row>
    <row r="3304" spans="1:7" x14ac:dyDescent="0.25">
      <c r="A3304" s="30">
        <v>0.26738709452648424</v>
      </c>
      <c r="B3304" s="30">
        <v>0</v>
      </c>
      <c r="C3304" s="30">
        <v>22.679999999999996</v>
      </c>
      <c r="G3304" s="18"/>
    </row>
    <row r="3305" spans="1:7" x14ac:dyDescent="0.25">
      <c r="A3305" s="30">
        <v>1.8509355650594252</v>
      </c>
      <c r="B3305" s="30">
        <v>0</v>
      </c>
      <c r="C3305" s="30">
        <v>22.679999999999996</v>
      </c>
      <c r="G3305" s="18"/>
    </row>
    <row r="3306" spans="1:7" x14ac:dyDescent="0.25">
      <c r="A3306" s="30">
        <v>0.58027111692260736</v>
      </c>
      <c r="B3306" s="30">
        <v>0</v>
      </c>
      <c r="C3306" s="30">
        <v>22.679999999999996</v>
      </c>
      <c r="G3306" s="18"/>
    </row>
    <row r="3307" spans="1:7" x14ac:dyDescent="0.25">
      <c r="A3307" s="30">
        <v>2.1052017329643826</v>
      </c>
      <c r="B3307" s="30">
        <v>0</v>
      </c>
      <c r="C3307" s="30">
        <v>22.679999999999996</v>
      </c>
      <c r="G3307" s="18"/>
    </row>
    <row r="3308" spans="1:7" x14ac:dyDescent="0.25">
      <c r="A3308" s="30">
        <v>0.26738951076787948</v>
      </c>
      <c r="B3308" s="30">
        <v>0</v>
      </c>
      <c r="C3308" s="30">
        <v>22.679999999999996</v>
      </c>
      <c r="G3308" s="18"/>
    </row>
    <row r="3309" spans="1:7" x14ac:dyDescent="0.25">
      <c r="A3309" s="30">
        <v>3.9820736203847497E-2</v>
      </c>
      <c r="B3309" s="30">
        <v>0</v>
      </c>
      <c r="C3309" s="30">
        <v>22.679999999999996</v>
      </c>
      <c r="G3309" s="18"/>
    </row>
    <row r="3310" spans="1:7" x14ac:dyDescent="0.25">
      <c r="A3310" s="30">
        <v>1.3954703217210729</v>
      </c>
      <c r="B3310" s="30">
        <v>0</v>
      </c>
      <c r="C3310" s="30">
        <v>22.679999999999996</v>
      </c>
      <c r="G3310" s="18"/>
    </row>
    <row r="3311" spans="1:7" x14ac:dyDescent="0.25">
      <c r="A3311" s="30">
        <v>0.20122143670677631</v>
      </c>
      <c r="B3311" s="30">
        <v>0</v>
      </c>
      <c r="C3311" s="30">
        <v>22.679999999999996</v>
      </c>
      <c r="G3311" s="18"/>
    </row>
    <row r="3312" spans="1:7" x14ac:dyDescent="0.25">
      <c r="A3312" s="30">
        <v>1.0760265465284597</v>
      </c>
      <c r="B3312" s="30">
        <v>0</v>
      </c>
      <c r="C3312" s="30">
        <v>22.679999999999996</v>
      </c>
      <c r="G3312" s="18"/>
    </row>
    <row r="3313" spans="1:7" x14ac:dyDescent="0.25">
      <c r="A3313" s="30">
        <v>1.8487468925160637</v>
      </c>
      <c r="B3313" s="30">
        <v>0</v>
      </c>
      <c r="C3313" s="30">
        <v>22.679999999999996</v>
      </c>
      <c r="G3313" s="18"/>
    </row>
    <row r="3314" spans="1:7" x14ac:dyDescent="0.25">
      <c r="A3314" s="30">
        <v>1.0896496226955743</v>
      </c>
      <c r="B3314" s="30">
        <v>0</v>
      </c>
      <c r="C3314" s="30">
        <v>22.679999999999996</v>
      </c>
      <c r="G3314" s="18"/>
    </row>
    <row r="3315" spans="1:7" x14ac:dyDescent="0.25">
      <c r="A3315" s="30">
        <v>1.6103548064774054</v>
      </c>
      <c r="B3315" s="30">
        <v>0</v>
      </c>
      <c r="C3315" s="30">
        <v>22.679999999999996</v>
      </c>
      <c r="G3315" s="18"/>
    </row>
    <row r="3316" spans="1:7" x14ac:dyDescent="0.25">
      <c r="A3316" s="30">
        <v>6.6204051056493782E-2</v>
      </c>
      <c r="B3316" s="30">
        <v>0</v>
      </c>
      <c r="C3316" s="30">
        <v>22.679999999999996</v>
      </c>
      <c r="G3316" s="18"/>
    </row>
    <row r="3317" spans="1:7" x14ac:dyDescent="0.25">
      <c r="A3317" s="30">
        <v>2.3925856324663526</v>
      </c>
      <c r="B3317" s="30">
        <v>0</v>
      </c>
      <c r="C3317" s="30">
        <v>9.52</v>
      </c>
      <c r="G3317" s="18"/>
    </row>
    <row r="3318" spans="1:7" x14ac:dyDescent="0.25">
      <c r="A3318" s="30">
        <v>1.0007217854965644</v>
      </c>
      <c r="B3318" s="30">
        <v>0</v>
      </c>
      <c r="C3318" s="30">
        <v>9.52</v>
      </c>
      <c r="G3318" s="18"/>
    </row>
    <row r="3319" spans="1:7" x14ac:dyDescent="0.25">
      <c r="A3319" s="30">
        <v>1.0267401197023687</v>
      </c>
      <c r="B3319" s="30">
        <v>0</v>
      </c>
      <c r="C3319" s="30">
        <v>9.52</v>
      </c>
      <c r="G3319" s="18"/>
    </row>
    <row r="3320" spans="1:7" x14ac:dyDescent="0.25">
      <c r="A3320" s="30">
        <v>0.15050204688107494</v>
      </c>
      <c r="B3320" s="30">
        <v>0</v>
      </c>
      <c r="C3320" s="30">
        <v>9.52</v>
      </c>
      <c r="G3320" s="18"/>
    </row>
    <row r="3321" spans="1:7" x14ac:dyDescent="0.25">
      <c r="A3321" s="30">
        <v>0.23847697686419389</v>
      </c>
      <c r="B3321" s="30">
        <v>0</v>
      </c>
      <c r="C3321" s="30">
        <v>9.52</v>
      </c>
      <c r="G3321" s="18"/>
    </row>
    <row r="3322" spans="1:7" x14ac:dyDescent="0.25">
      <c r="A3322" s="30">
        <v>0.49489125319317184</v>
      </c>
      <c r="B3322" s="30">
        <v>0</v>
      </c>
      <c r="C3322" s="30">
        <v>9.52</v>
      </c>
      <c r="G3322" s="18"/>
    </row>
    <row r="3323" spans="1:7" x14ac:dyDescent="0.25">
      <c r="A3323" s="30">
        <v>2.2068414364834763</v>
      </c>
      <c r="B3323" s="30">
        <v>0</v>
      </c>
      <c r="C3323" s="30">
        <v>9.52</v>
      </c>
      <c r="G3323" s="18"/>
    </row>
    <row r="3324" spans="1:7" x14ac:dyDescent="0.25">
      <c r="A3324" s="30">
        <v>1.2084611034550901</v>
      </c>
      <c r="B3324" s="30">
        <v>0</v>
      </c>
      <c r="C3324" s="30">
        <v>9.52</v>
      </c>
      <c r="G3324" s="18"/>
    </row>
    <row r="3325" spans="1:7" x14ac:dyDescent="0.25">
      <c r="A3325" s="30">
        <v>2.0898802436493136</v>
      </c>
      <c r="B3325" s="30">
        <v>0</v>
      </c>
      <c r="C3325" s="30">
        <v>9.52</v>
      </c>
      <c r="G3325" s="18"/>
    </row>
    <row r="3326" spans="1:7" x14ac:dyDescent="0.25">
      <c r="A3326" s="30">
        <v>8.9865171784819384E-2</v>
      </c>
      <c r="B3326" s="30">
        <v>0</v>
      </c>
      <c r="C3326" s="30">
        <v>9.52</v>
      </c>
      <c r="G3326" s="18"/>
    </row>
    <row r="3327" spans="1:7" x14ac:dyDescent="0.25">
      <c r="A3327" s="30">
        <v>0.947544027315114</v>
      </c>
      <c r="B3327" s="30">
        <v>0</v>
      </c>
      <c r="C3327" s="30">
        <v>9.52</v>
      </c>
      <c r="G3327" s="18"/>
    </row>
    <row r="3328" spans="1:7" x14ac:dyDescent="0.25">
      <c r="A3328" s="30">
        <v>0.21860812242365685</v>
      </c>
      <c r="B3328" s="30">
        <v>0</v>
      </c>
      <c r="C3328" s="30">
        <v>9.52</v>
      </c>
      <c r="G3328" s="18"/>
    </row>
    <row r="3329" spans="1:7" x14ac:dyDescent="0.25">
      <c r="A3329" s="30">
        <v>0.11573389651067903</v>
      </c>
      <c r="B3329" s="30">
        <v>0</v>
      </c>
      <c r="C3329" s="30">
        <v>9.52</v>
      </c>
      <c r="G3329" s="18"/>
    </row>
    <row r="3330" spans="1:7" x14ac:dyDescent="0.25">
      <c r="A3330" s="30">
        <v>1.029676041279701</v>
      </c>
      <c r="B3330" s="30">
        <v>0</v>
      </c>
      <c r="C3330" s="30">
        <v>9.52</v>
      </c>
      <c r="G3330" s="18"/>
    </row>
    <row r="3331" spans="1:7" x14ac:dyDescent="0.25">
      <c r="A3331" s="30">
        <v>1.6170457117448884</v>
      </c>
      <c r="B3331" s="30">
        <v>0</v>
      </c>
      <c r="C3331" s="30">
        <v>9.52</v>
      </c>
      <c r="G3331" s="18"/>
    </row>
    <row r="3332" spans="1:7" x14ac:dyDescent="0.25">
      <c r="A3332" s="30">
        <v>0.79869937344829789</v>
      </c>
      <c r="B3332" s="30">
        <v>0</v>
      </c>
      <c r="C3332" s="30">
        <v>9.52</v>
      </c>
      <c r="G3332" s="18"/>
    </row>
    <row r="3333" spans="1:7" x14ac:dyDescent="0.25">
      <c r="A3333" s="30">
        <v>0.3083754504497877</v>
      </c>
      <c r="B3333" s="30">
        <v>0</v>
      </c>
      <c r="C3333" s="30">
        <v>13.579999999999998</v>
      </c>
      <c r="G3333" s="18"/>
    </row>
    <row r="3334" spans="1:7" x14ac:dyDescent="0.25">
      <c r="A3334" s="30">
        <v>0.47017332207147505</v>
      </c>
      <c r="B3334" s="30">
        <v>0</v>
      </c>
      <c r="C3334" s="30">
        <v>13.579999999999998</v>
      </c>
      <c r="G3334" s="18"/>
    </row>
    <row r="3335" spans="1:7" x14ac:dyDescent="0.25">
      <c r="A3335" s="30">
        <v>0.61965466806285152</v>
      </c>
      <c r="B3335" s="30">
        <v>0</v>
      </c>
      <c r="C3335" s="30">
        <v>13.579999999999998</v>
      </c>
      <c r="G3335" s="18"/>
    </row>
    <row r="3336" spans="1:7" x14ac:dyDescent="0.25">
      <c r="A3336" s="30">
        <v>1.3358828767166222</v>
      </c>
      <c r="B3336" s="30">
        <v>0</v>
      </c>
      <c r="C3336" s="30">
        <v>13.579999999999998</v>
      </c>
      <c r="G3336" s="18"/>
    </row>
    <row r="3337" spans="1:7" x14ac:dyDescent="0.25">
      <c r="A3337" s="30">
        <v>0.18838616449079854</v>
      </c>
      <c r="B3337" s="30">
        <v>0</v>
      </c>
      <c r="C3337" s="30">
        <v>13.579999999999998</v>
      </c>
      <c r="G3337" s="18"/>
    </row>
    <row r="3338" spans="1:7" x14ac:dyDescent="0.25">
      <c r="A3338" s="30">
        <v>1.2746474712327525</v>
      </c>
      <c r="B3338" s="30">
        <v>0</v>
      </c>
      <c r="C3338" s="30">
        <v>13.579999999999998</v>
      </c>
      <c r="G3338" s="18"/>
    </row>
    <row r="3339" spans="1:7" x14ac:dyDescent="0.25">
      <c r="A3339" s="30">
        <v>1.1546989685280709</v>
      </c>
      <c r="B3339" s="30">
        <v>0</v>
      </c>
      <c r="C3339" s="30">
        <v>13.579999999999998</v>
      </c>
      <c r="G3339" s="18"/>
    </row>
    <row r="3340" spans="1:7" x14ac:dyDescent="0.25">
      <c r="A3340" s="30">
        <v>0.23458481732871542</v>
      </c>
      <c r="B3340" s="30">
        <v>0</v>
      </c>
      <c r="C3340" s="30">
        <v>13.579999999999998</v>
      </c>
      <c r="G3340" s="18"/>
    </row>
    <row r="3341" spans="1:7" x14ac:dyDescent="0.25">
      <c r="A3341" s="30">
        <v>1.634564648797681</v>
      </c>
      <c r="B3341" s="30">
        <v>0</v>
      </c>
      <c r="C3341" s="30">
        <v>13.579999999999998</v>
      </c>
      <c r="G3341" s="18"/>
    </row>
    <row r="3342" spans="1:7" x14ac:dyDescent="0.25">
      <c r="A3342" s="30">
        <v>1.367910615959816</v>
      </c>
      <c r="B3342" s="30">
        <v>0</v>
      </c>
      <c r="C3342" s="30">
        <v>13.579999999999998</v>
      </c>
      <c r="G3342" s="18"/>
    </row>
    <row r="3343" spans="1:7" x14ac:dyDescent="0.25">
      <c r="A3343" s="30">
        <v>1.7512208447439843</v>
      </c>
      <c r="B3343" s="30">
        <v>0</v>
      </c>
      <c r="C3343" s="30">
        <v>13.579999999999998</v>
      </c>
      <c r="G3343" s="18"/>
    </row>
    <row r="3344" spans="1:7" x14ac:dyDescent="0.25">
      <c r="A3344" s="30">
        <v>1.1030395791245999</v>
      </c>
      <c r="B3344" s="30">
        <v>0</v>
      </c>
      <c r="C3344" s="30">
        <v>13.579999999999998</v>
      </c>
      <c r="G3344" s="18"/>
    </row>
    <row r="3345" spans="1:7" x14ac:dyDescent="0.25">
      <c r="A3345" s="30">
        <v>0.39172072150889664</v>
      </c>
      <c r="B3345" s="30">
        <v>0</v>
      </c>
      <c r="C3345" s="30">
        <v>13.579999999999998</v>
      </c>
      <c r="G3345" s="18"/>
    </row>
    <row r="3346" spans="1:7" x14ac:dyDescent="0.25">
      <c r="A3346" s="30">
        <v>0.89232648575129425</v>
      </c>
      <c r="B3346" s="30">
        <v>0</v>
      </c>
      <c r="C3346" s="30">
        <v>13.579999999999998</v>
      </c>
      <c r="G3346" s="18"/>
    </row>
    <row r="3347" spans="1:7" x14ac:dyDescent="0.25">
      <c r="A3347" s="30">
        <v>0.80281052838883793</v>
      </c>
      <c r="B3347" s="30">
        <v>0</v>
      </c>
      <c r="C3347" s="30">
        <v>13.579999999999998</v>
      </c>
      <c r="G3347" s="18"/>
    </row>
    <row r="3348" spans="1:7" x14ac:dyDescent="0.25">
      <c r="A3348" s="30">
        <v>0.53339092125647003</v>
      </c>
      <c r="B3348" s="30">
        <v>0</v>
      </c>
      <c r="C3348" s="30">
        <v>13.579999999999998</v>
      </c>
      <c r="G3348" s="18"/>
    </row>
    <row r="3349" spans="1:7" x14ac:dyDescent="0.25">
      <c r="A3349" s="30">
        <v>1.0867826759544195</v>
      </c>
      <c r="B3349" s="30">
        <v>0</v>
      </c>
      <c r="C3349" s="30">
        <v>19.32</v>
      </c>
      <c r="G3349" s="18"/>
    </row>
    <row r="3350" spans="1:7" x14ac:dyDescent="0.25">
      <c r="A3350" s="30">
        <v>1.3118351316878105</v>
      </c>
      <c r="B3350" s="30">
        <v>0</v>
      </c>
      <c r="C3350" s="30">
        <v>19.32</v>
      </c>
      <c r="G3350" s="18"/>
    </row>
    <row r="3351" spans="1:7" x14ac:dyDescent="0.25">
      <c r="A3351" s="30">
        <v>1.8400241961320389</v>
      </c>
      <c r="B3351" s="30">
        <v>0</v>
      </c>
      <c r="C3351" s="30">
        <v>19.32</v>
      </c>
      <c r="G3351" s="18"/>
    </row>
    <row r="3352" spans="1:7" x14ac:dyDescent="0.25">
      <c r="A3352" s="30">
        <v>0.23137705586493224</v>
      </c>
      <c r="B3352" s="30">
        <v>0</v>
      </c>
      <c r="C3352" s="30">
        <v>19.32</v>
      </c>
      <c r="G3352" s="18"/>
    </row>
    <row r="3353" spans="1:7" x14ac:dyDescent="0.25">
      <c r="A3353" s="30">
        <v>2.8877207613487332E-2</v>
      </c>
      <c r="B3353" s="30">
        <v>0</v>
      </c>
      <c r="C3353" s="30">
        <v>19.32</v>
      </c>
      <c r="G3353" s="18"/>
    </row>
    <row r="3354" spans="1:7" x14ac:dyDescent="0.25">
      <c r="A3354" s="30">
        <v>2.2986159203651258E-2</v>
      </c>
      <c r="B3354" s="30">
        <v>0</v>
      </c>
      <c r="C3354" s="30">
        <v>19.32</v>
      </c>
      <c r="G3354" s="18"/>
    </row>
    <row r="3355" spans="1:7" x14ac:dyDescent="0.25">
      <c r="A3355" s="30">
        <v>2.3700832313905806</v>
      </c>
      <c r="B3355" s="30">
        <v>0</v>
      </c>
      <c r="C3355" s="30">
        <v>19.32</v>
      </c>
      <c r="G3355" s="18"/>
    </row>
    <row r="3356" spans="1:7" x14ac:dyDescent="0.25">
      <c r="A3356" s="30">
        <v>0.77751299783717831</v>
      </c>
      <c r="B3356" s="30">
        <v>0</v>
      </c>
      <c r="C3356" s="30">
        <v>19.32</v>
      </c>
      <c r="G3356" s="18"/>
    </row>
    <row r="3357" spans="1:7" x14ac:dyDescent="0.25">
      <c r="A3357" s="30">
        <v>1.0181539805052915</v>
      </c>
      <c r="B3357" s="30">
        <v>0</v>
      </c>
      <c r="C3357" s="30">
        <v>19.32</v>
      </c>
      <c r="G3357" s="18"/>
    </row>
    <row r="3358" spans="1:7" x14ac:dyDescent="0.25">
      <c r="A3358" s="30">
        <v>1.29895638861382</v>
      </c>
      <c r="B3358" s="30">
        <v>0</v>
      </c>
      <c r="C3358" s="30">
        <v>19.32</v>
      </c>
      <c r="G3358" s="18"/>
    </row>
    <row r="3359" spans="1:7" x14ac:dyDescent="0.25">
      <c r="A3359" s="30">
        <v>1.3343622565908135</v>
      </c>
      <c r="B3359" s="30">
        <v>0</v>
      </c>
      <c r="C3359" s="30">
        <v>19.32</v>
      </c>
      <c r="G3359" s="18"/>
    </row>
    <row r="3360" spans="1:7" x14ac:dyDescent="0.25">
      <c r="A3360" s="30">
        <v>0.39834998857756898</v>
      </c>
      <c r="B3360" s="30">
        <v>0</v>
      </c>
      <c r="C3360" s="30">
        <v>19.32</v>
      </c>
      <c r="G3360" s="18"/>
    </row>
    <row r="3361" spans="1:7" x14ac:dyDescent="0.25">
      <c r="A3361" s="30">
        <v>0.4990892026225458</v>
      </c>
      <c r="B3361" s="30">
        <v>0</v>
      </c>
      <c r="C3361" s="30">
        <v>19.32</v>
      </c>
      <c r="G3361" s="18"/>
    </row>
    <row r="3362" spans="1:7" x14ac:dyDescent="0.25">
      <c r="A3362" s="30">
        <v>0.3195414733364933</v>
      </c>
      <c r="B3362" s="30">
        <v>0</v>
      </c>
      <c r="C3362" s="30">
        <v>19.32</v>
      </c>
      <c r="G3362" s="18"/>
    </row>
    <row r="3363" spans="1:7" x14ac:dyDescent="0.25">
      <c r="A3363" s="30">
        <v>1.6934430158910019</v>
      </c>
      <c r="B3363" s="30">
        <v>0</v>
      </c>
      <c r="C3363" s="30">
        <v>19.32</v>
      </c>
      <c r="G3363" s="18"/>
    </row>
    <row r="3364" spans="1:7" x14ac:dyDescent="0.25">
      <c r="A3364" s="30">
        <v>0.69998865719806014</v>
      </c>
      <c r="B3364" s="30">
        <v>0</v>
      </c>
      <c r="C3364" s="30">
        <v>19.32</v>
      </c>
      <c r="G3364" s="18"/>
    </row>
    <row r="3365" spans="1:7" x14ac:dyDescent="0.25">
      <c r="A3365" s="30">
        <v>0.7448646421721008</v>
      </c>
      <c r="B3365" s="30">
        <v>0</v>
      </c>
      <c r="C3365" s="30">
        <v>21.7</v>
      </c>
      <c r="G3365" s="18"/>
    </row>
    <row r="3366" spans="1:7" x14ac:dyDescent="0.25">
      <c r="A3366" s="30">
        <v>0.74396744213996135</v>
      </c>
      <c r="B3366" s="30">
        <v>0</v>
      </c>
      <c r="C3366" s="30">
        <v>21.7</v>
      </c>
      <c r="G3366" s="18"/>
    </row>
    <row r="3367" spans="1:7" x14ac:dyDescent="0.25">
      <c r="A3367" s="30">
        <v>0.83258487781693513</v>
      </c>
      <c r="B3367" s="30">
        <v>0</v>
      </c>
      <c r="C3367" s="30">
        <v>21.7</v>
      </c>
      <c r="G3367" s="18"/>
    </row>
    <row r="3368" spans="1:7" x14ac:dyDescent="0.25">
      <c r="A3368" s="30">
        <v>0.63193003059373543</v>
      </c>
      <c r="B3368" s="30">
        <v>0</v>
      </c>
      <c r="C3368" s="30">
        <v>21.7</v>
      </c>
      <c r="G3368" s="18"/>
    </row>
    <row r="3369" spans="1:7" x14ac:dyDescent="0.25">
      <c r="A3369" s="30">
        <v>1.6091078957763525</v>
      </c>
      <c r="B3369" s="30">
        <v>0</v>
      </c>
      <c r="C3369" s="30">
        <v>21.7</v>
      </c>
      <c r="G3369" s="18"/>
    </row>
    <row r="3370" spans="1:7" x14ac:dyDescent="0.25">
      <c r="A3370" s="30">
        <v>0.3313338817911024</v>
      </c>
      <c r="B3370" s="30">
        <v>0</v>
      </c>
      <c r="C3370" s="30">
        <v>21.7</v>
      </c>
      <c r="G3370" s="18"/>
    </row>
    <row r="3371" spans="1:7" x14ac:dyDescent="0.25">
      <c r="A3371" s="30">
        <v>2.132915455926375</v>
      </c>
      <c r="B3371" s="30">
        <v>0</v>
      </c>
      <c r="C3371" s="30">
        <v>21.7</v>
      </c>
      <c r="G3371" s="18"/>
    </row>
    <row r="3372" spans="1:7" x14ac:dyDescent="0.25">
      <c r="A3372" s="30">
        <v>0.56286250289305229</v>
      </c>
      <c r="B3372" s="30">
        <v>0</v>
      </c>
      <c r="C3372" s="30">
        <v>21.7</v>
      </c>
      <c r="G3372" s="18"/>
    </row>
    <row r="3373" spans="1:7" x14ac:dyDescent="0.25">
      <c r="A3373" s="30">
        <v>0.76968757696211099</v>
      </c>
      <c r="B3373" s="30">
        <v>0</v>
      </c>
      <c r="C3373" s="30">
        <v>21.7</v>
      </c>
      <c r="G3373" s="18"/>
    </row>
    <row r="3374" spans="1:7" x14ac:dyDescent="0.25">
      <c r="A3374" s="30">
        <v>1.3535800424395226</v>
      </c>
      <c r="B3374" s="30">
        <v>0</v>
      </c>
      <c r="C3374" s="30">
        <v>21.7</v>
      </c>
      <c r="G3374" s="18"/>
    </row>
    <row r="3375" spans="1:7" x14ac:dyDescent="0.25">
      <c r="A3375" s="30">
        <v>0.83631808783879502</v>
      </c>
      <c r="B3375" s="30">
        <v>0</v>
      </c>
      <c r="C3375" s="30">
        <v>21.7</v>
      </c>
      <c r="G3375" s="18"/>
    </row>
    <row r="3376" spans="1:7" x14ac:dyDescent="0.25">
      <c r="A3376" s="30">
        <v>0.30503268862775867</v>
      </c>
      <c r="B3376" s="30">
        <v>0</v>
      </c>
      <c r="C3376" s="30">
        <v>21.7</v>
      </c>
      <c r="G3376" s="18"/>
    </row>
    <row r="3377" spans="1:7" x14ac:dyDescent="0.25">
      <c r="A3377" s="30">
        <v>2.0706084585076359</v>
      </c>
      <c r="B3377" s="30">
        <v>0</v>
      </c>
      <c r="C3377" s="30">
        <v>21.7</v>
      </c>
      <c r="G3377" s="18"/>
    </row>
    <row r="3378" spans="1:7" x14ac:dyDescent="0.25">
      <c r="A3378" s="30">
        <v>0.15432020425751419</v>
      </c>
      <c r="B3378" s="30">
        <v>0</v>
      </c>
      <c r="C3378" s="30">
        <v>21.7</v>
      </c>
      <c r="G3378" s="18"/>
    </row>
    <row r="3379" spans="1:7" x14ac:dyDescent="0.25">
      <c r="A3379" s="30">
        <v>1.6461669816026485</v>
      </c>
      <c r="B3379" s="30">
        <v>0</v>
      </c>
      <c r="C3379" s="30">
        <v>21.7</v>
      </c>
      <c r="G3379" s="18"/>
    </row>
    <row r="3380" spans="1:7" x14ac:dyDescent="0.25">
      <c r="A3380" s="30">
        <v>0.3469808445490703</v>
      </c>
      <c r="B3380" s="30">
        <v>0</v>
      </c>
      <c r="C3380" s="30">
        <v>9.52</v>
      </c>
      <c r="G3380" s="18"/>
    </row>
    <row r="3381" spans="1:7" x14ac:dyDescent="0.25">
      <c r="A3381" s="30">
        <v>0.78979919884694261</v>
      </c>
      <c r="B3381" s="30">
        <v>0</v>
      </c>
      <c r="C3381" s="30">
        <v>9.52</v>
      </c>
      <c r="G3381" s="18"/>
    </row>
    <row r="3382" spans="1:7" x14ac:dyDescent="0.25">
      <c r="A3382" s="30">
        <v>0.90048229256107493</v>
      </c>
      <c r="B3382" s="30">
        <v>0</v>
      </c>
      <c r="C3382" s="30">
        <v>9.52</v>
      </c>
      <c r="G3382" s="18"/>
    </row>
    <row r="3383" spans="1:7" x14ac:dyDescent="0.25">
      <c r="A3383" s="30">
        <v>1.9454736417442391</v>
      </c>
      <c r="B3383" s="30">
        <v>0</v>
      </c>
      <c r="C3383" s="30">
        <v>9.52</v>
      </c>
      <c r="G3383" s="18"/>
    </row>
    <row r="3384" spans="1:7" x14ac:dyDescent="0.25">
      <c r="A3384" s="30">
        <v>0.70918476646695516</v>
      </c>
      <c r="B3384" s="30">
        <v>0</v>
      </c>
      <c r="C3384" s="30">
        <v>9.52</v>
      </c>
      <c r="G3384" s="18"/>
    </row>
    <row r="3385" spans="1:7" x14ac:dyDescent="0.25">
      <c r="A3385" s="30">
        <v>0.78088190877918517</v>
      </c>
      <c r="B3385" s="30">
        <v>0</v>
      </c>
      <c r="C3385" s="30">
        <v>9.52</v>
      </c>
      <c r="G3385" s="18"/>
    </row>
    <row r="3386" spans="1:7" x14ac:dyDescent="0.25">
      <c r="A3386" s="30">
        <v>0.76407872339278482</v>
      </c>
      <c r="B3386" s="30">
        <v>0</v>
      </c>
      <c r="C3386" s="30">
        <v>9.52</v>
      </c>
      <c r="G3386" s="18"/>
    </row>
    <row r="3387" spans="1:7" x14ac:dyDescent="0.25">
      <c r="A3387" s="30">
        <v>1.7396992611577395</v>
      </c>
      <c r="B3387" s="30">
        <v>0</v>
      </c>
      <c r="C3387" s="30">
        <v>9.52</v>
      </c>
      <c r="G3387" s="18"/>
    </row>
    <row r="3388" spans="1:7" x14ac:dyDescent="0.25">
      <c r="A3388" s="30">
        <v>1.7884791786574206E-2</v>
      </c>
      <c r="B3388" s="30">
        <v>0</v>
      </c>
      <c r="C3388" s="30">
        <v>9.52</v>
      </c>
      <c r="G3388" s="18"/>
    </row>
    <row r="3389" spans="1:7" x14ac:dyDescent="0.25">
      <c r="A3389" s="30">
        <v>0.81452985677089718</v>
      </c>
      <c r="B3389" s="30">
        <v>0</v>
      </c>
      <c r="C3389" s="30">
        <v>9.52</v>
      </c>
      <c r="G3389" s="18"/>
    </row>
    <row r="3390" spans="1:7" x14ac:dyDescent="0.25">
      <c r="A3390" s="30">
        <v>1.0092043501386283</v>
      </c>
      <c r="B3390" s="30">
        <v>0</v>
      </c>
      <c r="C3390" s="30">
        <v>9.52</v>
      </c>
      <c r="G3390" s="18"/>
    </row>
    <row r="3391" spans="1:7" x14ac:dyDescent="0.25">
      <c r="A3391" s="30">
        <v>0.65436928427331054</v>
      </c>
      <c r="B3391" s="30">
        <v>0</v>
      </c>
      <c r="C3391" s="30">
        <v>9.52</v>
      </c>
      <c r="G3391" s="18"/>
    </row>
    <row r="3392" spans="1:7" x14ac:dyDescent="0.25">
      <c r="A3392" s="30">
        <v>0.61281872594417863</v>
      </c>
      <c r="B3392" s="30">
        <v>0</v>
      </c>
      <c r="C3392" s="30">
        <v>9.52</v>
      </c>
      <c r="G3392" s="18"/>
    </row>
    <row r="3393" spans="1:7" x14ac:dyDescent="0.25">
      <c r="A3393" s="30">
        <v>0.30025009183733831</v>
      </c>
      <c r="B3393" s="30">
        <v>0</v>
      </c>
      <c r="C3393" s="30">
        <v>9.52</v>
      </c>
      <c r="G3393" s="18"/>
    </row>
    <row r="3394" spans="1:7" x14ac:dyDescent="0.25">
      <c r="A3394" s="30">
        <v>0.43705487768122514</v>
      </c>
      <c r="B3394" s="30">
        <v>0</v>
      </c>
      <c r="C3394" s="30">
        <v>9.52</v>
      </c>
      <c r="G3394" s="18"/>
    </row>
    <row r="3395" spans="1:7" x14ac:dyDescent="0.25">
      <c r="A3395" s="30">
        <v>1.488472645666554</v>
      </c>
      <c r="B3395" s="30">
        <v>0</v>
      </c>
      <c r="C3395" s="30">
        <v>9.52</v>
      </c>
      <c r="G3395" s="18"/>
    </row>
    <row r="3396" spans="1:7" x14ac:dyDescent="0.25">
      <c r="A3396" s="30">
        <v>0.2078539024150606</v>
      </c>
      <c r="B3396" s="30">
        <v>0</v>
      </c>
      <c r="C3396" s="30">
        <v>19.32</v>
      </c>
      <c r="G3396" s="18"/>
    </row>
    <row r="3397" spans="1:7" x14ac:dyDescent="0.25">
      <c r="A3397" s="30">
        <v>1.2194046862303776</v>
      </c>
      <c r="B3397" s="30">
        <v>0</v>
      </c>
      <c r="C3397" s="30">
        <v>19.32</v>
      </c>
      <c r="G3397" s="18"/>
    </row>
    <row r="3398" spans="1:7" x14ac:dyDescent="0.25">
      <c r="A3398" s="30">
        <v>0.36193059958001222</v>
      </c>
      <c r="B3398" s="30">
        <v>0</v>
      </c>
      <c r="C3398" s="30">
        <v>19.32</v>
      </c>
      <c r="G3398" s="18"/>
    </row>
    <row r="3399" spans="1:7" x14ac:dyDescent="0.25">
      <c r="A3399" s="30">
        <v>1.9168499905798306</v>
      </c>
      <c r="B3399" s="30">
        <v>0</v>
      </c>
      <c r="C3399" s="30">
        <v>19.32</v>
      </c>
      <c r="G3399" s="18"/>
    </row>
    <row r="3400" spans="1:7" x14ac:dyDescent="0.25">
      <c r="A3400" s="30">
        <v>0.23565370935923066</v>
      </c>
      <c r="B3400" s="30">
        <v>0</v>
      </c>
      <c r="C3400" s="30">
        <v>19.32</v>
      </c>
      <c r="G3400" s="18"/>
    </row>
    <row r="3401" spans="1:7" x14ac:dyDescent="0.25">
      <c r="A3401" s="30">
        <v>1.7051690391983549</v>
      </c>
      <c r="B3401" s="30">
        <v>0</v>
      </c>
      <c r="C3401" s="30">
        <v>19.32</v>
      </c>
      <c r="G3401" s="18"/>
    </row>
    <row r="3402" spans="1:7" x14ac:dyDescent="0.25">
      <c r="A3402" s="30">
        <v>0.29507230314033561</v>
      </c>
      <c r="B3402" s="30">
        <v>0</v>
      </c>
      <c r="C3402" s="30">
        <v>19.32</v>
      </c>
      <c r="G3402" s="18"/>
    </row>
    <row r="3403" spans="1:7" x14ac:dyDescent="0.25">
      <c r="A3403" s="30">
        <v>0.48242639539061927</v>
      </c>
      <c r="B3403" s="30">
        <v>0</v>
      </c>
      <c r="C3403" s="30">
        <v>19.32</v>
      </c>
      <c r="G3403" s="18"/>
    </row>
    <row r="3404" spans="1:7" x14ac:dyDescent="0.25">
      <c r="A3404" s="30">
        <v>0.71806542369014537</v>
      </c>
      <c r="B3404" s="30">
        <v>0</v>
      </c>
      <c r="C3404" s="30">
        <v>19.32</v>
      </c>
      <c r="G3404" s="18"/>
    </row>
    <row r="3405" spans="1:7" x14ac:dyDescent="0.25">
      <c r="A3405" s="30">
        <v>0.70305631501768651</v>
      </c>
      <c r="B3405" s="30">
        <v>0</v>
      </c>
      <c r="C3405" s="30">
        <v>19.32</v>
      </c>
      <c r="G3405" s="18"/>
    </row>
    <row r="3406" spans="1:7" x14ac:dyDescent="0.25">
      <c r="A3406" s="30">
        <v>0.4949708114055017</v>
      </c>
      <c r="B3406" s="30">
        <v>0</v>
      </c>
      <c r="C3406" s="30">
        <v>19.32</v>
      </c>
      <c r="G3406" s="18"/>
    </row>
    <row r="3407" spans="1:7" x14ac:dyDescent="0.25">
      <c r="A3407" s="30">
        <v>2.2318759112200977</v>
      </c>
      <c r="B3407" s="30">
        <v>0</v>
      </c>
      <c r="C3407" s="30">
        <v>19.32</v>
      </c>
      <c r="G3407" s="18"/>
    </row>
    <row r="3408" spans="1:7" x14ac:dyDescent="0.25">
      <c r="A3408" s="30">
        <v>0.46815344518001539</v>
      </c>
      <c r="B3408" s="30">
        <v>0</v>
      </c>
      <c r="C3408" s="30">
        <v>19.32</v>
      </c>
      <c r="G3408" s="18"/>
    </row>
    <row r="3409" spans="1:7" x14ac:dyDescent="0.25">
      <c r="A3409" s="30">
        <v>1.1320877081646874</v>
      </c>
      <c r="B3409" s="30">
        <v>0</v>
      </c>
      <c r="C3409" s="30">
        <v>19.32</v>
      </c>
      <c r="G3409" s="18"/>
    </row>
    <row r="3410" spans="1:7" x14ac:dyDescent="0.25">
      <c r="A3410" s="30">
        <v>0.42385885587189476</v>
      </c>
      <c r="B3410" s="30">
        <v>0</v>
      </c>
      <c r="C3410" s="30">
        <v>19.32</v>
      </c>
      <c r="G3410" s="18"/>
    </row>
    <row r="3411" spans="1:7" x14ac:dyDescent="0.25">
      <c r="A3411" s="30">
        <v>1.3237569297551755E-2</v>
      </c>
      <c r="B3411" s="30">
        <v>0</v>
      </c>
      <c r="C3411" s="30">
        <v>19.32</v>
      </c>
      <c r="G3411" s="18"/>
    </row>
    <row r="3412" spans="1:7" x14ac:dyDescent="0.25">
      <c r="A3412" s="30">
        <v>0.80712449454066471</v>
      </c>
      <c r="B3412" s="30">
        <v>0</v>
      </c>
      <c r="C3412" s="30">
        <v>25.759999999999998</v>
      </c>
      <c r="G3412" s="18"/>
    </row>
    <row r="3413" spans="1:7" x14ac:dyDescent="0.25">
      <c r="A3413" s="30">
        <v>1.7129892221784382</v>
      </c>
      <c r="B3413" s="30">
        <v>0</v>
      </c>
      <c r="C3413" s="30">
        <v>25.759999999999998</v>
      </c>
      <c r="G3413" s="18"/>
    </row>
    <row r="3414" spans="1:7" x14ac:dyDescent="0.25">
      <c r="A3414" s="30">
        <v>1.1996021398761623</v>
      </c>
      <c r="B3414" s="30">
        <v>0</v>
      </c>
      <c r="C3414" s="30">
        <v>25.759999999999998</v>
      </c>
      <c r="G3414" s="18"/>
    </row>
    <row r="3415" spans="1:7" x14ac:dyDescent="0.25">
      <c r="A3415" s="30">
        <v>1.7715546825255424</v>
      </c>
      <c r="B3415" s="30">
        <v>0</v>
      </c>
      <c r="C3415" s="30">
        <v>25.759999999999998</v>
      </c>
      <c r="G3415" s="18"/>
    </row>
    <row r="3416" spans="1:7" x14ac:dyDescent="0.25">
      <c r="A3416" s="30">
        <v>7.5798267128624587E-3</v>
      </c>
      <c r="B3416" s="30">
        <v>0</v>
      </c>
      <c r="C3416" s="30">
        <v>25.759999999999998</v>
      </c>
      <c r="G3416" s="18"/>
    </row>
    <row r="3417" spans="1:7" x14ac:dyDescent="0.25">
      <c r="A3417" s="30">
        <v>1.6937346506912057</v>
      </c>
      <c r="B3417" s="30">
        <v>0</v>
      </c>
      <c r="C3417" s="30">
        <v>25.759999999999998</v>
      </c>
      <c r="G3417" s="18"/>
    </row>
    <row r="3418" spans="1:7" x14ac:dyDescent="0.25">
      <c r="A3418" s="30">
        <v>0.31966517177575404</v>
      </c>
      <c r="B3418" s="30">
        <v>0</v>
      </c>
      <c r="C3418" s="30">
        <v>25.759999999999998</v>
      </c>
      <c r="G3418" s="18"/>
    </row>
    <row r="3419" spans="1:7" x14ac:dyDescent="0.25">
      <c r="A3419" s="30">
        <v>1.2050916710490156</v>
      </c>
      <c r="B3419" s="30">
        <v>0</v>
      </c>
      <c r="C3419" s="30">
        <v>25.759999999999998</v>
      </c>
      <c r="G3419" s="18"/>
    </row>
    <row r="3420" spans="1:7" x14ac:dyDescent="0.25">
      <c r="A3420" s="30">
        <v>1.2276324457840908</v>
      </c>
      <c r="B3420" s="30">
        <v>0</v>
      </c>
      <c r="C3420" s="30">
        <v>25.759999999999998</v>
      </c>
      <c r="G3420" s="18"/>
    </row>
    <row r="3421" spans="1:7" x14ac:dyDescent="0.25">
      <c r="A3421" s="30">
        <v>1.7146682259913717</v>
      </c>
      <c r="B3421" s="30">
        <v>0</v>
      </c>
      <c r="C3421" s="30">
        <v>25.759999999999998</v>
      </c>
      <c r="G3421" s="18"/>
    </row>
    <row r="3422" spans="1:7" x14ac:dyDescent="0.25">
      <c r="A3422" s="30">
        <v>0.44575760019257749</v>
      </c>
      <c r="B3422" s="30">
        <v>0</v>
      </c>
      <c r="C3422" s="30">
        <v>25.759999999999998</v>
      </c>
      <c r="G3422" s="18"/>
    </row>
    <row r="3423" spans="1:7" x14ac:dyDescent="0.25">
      <c r="A3423" s="30">
        <v>0.42232253947135012</v>
      </c>
      <c r="B3423" s="30">
        <v>0</v>
      </c>
      <c r="C3423" s="30">
        <v>25.759999999999998</v>
      </c>
      <c r="G3423" s="18"/>
    </row>
    <row r="3424" spans="1:7" x14ac:dyDescent="0.25">
      <c r="A3424" s="30">
        <v>0.51267606691655676</v>
      </c>
      <c r="B3424" s="30">
        <v>0</v>
      </c>
      <c r="C3424" s="30">
        <v>25.759999999999998</v>
      </c>
      <c r="G3424" s="18"/>
    </row>
    <row r="3425" spans="1:7" x14ac:dyDescent="0.25">
      <c r="A3425" s="30">
        <v>1.353169649003418</v>
      </c>
      <c r="B3425" s="30">
        <v>0</v>
      </c>
      <c r="C3425" s="30">
        <v>25.759999999999998</v>
      </c>
      <c r="G3425" s="18"/>
    </row>
    <row r="3426" spans="1:7" x14ac:dyDescent="0.25">
      <c r="A3426" s="30">
        <v>0.8729840032526347</v>
      </c>
      <c r="B3426" s="30">
        <v>0</v>
      </c>
      <c r="C3426" s="30">
        <v>25.759999999999998</v>
      </c>
      <c r="G3426" s="18"/>
    </row>
    <row r="3427" spans="1:7" x14ac:dyDescent="0.25">
      <c r="A3427" s="30">
        <v>1.5228779379469561</v>
      </c>
      <c r="B3427" s="30">
        <v>0</v>
      </c>
      <c r="C3427" s="30">
        <v>25.759999999999998</v>
      </c>
      <c r="G3427" s="18"/>
    </row>
    <row r="3428" spans="1:7" x14ac:dyDescent="0.25">
      <c r="A3428" s="30">
        <v>0.34352401236719776</v>
      </c>
      <c r="B3428" s="30">
        <v>0</v>
      </c>
      <c r="C3428" s="30">
        <v>25.759999999999998</v>
      </c>
      <c r="G3428" s="18"/>
    </row>
    <row r="3429" spans="1:7" x14ac:dyDescent="0.25">
      <c r="A3429" s="30">
        <v>1.1168873511693933</v>
      </c>
      <c r="B3429" s="30">
        <v>0</v>
      </c>
      <c r="C3429" s="30">
        <v>17.36</v>
      </c>
      <c r="G3429" s="18"/>
    </row>
    <row r="3430" spans="1:7" x14ac:dyDescent="0.25">
      <c r="A3430" s="30">
        <v>0.3307787551481286</v>
      </c>
      <c r="B3430" s="30">
        <v>0</v>
      </c>
      <c r="C3430" s="30">
        <v>17.36</v>
      </c>
      <c r="G3430" s="18"/>
    </row>
    <row r="3431" spans="1:7" x14ac:dyDescent="0.25">
      <c r="A3431" s="30">
        <v>1.5254512250060734</v>
      </c>
      <c r="B3431" s="30">
        <v>0</v>
      </c>
      <c r="C3431" s="30">
        <v>17.36</v>
      </c>
      <c r="G3431" s="18"/>
    </row>
    <row r="3432" spans="1:7" x14ac:dyDescent="0.25">
      <c r="A3432" s="30">
        <v>0.23781639682861505</v>
      </c>
      <c r="B3432" s="30">
        <v>0</v>
      </c>
      <c r="C3432" s="30">
        <v>17.36</v>
      </c>
      <c r="G3432" s="18"/>
    </row>
    <row r="3433" spans="1:7" x14ac:dyDescent="0.25">
      <c r="A3433" s="30">
        <v>1.374891522977548</v>
      </c>
      <c r="B3433" s="30">
        <v>0</v>
      </c>
      <c r="C3433" s="30">
        <v>17.36</v>
      </c>
      <c r="G3433" s="18"/>
    </row>
    <row r="3434" spans="1:7" x14ac:dyDescent="0.25">
      <c r="A3434" s="30">
        <v>0.54928142044487538</v>
      </c>
      <c r="B3434" s="30">
        <v>0</v>
      </c>
      <c r="C3434" s="30">
        <v>17.36</v>
      </c>
      <c r="G3434" s="18"/>
    </row>
    <row r="3435" spans="1:7" x14ac:dyDescent="0.25">
      <c r="A3435" s="30">
        <v>1.5275807089087137</v>
      </c>
      <c r="B3435" s="30">
        <v>0</v>
      </c>
      <c r="C3435" s="30">
        <v>17.36</v>
      </c>
      <c r="G3435" s="18"/>
    </row>
    <row r="3436" spans="1:7" x14ac:dyDescent="0.25">
      <c r="A3436" s="30">
        <v>1.0031166305235428</v>
      </c>
      <c r="B3436" s="30">
        <v>0</v>
      </c>
      <c r="C3436" s="30">
        <v>17.36</v>
      </c>
      <c r="G3436" s="18"/>
    </row>
    <row r="3437" spans="1:7" x14ac:dyDescent="0.25">
      <c r="A3437" s="30">
        <v>0.9923623317161292</v>
      </c>
      <c r="B3437" s="30">
        <v>0</v>
      </c>
      <c r="C3437" s="30">
        <v>17.36</v>
      </c>
      <c r="G3437" s="18"/>
    </row>
    <row r="3438" spans="1:7" x14ac:dyDescent="0.25">
      <c r="A3438" s="30">
        <v>1.1325613699473058</v>
      </c>
      <c r="B3438" s="30">
        <v>0</v>
      </c>
      <c r="C3438" s="30">
        <v>17.36</v>
      </c>
      <c r="G3438" s="18"/>
    </row>
    <row r="3439" spans="1:7" x14ac:dyDescent="0.25">
      <c r="A3439" s="30">
        <v>1.7982835914925723</v>
      </c>
      <c r="B3439" s="30">
        <v>0</v>
      </c>
      <c r="C3439" s="30">
        <v>17.36</v>
      </c>
      <c r="G3439" s="18"/>
    </row>
    <row r="3440" spans="1:7" x14ac:dyDescent="0.25">
      <c r="A3440" s="30">
        <v>1.235736731023106</v>
      </c>
      <c r="B3440" s="30">
        <v>0</v>
      </c>
      <c r="C3440" s="30">
        <v>17.36</v>
      </c>
      <c r="G3440" s="18"/>
    </row>
    <row r="3441" spans="1:7" x14ac:dyDescent="0.25">
      <c r="A3441" s="30">
        <v>1.0211083364487437</v>
      </c>
      <c r="B3441" s="30">
        <v>0</v>
      </c>
      <c r="C3441" s="30">
        <v>17.36</v>
      </c>
      <c r="G3441" s="18"/>
    </row>
    <row r="3442" spans="1:7" x14ac:dyDescent="0.25">
      <c r="A3442" s="30">
        <v>1.3665134001961843</v>
      </c>
      <c r="B3442" s="30">
        <v>0</v>
      </c>
      <c r="C3442" s="30">
        <v>17.36</v>
      </c>
      <c r="G3442" s="18"/>
    </row>
    <row r="3443" spans="1:7" x14ac:dyDescent="0.25">
      <c r="A3443" s="30">
        <v>2.197299574390295</v>
      </c>
      <c r="B3443" s="30">
        <v>0</v>
      </c>
      <c r="C3443" s="30">
        <v>17.36</v>
      </c>
      <c r="G3443" s="18"/>
    </row>
    <row r="3444" spans="1:7" x14ac:dyDescent="0.25">
      <c r="A3444" s="30">
        <v>0.39279304937633935</v>
      </c>
      <c r="B3444" s="30">
        <v>0</v>
      </c>
      <c r="C3444" s="30">
        <v>17.36</v>
      </c>
      <c r="G3444" s="18"/>
    </row>
    <row r="3445" spans="1:7" x14ac:dyDescent="0.25">
      <c r="A3445" s="30">
        <v>1.7511319663390026</v>
      </c>
      <c r="B3445" s="30">
        <v>0</v>
      </c>
      <c r="C3445" s="30">
        <v>16.52</v>
      </c>
      <c r="G3445" s="18"/>
    </row>
    <row r="3446" spans="1:7" x14ac:dyDescent="0.25">
      <c r="A3446" s="30">
        <v>0.46422620508218537</v>
      </c>
      <c r="B3446" s="30">
        <v>0</v>
      </c>
      <c r="C3446" s="30">
        <v>16.52</v>
      </c>
      <c r="G3446" s="18"/>
    </row>
    <row r="3447" spans="1:7" x14ac:dyDescent="0.25">
      <c r="A3447" s="30">
        <v>0.16525721810263932</v>
      </c>
      <c r="B3447" s="30">
        <v>0</v>
      </c>
      <c r="C3447" s="30">
        <v>16.52</v>
      </c>
      <c r="G3447" s="18"/>
    </row>
    <row r="3448" spans="1:7" x14ac:dyDescent="0.25">
      <c r="A3448" s="30">
        <v>1.2875597292943801</v>
      </c>
      <c r="B3448" s="30">
        <v>0</v>
      </c>
      <c r="C3448" s="30">
        <v>16.52</v>
      </c>
      <c r="G3448" s="18"/>
    </row>
    <row r="3449" spans="1:7" x14ac:dyDescent="0.25">
      <c r="A3449" s="30">
        <v>0.28696520509578916</v>
      </c>
      <c r="B3449" s="30">
        <v>0</v>
      </c>
      <c r="C3449" s="30">
        <v>16.52</v>
      </c>
      <c r="G3449" s="18"/>
    </row>
    <row r="3450" spans="1:7" x14ac:dyDescent="0.25">
      <c r="A3450" s="30">
        <v>0.20083743930850612</v>
      </c>
      <c r="B3450" s="30">
        <v>0</v>
      </c>
      <c r="C3450" s="30">
        <v>16.52</v>
      </c>
      <c r="G3450" s="18"/>
    </row>
    <row r="3451" spans="1:7" x14ac:dyDescent="0.25">
      <c r="A3451" s="30">
        <v>1.7292343665288414</v>
      </c>
      <c r="B3451" s="30">
        <v>0</v>
      </c>
      <c r="C3451" s="30">
        <v>16.52</v>
      </c>
      <c r="G3451" s="18"/>
    </row>
    <row r="3452" spans="1:7" x14ac:dyDescent="0.25">
      <c r="A3452" s="30">
        <v>1.0073804588441964</v>
      </c>
      <c r="B3452" s="30">
        <v>0</v>
      </c>
      <c r="C3452" s="30">
        <v>16.52</v>
      </c>
      <c r="G3452" s="18"/>
    </row>
    <row r="3453" spans="1:7" x14ac:dyDescent="0.25">
      <c r="A3453" s="30">
        <v>1.1065275544933337</v>
      </c>
      <c r="B3453" s="30">
        <v>0</v>
      </c>
      <c r="C3453" s="30">
        <v>16.52</v>
      </c>
      <c r="G3453" s="18"/>
    </row>
    <row r="3454" spans="1:7" x14ac:dyDescent="0.25">
      <c r="A3454" s="30">
        <v>0.63103490958969544</v>
      </c>
      <c r="B3454" s="30">
        <v>0</v>
      </c>
      <c r="C3454" s="30">
        <v>16.52</v>
      </c>
      <c r="G3454" s="18"/>
    </row>
    <row r="3455" spans="1:7" x14ac:dyDescent="0.25">
      <c r="A3455" s="30">
        <v>1.8884712805810473</v>
      </c>
      <c r="B3455" s="30">
        <v>0</v>
      </c>
      <c r="C3455" s="30">
        <v>16.52</v>
      </c>
      <c r="G3455" s="18"/>
    </row>
    <row r="3456" spans="1:7" x14ac:dyDescent="0.25">
      <c r="A3456" s="30">
        <v>0.20163237836770875</v>
      </c>
      <c r="B3456" s="30">
        <v>0</v>
      </c>
      <c r="C3456" s="30">
        <v>16.52</v>
      </c>
      <c r="G3456" s="18"/>
    </row>
    <row r="3457" spans="1:7" x14ac:dyDescent="0.25">
      <c r="A3457" s="30">
        <v>0.55534597788385542</v>
      </c>
      <c r="B3457" s="30">
        <v>0</v>
      </c>
      <c r="C3457" s="30">
        <v>16.52</v>
      </c>
      <c r="G3457" s="18"/>
    </row>
    <row r="3458" spans="1:7" x14ac:dyDescent="0.25">
      <c r="A3458" s="30">
        <v>0.74938911136565312</v>
      </c>
      <c r="B3458" s="30">
        <v>0</v>
      </c>
      <c r="C3458" s="30">
        <v>16.52</v>
      </c>
      <c r="G3458" s="18"/>
    </row>
    <row r="3459" spans="1:7" x14ac:dyDescent="0.25">
      <c r="A3459" s="30">
        <v>1.2543335367808006</v>
      </c>
      <c r="B3459" s="30">
        <v>0</v>
      </c>
      <c r="C3459" s="30">
        <v>16.52</v>
      </c>
      <c r="G3459" s="18"/>
    </row>
    <row r="3460" spans="1:7" x14ac:dyDescent="0.25">
      <c r="A3460" s="30">
        <v>0.12984698834494154</v>
      </c>
      <c r="B3460" s="30">
        <v>0</v>
      </c>
      <c r="C3460" s="30">
        <v>16.52</v>
      </c>
      <c r="G3460" s="18"/>
    </row>
    <row r="3461" spans="1:7" x14ac:dyDescent="0.25">
      <c r="A3461" s="30">
        <v>0.98104216065045069</v>
      </c>
      <c r="B3461" s="30">
        <v>0</v>
      </c>
      <c r="C3461" s="30">
        <v>8.5399999999999991</v>
      </c>
      <c r="G3461" s="18"/>
    </row>
    <row r="3462" spans="1:7" x14ac:dyDescent="0.25">
      <c r="A3462" s="30">
        <v>1.077356457129107</v>
      </c>
      <c r="B3462" s="30">
        <v>0</v>
      </c>
      <c r="C3462" s="30">
        <v>8.5399999999999991</v>
      </c>
      <c r="G3462" s="18"/>
    </row>
    <row r="3463" spans="1:7" x14ac:dyDescent="0.25">
      <c r="A3463" s="30">
        <v>0.67945831731816042</v>
      </c>
      <c r="B3463" s="30">
        <v>0</v>
      </c>
      <c r="C3463" s="30">
        <v>8.5399999999999991</v>
      </c>
      <c r="G3463" s="18"/>
    </row>
    <row r="3464" spans="1:7" x14ac:dyDescent="0.25">
      <c r="A3464" s="30">
        <v>0.32411590355636644</v>
      </c>
      <c r="B3464" s="30">
        <v>0</v>
      </c>
      <c r="C3464" s="30">
        <v>8.5399999999999991</v>
      </c>
      <c r="G3464" s="18"/>
    </row>
    <row r="3465" spans="1:7" x14ac:dyDescent="0.25">
      <c r="A3465" s="30">
        <v>1.6812311365358432</v>
      </c>
      <c r="B3465" s="30">
        <v>0</v>
      </c>
      <c r="C3465" s="30">
        <v>8.5399999999999991</v>
      </c>
      <c r="G3465" s="18"/>
    </row>
    <row r="3466" spans="1:7" x14ac:dyDescent="0.25">
      <c r="A3466" s="30">
        <v>1.1554363335345905</v>
      </c>
      <c r="B3466" s="30">
        <v>0</v>
      </c>
      <c r="C3466" s="30">
        <v>8.5399999999999991</v>
      </c>
      <c r="G3466" s="18"/>
    </row>
    <row r="3467" spans="1:7" x14ac:dyDescent="0.25">
      <c r="A3467" s="30">
        <v>2.099007990600128</v>
      </c>
      <c r="B3467" s="30">
        <v>0</v>
      </c>
      <c r="C3467" s="30">
        <v>8.5399999999999991</v>
      </c>
      <c r="G3467" s="18"/>
    </row>
    <row r="3468" spans="1:7" x14ac:dyDescent="0.25">
      <c r="A3468" s="30">
        <v>0.52888131085764212</v>
      </c>
      <c r="B3468" s="30">
        <v>0</v>
      </c>
      <c r="C3468" s="30">
        <v>8.5399999999999991</v>
      </c>
      <c r="G3468" s="18"/>
    </row>
    <row r="3469" spans="1:7" x14ac:dyDescent="0.25">
      <c r="A3469" s="30">
        <v>2.3642566378196053</v>
      </c>
      <c r="B3469" s="30">
        <v>0</v>
      </c>
      <c r="C3469" s="30">
        <v>8.5399999999999991</v>
      </c>
      <c r="G3469" s="18"/>
    </row>
    <row r="3470" spans="1:7" x14ac:dyDescent="0.25">
      <c r="A3470" s="30">
        <v>0.38775581599209535</v>
      </c>
      <c r="B3470" s="30">
        <v>0</v>
      </c>
      <c r="C3470" s="30">
        <v>8.5399999999999991</v>
      </c>
      <c r="G3470" s="18"/>
    </row>
    <row r="3471" spans="1:7" x14ac:dyDescent="0.25">
      <c r="A3471" s="30">
        <v>0.88434834106348892</v>
      </c>
      <c r="B3471" s="30">
        <v>0</v>
      </c>
      <c r="C3471" s="30">
        <v>8.5399999999999991</v>
      </c>
      <c r="G3471" s="18"/>
    </row>
    <row r="3472" spans="1:7" x14ac:dyDescent="0.25">
      <c r="A3472" s="30">
        <v>2.4785933538998273E-2</v>
      </c>
      <c r="B3472" s="30">
        <v>0</v>
      </c>
      <c r="C3472" s="30">
        <v>8.5399999999999991</v>
      </c>
      <c r="G3472" s="18"/>
    </row>
    <row r="3473" spans="1:7" x14ac:dyDescent="0.25">
      <c r="A3473" s="30">
        <v>0.74879750603255535</v>
      </c>
      <c r="B3473" s="30">
        <v>0</v>
      </c>
      <c r="C3473" s="30">
        <v>8.5399999999999991</v>
      </c>
      <c r="G3473" s="18"/>
    </row>
    <row r="3474" spans="1:7" x14ac:dyDescent="0.25">
      <c r="A3474" s="30">
        <v>1.053145296052554</v>
      </c>
      <c r="B3474" s="30">
        <v>0</v>
      </c>
      <c r="C3474" s="30">
        <v>8.5399999999999991</v>
      </c>
      <c r="G3474" s="18"/>
    </row>
    <row r="3475" spans="1:7" x14ac:dyDescent="0.25">
      <c r="A3475" s="30">
        <v>0.10567692949015557</v>
      </c>
      <c r="B3475" s="30">
        <v>0</v>
      </c>
      <c r="C3475" s="30">
        <v>8.5399999999999991</v>
      </c>
      <c r="G3475" s="18"/>
    </row>
    <row r="3476" spans="1:7" x14ac:dyDescent="0.25">
      <c r="A3476" s="30">
        <v>1.3646334124736632</v>
      </c>
      <c r="B3476" s="30">
        <v>0</v>
      </c>
      <c r="C3476" s="30">
        <v>8.5399999999999991</v>
      </c>
      <c r="G3476" s="18"/>
    </row>
    <row r="3477" spans="1:7" x14ac:dyDescent="0.25">
      <c r="A3477" s="30">
        <v>2.351229656166208</v>
      </c>
      <c r="B3477" s="30">
        <v>0</v>
      </c>
      <c r="C3477" s="30">
        <v>8.5399999999999991</v>
      </c>
      <c r="G3477" s="18"/>
    </row>
    <row r="3478" spans="1:7" x14ac:dyDescent="0.25">
      <c r="A3478" s="30">
        <v>1.2040996158971038</v>
      </c>
      <c r="B3478" s="30">
        <v>0</v>
      </c>
      <c r="C3478" s="30">
        <v>23.240000000000002</v>
      </c>
      <c r="G3478" s="18"/>
    </row>
    <row r="3479" spans="1:7" x14ac:dyDescent="0.25">
      <c r="A3479" s="30">
        <v>0.15477474856029971</v>
      </c>
      <c r="B3479" s="30">
        <v>0</v>
      </c>
      <c r="C3479" s="30">
        <v>23.240000000000002</v>
      </c>
      <c r="G3479" s="18"/>
    </row>
    <row r="3480" spans="1:7" x14ac:dyDescent="0.25">
      <c r="A3480" s="30">
        <v>0.87125062702472889</v>
      </c>
      <c r="B3480" s="30">
        <v>0</v>
      </c>
      <c r="C3480" s="30">
        <v>23.240000000000002</v>
      </c>
      <c r="G3480" s="18"/>
    </row>
    <row r="3481" spans="1:7" x14ac:dyDescent="0.25">
      <c r="A3481" s="30">
        <v>0.45603407151179071</v>
      </c>
      <c r="B3481" s="30">
        <v>0</v>
      </c>
      <c r="C3481" s="30">
        <v>23.240000000000002</v>
      </c>
      <c r="G3481" s="18"/>
    </row>
    <row r="3482" spans="1:7" x14ac:dyDescent="0.25">
      <c r="A3482" s="30">
        <v>0.50157626021712698</v>
      </c>
      <c r="B3482" s="30">
        <v>0</v>
      </c>
      <c r="C3482" s="30">
        <v>23.240000000000002</v>
      </c>
      <c r="G3482" s="18"/>
    </row>
    <row r="3483" spans="1:7" x14ac:dyDescent="0.25">
      <c r="A3483" s="30">
        <v>2.0455850418913419</v>
      </c>
      <c r="B3483" s="30">
        <v>0</v>
      </c>
      <c r="C3483" s="30">
        <v>23.240000000000002</v>
      </c>
      <c r="G3483" s="18"/>
    </row>
    <row r="3484" spans="1:7" x14ac:dyDescent="0.25">
      <c r="A3484" s="30">
        <v>1.0621848657738093</v>
      </c>
      <c r="B3484" s="30">
        <v>0</v>
      </c>
      <c r="C3484" s="30">
        <v>23.240000000000002</v>
      </c>
      <c r="G3484" s="18"/>
    </row>
    <row r="3485" spans="1:7" x14ac:dyDescent="0.25">
      <c r="A3485" s="30">
        <v>0.38475790488932304</v>
      </c>
      <c r="B3485" s="30">
        <v>0</v>
      </c>
      <c r="C3485" s="30">
        <v>23.240000000000002</v>
      </c>
      <c r="G3485" s="18"/>
    </row>
    <row r="3486" spans="1:7" x14ac:dyDescent="0.25">
      <c r="A3486" s="30">
        <v>0.28592809121375284</v>
      </c>
      <c r="B3486" s="30">
        <v>0</v>
      </c>
      <c r="C3486" s="30">
        <v>23.240000000000002</v>
      </c>
      <c r="G3486" s="18"/>
    </row>
    <row r="3487" spans="1:7" x14ac:dyDescent="0.25">
      <c r="A3487" s="30">
        <v>0.71765056125219528</v>
      </c>
      <c r="B3487" s="30">
        <v>0</v>
      </c>
      <c r="C3487" s="30">
        <v>23.240000000000002</v>
      </c>
      <c r="G3487" s="18"/>
    </row>
    <row r="3488" spans="1:7" x14ac:dyDescent="0.25">
      <c r="A3488" s="30">
        <v>1.1541866068331399</v>
      </c>
      <c r="B3488" s="30">
        <v>0</v>
      </c>
      <c r="C3488" s="30">
        <v>23.240000000000002</v>
      </c>
      <c r="G3488" s="18"/>
    </row>
    <row r="3489" spans="1:7" x14ac:dyDescent="0.25">
      <c r="A3489" s="30">
        <v>0.77856866510075162</v>
      </c>
      <c r="B3489" s="30">
        <v>0</v>
      </c>
      <c r="C3489" s="30">
        <v>23.240000000000002</v>
      </c>
      <c r="G3489" s="18"/>
    </row>
    <row r="3490" spans="1:7" x14ac:dyDescent="0.25">
      <c r="A3490" s="30">
        <v>0.63430879308686128</v>
      </c>
      <c r="B3490" s="30">
        <v>0</v>
      </c>
      <c r="C3490" s="30">
        <v>23.240000000000002</v>
      </c>
      <c r="G3490" s="18"/>
    </row>
    <row r="3491" spans="1:7" x14ac:dyDescent="0.25">
      <c r="A3491" s="30">
        <v>0.5884006563334867</v>
      </c>
      <c r="B3491" s="30">
        <v>0</v>
      </c>
      <c r="C3491" s="30">
        <v>23.240000000000002</v>
      </c>
      <c r="G3491" s="18"/>
    </row>
    <row r="3492" spans="1:7" x14ac:dyDescent="0.25">
      <c r="A3492" s="30">
        <v>0.74743945807230916</v>
      </c>
      <c r="B3492" s="30">
        <v>0</v>
      </c>
      <c r="C3492" s="30">
        <v>23.240000000000002</v>
      </c>
      <c r="G3492" s="18"/>
    </row>
    <row r="3493" spans="1:7" x14ac:dyDescent="0.25">
      <c r="A3493" s="30">
        <v>1.4982440184744807</v>
      </c>
      <c r="B3493" s="30">
        <v>0</v>
      </c>
      <c r="C3493" s="30">
        <v>23.240000000000002</v>
      </c>
      <c r="G3493" s="18"/>
    </row>
    <row r="3494" spans="1:7" x14ac:dyDescent="0.25">
      <c r="A3494" s="30">
        <v>0.11387128088535688</v>
      </c>
      <c r="B3494" s="30">
        <v>0</v>
      </c>
      <c r="C3494" s="30">
        <v>13.16</v>
      </c>
      <c r="G3494" s="18"/>
    </row>
    <row r="3495" spans="1:7" x14ac:dyDescent="0.25">
      <c r="A3495" s="30">
        <v>2.1529664217212385</v>
      </c>
      <c r="B3495" s="30">
        <v>0</v>
      </c>
      <c r="C3495" s="30">
        <v>13.16</v>
      </c>
      <c r="G3495" s="18"/>
    </row>
    <row r="3496" spans="1:7" x14ac:dyDescent="0.25">
      <c r="A3496" s="30">
        <v>7.9810824555061499E-2</v>
      </c>
      <c r="B3496" s="30">
        <v>0</v>
      </c>
      <c r="C3496" s="30">
        <v>13.16</v>
      </c>
      <c r="G3496" s="18"/>
    </row>
    <row r="3497" spans="1:7" x14ac:dyDescent="0.25">
      <c r="A3497" s="30">
        <v>1.4015794032696516</v>
      </c>
      <c r="B3497" s="30">
        <v>0</v>
      </c>
      <c r="C3497" s="30">
        <v>13.16</v>
      </c>
      <c r="G3497" s="18"/>
    </row>
    <row r="3498" spans="1:7" x14ac:dyDescent="0.25">
      <c r="A3498" s="30">
        <v>1.1339971905486765</v>
      </c>
      <c r="B3498" s="30">
        <v>0</v>
      </c>
      <c r="C3498" s="30">
        <v>13.16</v>
      </c>
      <c r="G3498" s="18"/>
    </row>
    <row r="3499" spans="1:7" x14ac:dyDescent="0.25">
      <c r="A3499" s="30">
        <v>1.4044672843717376</v>
      </c>
      <c r="B3499" s="30">
        <v>0</v>
      </c>
      <c r="C3499" s="30">
        <v>13.16</v>
      </c>
      <c r="G3499" s="18"/>
    </row>
    <row r="3500" spans="1:7" x14ac:dyDescent="0.25">
      <c r="A3500" s="30">
        <v>1.3727273629092178</v>
      </c>
      <c r="B3500" s="30">
        <v>0</v>
      </c>
      <c r="C3500" s="30">
        <v>13.16</v>
      </c>
      <c r="G3500" s="18"/>
    </row>
    <row r="3501" spans="1:7" x14ac:dyDescent="0.25">
      <c r="A3501" s="30">
        <v>0.89716866654261906</v>
      </c>
      <c r="B3501" s="30">
        <v>0</v>
      </c>
      <c r="C3501" s="30">
        <v>13.16</v>
      </c>
      <c r="G3501" s="18"/>
    </row>
    <row r="3502" spans="1:7" x14ac:dyDescent="0.25">
      <c r="A3502" s="30">
        <v>0.90027243393867273</v>
      </c>
      <c r="B3502" s="30">
        <v>0</v>
      </c>
      <c r="C3502" s="30">
        <v>13.16</v>
      </c>
      <c r="G3502" s="18"/>
    </row>
    <row r="3503" spans="1:7" x14ac:dyDescent="0.25">
      <c r="A3503" s="30">
        <v>1.7096081060895714</v>
      </c>
      <c r="B3503" s="30">
        <v>0</v>
      </c>
      <c r="C3503" s="30">
        <v>13.16</v>
      </c>
      <c r="G3503" s="18"/>
    </row>
    <row r="3504" spans="1:7" x14ac:dyDescent="0.25">
      <c r="A3504" s="30">
        <v>0.81493165968987102</v>
      </c>
      <c r="B3504" s="30">
        <v>0</v>
      </c>
      <c r="C3504" s="30">
        <v>13.16</v>
      </c>
      <c r="G3504" s="18"/>
    </row>
    <row r="3505" spans="1:7" x14ac:dyDescent="0.25">
      <c r="A3505" s="30">
        <v>0.68400396016169174</v>
      </c>
      <c r="B3505" s="30">
        <v>0</v>
      </c>
      <c r="C3505" s="30">
        <v>13.16</v>
      </c>
      <c r="G3505" s="18"/>
    </row>
    <row r="3506" spans="1:7" x14ac:dyDescent="0.25">
      <c r="A3506" s="30">
        <v>0.65818480661703294</v>
      </c>
      <c r="B3506" s="30">
        <v>0</v>
      </c>
      <c r="C3506" s="30">
        <v>13.16</v>
      </c>
      <c r="G3506" s="18"/>
    </row>
    <row r="3507" spans="1:7" x14ac:dyDescent="0.25">
      <c r="A3507" s="30">
        <v>0.22847340607839728</v>
      </c>
      <c r="B3507" s="30">
        <v>0</v>
      </c>
      <c r="C3507" s="30">
        <v>13.16</v>
      </c>
      <c r="G3507" s="18"/>
    </row>
    <row r="3508" spans="1:7" x14ac:dyDescent="0.25">
      <c r="A3508" s="30">
        <v>6.531045175789367E-2</v>
      </c>
      <c r="B3508" s="30">
        <v>0</v>
      </c>
      <c r="C3508" s="30">
        <v>13.16</v>
      </c>
      <c r="G3508" s="18"/>
    </row>
    <row r="3509" spans="1:7" x14ac:dyDescent="0.25">
      <c r="A3509" s="30">
        <v>2.1695856166897451</v>
      </c>
      <c r="B3509" s="30">
        <v>0</v>
      </c>
      <c r="C3509" s="30">
        <v>13.16</v>
      </c>
      <c r="G3509" s="18"/>
    </row>
    <row r="3510" spans="1:7" x14ac:dyDescent="0.25">
      <c r="A3510" s="30">
        <v>0.52928908005064434</v>
      </c>
      <c r="B3510" s="30">
        <v>0</v>
      </c>
      <c r="C3510" s="30">
        <v>8.9599999999999991</v>
      </c>
      <c r="G3510" s="18"/>
    </row>
    <row r="3511" spans="1:7" x14ac:dyDescent="0.25">
      <c r="A3511" s="30">
        <v>0.8375333686363341</v>
      </c>
      <c r="B3511" s="30">
        <v>0</v>
      </c>
      <c r="C3511" s="30">
        <v>8.9599999999999991</v>
      </c>
      <c r="G3511" s="18"/>
    </row>
    <row r="3512" spans="1:7" x14ac:dyDescent="0.25">
      <c r="A3512" s="30">
        <v>0.3738904647920312</v>
      </c>
      <c r="B3512" s="30">
        <v>0</v>
      </c>
      <c r="C3512" s="30">
        <v>8.9599999999999991</v>
      </c>
      <c r="G3512" s="18"/>
    </row>
    <row r="3513" spans="1:7" x14ac:dyDescent="0.25">
      <c r="A3513" s="30">
        <v>1.9551657076990772</v>
      </c>
      <c r="B3513" s="30">
        <v>0</v>
      </c>
      <c r="C3513" s="30">
        <v>8.9599999999999991</v>
      </c>
      <c r="G3513" s="18"/>
    </row>
    <row r="3514" spans="1:7" x14ac:dyDescent="0.25">
      <c r="A3514" s="30">
        <v>1.0345273774725507</v>
      </c>
      <c r="B3514" s="30">
        <v>0</v>
      </c>
      <c r="C3514" s="30">
        <v>8.9599999999999991</v>
      </c>
      <c r="G3514" s="18"/>
    </row>
    <row r="3515" spans="1:7" x14ac:dyDescent="0.25">
      <c r="A3515" s="30">
        <v>2.3707491980996926</v>
      </c>
      <c r="B3515" s="30">
        <v>0</v>
      </c>
      <c r="C3515" s="30">
        <v>8.9599999999999991</v>
      </c>
      <c r="G3515" s="18"/>
    </row>
    <row r="3516" spans="1:7" x14ac:dyDescent="0.25">
      <c r="A3516" s="30">
        <v>0.68749400581200093</v>
      </c>
      <c r="B3516" s="30">
        <v>0</v>
      </c>
      <c r="C3516" s="30">
        <v>8.9599999999999991</v>
      </c>
      <c r="G3516" s="18"/>
    </row>
    <row r="3517" spans="1:7" x14ac:dyDescent="0.25">
      <c r="A3517" s="30">
        <v>8.1888051683680366E-2</v>
      </c>
      <c r="B3517" s="30">
        <v>0</v>
      </c>
      <c r="C3517" s="30">
        <v>8.9599999999999991</v>
      </c>
      <c r="G3517" s="18"/>
    </row>
    <row r="3518" spans="1:7" x14ac:dyDescent="0.25">
      <c r="A3518" s="30">
        <v>1.0673230443380521</v>
      </c>
      <c r="B3518" s="30">
        <v>0</v>
      </c>
      <c r="C3518" s="30">
        <v>8.9599999999999991</v>
      </c>
      <c r="G3518" s="18"/>
    </row>
    <row r="3519" spans="1:7" x14ac:dyDescent="0.25">
      <c r="A3519" s="30">
        <v>1.1467946563629368</v>
      </c>
      <c r="B3519" s="30">
        <v>0</v>
      </c>
      <c r="C3519" s="30">
        <v>8.9599999999999991</v>
      </c>
      <c r="G3519" s="18"/>
    </row>
    <row r="3520" spans="1:7" x14ac:dyDescent="0.25">
      <c r="A3520" s="30">
        <v>0.18837812366886683</v>
      </c>
      <c r="B3520" s="30">
        <v>0</v>
      </c>
      <c r="C3520" s="30">
        <v>8.9599999999999991</v>
      </c>
      <c r="G3520" s="18"/>
    </row>
    <row r="3521" spans="1:7" x14ac:dyDescent="0.25">
      <c r="A3521" s="30">
        <v>1.4785692674252002</v>
      </c>
      <c r="B3521" s="30">
        <v>0</v>
      </c>
      <c r="C3521" s="30">
        <v>8.9599999999999991</v>
      </c>
      <c r="G3521" s="18"/>
    </row>
    <row r="3522" spans="1:7" x14ac:dyDescent="0.25">
      <c r="A3522" s="30">
        <v>0.30245405719863877</v>
      </c>
      <c r="B3522" s="30">
        <v>0</v>
      </c>
      <c r="C3522" s="30">
        <v>8.9599999999999991</v>
      </c>
      <c r="G3522" s="18"/>
    </row>
    <row r="3523" spans="1:7" x14ac:dyDescent="0.25">
      <c r="A3523" s="30">
        <v>0.23216189180902438</v>
      </c>
      <c r="B3523" s="30">
        <v>0</v>
      </c>
      <c r="C3523" s="30">
        <v>8.9599999999999991</v>
      </c>
      <c r="G3523" s="18"/>
    </row>
    <row r="3524" spans="1:7" x14ac:dyDescent="0.25">
      <c r="A3524" s="30">
        <v>0.49316235610736409</v>
      </c>
      <c r="B3524" s="30">
        <v>0</v>
      </c>
      <c r="C3524" s="30">
        <v>8.9599999999999991</v>
      </c>
      <c r="G3524" s="18"/>
    </row>
    <row r="3525" spans="1:7" x14ac:dyDescent="0.25">
      <c r="A3525" s="30">
        <v>1.6341612134445895</v>
      </c>
      <c r="B3525" s="30">
        <v>0</v>
      </c>
      <c r="C3525" s="30">
        <v>8.9599999999999991</v>
      </c>
      <c r="G3525" s="18"/>
    </row>
    <row r="3526" spans="1:7" x14ac:dyDescent="0.25">
      <c r="A3526" s="30">
        <v>0.36137864879306686</v>
      </c>
      <c r="B3526" s="30">
        <v>0</v>
      </c>
      <c r="C3526" s="30">
        <v>14.42</v>
      </c>
      <c r="G3526" s="18"/>
    </row>
    <row r="3527" spans="1:7" x14ac:dyDescent="0.25">
      <c r="A3527" s="30">
        <v>0.9154193746322612</v>
      </c>
      <c r="B3527" s="30">
        <v>0</v>
      </c>
      <c r="C3527" s="30">
        <v>14.42</v>
      </c>
      <c r="G3527" s="18"/>
    </row>
    <row r="3528" spans="1:7" x14ac:dyDescent="0.25">
      <c r="A3528" s="30">
        <v>0.78758979526782069</v>
      </c>
      <c r="B3528" s="30">
        <v>0</v>
      </c>
      <c r="C3528" s="30">
        <v>14.42</v>
      </c>
      <c r="G3528" s="18"/>
    </row>
    <row r="3529" spans="1:7" x14ac:dyDescent="0.25">
      <c r="A3529" s="30">
        <v>0.8148123248177368</v>
      </c>
      <c r="B3529" s="30">
        <v>0</v>
      </c>
      <c r="C3529" s="30">
        <v>14.42</v>
      </c>
      <c r="G3529" s="18"/>
    </row>
    <row r="3530" spans="1:7" x14ac:dyDescent="0.25">
      <c r="A3530" s="30">
        <v>0.93829308151381619</v>
      </c>
      <c r="B3530" s="30">
        <v>0</v>
      </c>
      <c r="C3530" s="30">
        <v>14.42</v>
      </c>
      <c r="G3530" s="18"/>
    </row>
    <row r="3531" spans="1:7" x14ac:dyDescent="0.25">
      <c r="A3531" s="30">
        <v>1.7823364394380543</v>
      </c>
      <c r="B3531" s="30">
        <v>0</v>
      </c>
      <c r="C3531" s="30">
        <v>14.42</v>
      </c>
      <c r="G3531" s="18"/>
    </row>
    <row r="3532" spans="1:7" x14ac:dyDescent="0.25">
      <c r="A3532" s="30">
        <v>0.75850904783135442</v>
      </c>
      <c r="B3532" s="30">
        <v>0</v>
      </c>
      <c r="C3532" s="30">
        <v>14.42</v>
      </c>
      <c r="G3532" s="18"/>
    </row>
    <row r="3533" spans="1:7" x14ac:dyDescent="0.25">
      <c r="A3533" s="30">
        <v>9.1476986937868515E-2</v>
      </c>
      <c r="B3533" s="30">
        <v>0</v>
      </c>
      <c r="C3533" s="30">
        <v>14.42</v>
      </c>
      <c r="G3533" s="18"/>
    </row>
    <row r="3534" spans="1:7" x14ac:dyDescent="0.25">
      <c r="A3534" s="30">
        <v>4.4868957326945222E-2</v>
      </c>
      <c r="B3534" s="30">
        <v>0</v>
      </c>
      <c r="C3534" s="30">
        <v>14.42</v>
      </c>
      <c r="G3534" s="18"/>
    </row>
    <row r="3535" spans="1:7" x14ac:dyDescent="0.25">
      <c r="A3535" s="30">
        <v>2.2071437836047205</v>
      </c>
      <c r="B3535" s="30">
        <v>0</v>
      </c>
      <c r="C3535" s="30">
        <v>14.42</v>
      </c>
      <c r="G3535" s="18"/>
    </row>
    <row r="3536" spans="1:7" x14ac:dyDescent="0.25">
      <c r="A3536" s="30">
        <v>0.58153222181435393</v>
      </c>
      <c r="B3536" s="30">
        <v>0</v>
      </c>
      <c r="C3536" s="30">
        <v>14.42</v>
      </c>
      <c r="G3536" s="18"/>
    </row>
    <row r="3537" spans="1:7" x14ac:dyDescent="0.25">
      <c r="A3537" s="30">
        <v>0.23654166479109237</v>
      </c>
      <c r="B3537" s="30">
        <v>0</v>
      </c>
      <c r="C3537" s="30">
        <v>14.42</v>
      </c>
      <c r="G3537" s="18"/>
    </row>
    <row r="3538" spans="1:7" x14ac:dyDescent="0.25">
      <c r="A3538" s="30">
        <v>0.37503153375205633</v>
      </c>
      <c r="B3538" s="30">
        <v>0</v>
      </c>
      <c r="C3538" s="30">
        <v>14.42</v>
      </c>
      <c r="G3538" s="18"/>
    </row>
    <row r="3539" spans="1:7" x14ac:dyDescent="0.25">
      <c r="A3539" s="30">
        <v>1.6909775755327066</v>
      </c>
      <c r="B3539" s="30">
        <v>0</v>
      </c>
      <c r="C3539" s="30">
        <v>14.42</v>
      </c>
      <c r="G3539" s="18"/>
    </row>
    <row r="3540" spans="1:7" x14ac:dyDescent="0.25">
      <c r="A3540" s="30">
        <v>0.65789509944695457</v>
      </c>
      <c r="B3540" s="30">
        <v>0</v>
      </c>
      <c r="C3540" s="30">
        <v>14.42</v>
      </c>
      <c r="G3540" s="18"/>
    </row>
    <row r="3541" spans="1:7" x14ac:dyDescent="0.25">
      <c r="A3541" s="30">
        <v>2.0818763315560944</v>
      </c>
      <c r="B3541" s="30">
        <v>0</v>
      </c>
      <c r="C3541" s="30">
        <v>14.42</v>
      </c>
      <c r="G3541" s="18"/>
    </row>
    <row r="3542" spans="1:7" x14ac:dyDescent="0.25">
      <c r="A3542" s="30">
        <v>1.0465869481686967</v>
      </c>
      <c r="B3542" s="30">
        <v>0</v>
      </c>
      <c r="C3542" s="30">
        <v>14.42</v>
      </c>
      <c r="G3542" s="18"/>
    </row>
    <row r="3543" spans="1:7" x14ac:dyDescent="0.25">
      <c r="A3543" s="30">
        <v>1.1620219889515269</v>
      </c>
      <c r="B3543" s="30">
        <v>0</v>
      </c>
      <c r="C3543" s="30">
        <v>22.679999999999996</v>
      </c>
      <c r="G3543" s="18"/>
    </row>
    <row r="3544" spans="1:7" x14ac:dyDescent="0.25">
      <c r="A3544" s="30">
        <v>1.1801089329726793</v>
      </c>
      <c r="B3544" s="30">
        <v>0</v>
      </c>
      <c r="C3544" s="30">
        <v>22.679999999999996</v>
      </c>
      <c r="G3544" s="18"/>
    </row>
    <row r="3545" spans="1:7" x14ac:dyDescent="0.25">
      <c r="A3545" s="30">
        <v>1.0238322239694397</v>
      </c>
      <c r="B3545" s="30">
        <v>0</v>
      </c>
      <c r="C3545" s="30">
        <v>22.679999999999996</v>
      </c>
      <c r="G3545" s="18"/>
    </row>
    <row r="3546" spans="1:7" x14ac:dyDescent="0.25">
      <c r="A3546" s="30">
        <v>0.32226101331654489</v>
      </c>
      <c r="B3546" s="30">
        <v>0</v>
      </c>
      <c r="C3546" s="30">
        <v>22.679999999999996</v>
      </c>
      <c r="G3546" s="18"/>
    </row>
    <row r="3547" spans="1:7" x14ac:dyDescent="0.25">
      <c r="A3547" s="30">
        <v>1.5089501434872115</v>
      </c>
      <c r="B3547" s="30">
        <v>0</v>
      </c>
      <c r="C3547" s="30">
        <v>22.679999999999996</v>
      </c>
      <c r="G3547" s="18"/>
    </row>
    <row r="3548" spans="1:7" x14ac:dyDescent="0.25">
      <c r="G3548" s="18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U47"/>
  <sheetViews>
    <sheetView workbookViewId="0">
      <selection activeCell="G4" sqref="G4:J14"/>
    </sheetView>
  </sheetViews>
  <sheetFormatPr baseColWidth="10" defaultRowHeight="15" x14ac:dyDescent="0.25"/>
  <cols>
    <col min="4" max="4" width="24" bestFit="1" customWidth="1"/>
  </cols>
  <sheetData>
    <row r="3" spans="4:10" ht="15.75" thickBot="1" x14ac:dyDescent="0.3"/>
    <row r="4" spans="4:10" x14ac:dyDescent="0.25">
      <c r="D4" s="1" t="s">
        <v>4</v>
      </c>
      <c r="E4" s="2">
        <v>2</v>
      </c>
      <c r="G4" s="22" t="s">
        <v>29</v>
      </c>
      <c r="H4" s="22" t="s">
        <v>31</v>
      </c>
      <c r="I4" s="22" t="s">
        <v>27</v>
      </c>
      <c r="J4" s="22" t="s">
        <v>32</v>
      </c>
    </row>
    <row r="5" spans="4:10" x14ac:dyDescent="0.25">
      <c r="D5" s="3" t="s">
        <v>5</v>
      </c>
      <c r="E5" s="4">
        <v>400</v>
      </c>
      <c r="G5" s="22">
        <v>1</v>
      </c>
      <c r="H5">
        <v>1.1878334888147957</v>
      </c>
      <c r="I5">
        <v>0</v>
      </c>
      <c r="J5">
        <v>59.938333754406521</v>
      </c>
    </row>
    <row r="6" spans="4:10" ht="15.75" thickBot="1" x14ac:dyDescent="0.3">
      <c r="D6" s="5" t="s">
        <v>6</v>
      </c>
      <c r="E6" s="6">
        <v>20</v>
      </c>
      <c r="G6" s="22">
        <v>2</v>
      </c>
      <c r="H6">
        <v>1.968886111750916</v>
      </c>
      <c r="I6">
        <v>0</v>
      </c>
      <c r="J6">
        <v>25.156420898724104</v>
      </c>
    </row>
    <row r="7" spans="4:10" x14ac:dyDescent="0.25">
      <c r="G7" s="22">
        <v>3</v>
      </c>
      <c r="H7">
        <v>0.40678086587867546</v>
      </c>
      <c r="I7">
        <v>0</v>
      </c>
      <c r="J7">
        <v>42.547377326565311</v>
      </c>
    </row>
    <row r="8" spans="4:10" x14ac:dyDescent="0.25">
      <c r="G8" s="22">
        <v>4</v>
      </c>
      <c r="H8">
        <v>1.1878334888147957</v>
      </c>
      <c r="I8">
        <v>0</v>
      </c>
      <c r="J8">
        <v>42.547377326565311</v>
      </c>
    </row>
    <row r="9" spans="4:10" x14ac:dyDescent="0.25">
      <c r="G9" s="22">
        <v>5</v>
      </c>
      <c r="H9">
        <v>1.968886111750916</v>
      </c>
      <c r="I9">
        <v>0</v>
      </c>
      <c r="J9">
        <v>59.938333754406521</v>
      </c>
    </row>
    <row r="10" spans="4:10" x14ac:dyDescent="0.25">
      <c r="G10" s="22">
        <v>6</v>
      </c>
      <c r="H10">
        <v>0.40678086587867546</v>
      </c>
      <c r="I10">
        <v>0</v>
      </c>
      <c r="J10">
        <v>25.156420898724104</v>
      </c>
    </row>
    <row r="11" spans="4:10" x14ac:dyDescent="0.25">
      <c r="G11" s="22">
        <v>7</v>
      </c>
      <c r="H11">
        <v>1.1878334888147957</v>
      </c>
      <c r="I11">
        <v>0</v>
      </c>
      <c r="J11">
        <v>42.547377326565311</v>
      </c>
    </row>
    <row r="12" spans="4:10" x14ac:dyDescent="0.25">
      <c r="G12" s="22">
        <v>8</v>
      </c>
      <c r="H12">
        <v>1.968886111750916</v>
      </c>
      <c r="I12">
        <v>0</v>
      </c>
      <c r="J12">
        <v>42.547377326565311</v>
      </c>
    </row>
    <row r="13" spans="4:10" x14ac:dyDescent="0.25">
      <c r="G13" s="22">
        <v>9</v>
      </c>
      <c r="H13">
        <v>0.40678086587867546</v>
      </c>
      <c r="I13">
        <v>0</v>
      </c>
      <c r="J13">
        <v>59.938333754406521</v>
      </c>
    </row>
    <row r="14" spans="4:10" x14ac:dyDescent="0.25">
      <c r="G14" s="22">
        <v>10</v>
      </c>
      <c r="H14">
        <v>1.1878334888147957</v>
      </c>
      <c r="I14">
        <v>0</v>
      </c>
      <c r="J14">
        <v>25.156420898724104</v>
      </c>
    </row>
    <row r="38" spans="19:21" x14ac:dyDescent="0.25">
      <c r="S38" s="29"/>
      <c r="T38" s="29"/>
      <c r="U38" s="29"/>
    </row>
    <row r="39" spans="19:21" x14ac:dyDescent="0.25">
      <c r="S39" s="29"/>
      <c r="T39" s="29"/>
      <c r="U39" s="29"/>
    </row>
    <row r="40" spans="19:21" x14ac:dyDescent="0.25">
      <c r="S40" s="29"/>
      <c r="T40" s="29"/>
      <c r="U40" s="29"/>
    </row>
    <row r="41" spans="19:21" x14ac:dyDescent="0.25">
      <c r="S41" s="29"/>
      <c r="T41" s="29"/>
      <c r="U41" s="29"/>
    </row>
    <row r="42" spans="19:21" x14ac:dyDescent="0.25">
      <c r="S42" s="29"/>
      <c r="T42" s="29"/>
      <c r="U42" s="29"/>
    </row>
    <row r="43" spans="19:21" x14ac:dyDescent="0.25">
      <c r="S43" s="29"/>
      <c r="T43" s="29"/>
      <c r="U43" s="29"/>
    </row>
    <row r="44" spans="19:21" x14ac:dyDescent="0.25">
      <c r="S44" s="29"/>
      <c r="T44" s="29"/>
      <c r="U44" s="29"/>
    </row>
    <row r="45" spans="19:21" x14ac:dyDescent="0.25">
      <c r="S45" s="29"/>
      <c r="T45" s="29"/>
      <c r="U45" s="29"/>
    </row>
    <row r="46" spans="19:21" x14ac:dyDescent="0.25">
      <c r="S46" s="29"/>
      <c r="T46" s="29"/>
      <c r="U46" s="29"/>
    </row>
    <row r="47" spans="19:21" x14ac:dyDescent="0.25">
      <c r="S47" s="29"/>
      <c r="T47" s="29"/>
      <c r="U47" s="2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K9:R37"/>
  <sheetViews>
    <sheetView topLeftCell="A4" workbookViewId="0">
      <selection activeCell="G18" sqref="G18"/>
    </sheetView>
  </sheetViews>
  <sheetFormatPr baseColWidth="10" defaultRowHeight="15" x14ac:dyDescent="0.25"/>
  <sheetData>
    <row r="9" spans="11:18" x14ac:dyDescent="0.25">
      <c r="K9" s="31" t="s">
        <v>39</v>
      </c>
      <c r="L9" s="31" t="s">
        <v>40</v>
      </c>
      <c r="O9" t="s">
        <v>41</v>
      </c>
    </row>
    <row r="10" spans="11:18" x14ac:dyDescent="0.25">
      <c r="K10" s="31">
        <f>P11</f>
        <v>4.7513339552591827</v>
      </c>
      <c r="L10" s="31">
        <f>P28</f>
        <v>1.1878334888147957</v>
      </c>
      <c r="O10" s="32" t="s">
        <v>29</v>
      </c>
      <c r="P10" s="32" t="s">
        <v>31</v>
      </c>
      <c r="Q10" s="32" t="s">
        <v>27</v>
      </c>
      <c r="R10" s="32" t="s">
        <v>32</v>
      </c>
    </row>
    <row r="11" spans="11:18" x14ac:dyDescent="0.25">
      <c r="K11" s="31">
        <f t="shared" ref="K11:K20" si="0">P12</f>
        <v>7.875544447003664</v>
      </c>
      <c r="L11" s="31">
        <f t="shared" ref="L11:L19" si="1">P29</f>
        <v>1.968886111750916</v>
      </c>
      <c r="O11" s="32">
        <v>1</v>
      </c>
      <c r="P11" s="32">
        <v>4.7513339552591827</v>
      </c>
      <c r="Q11" s="32">
        <v>0</v>
      </c>
      <c r="R11" s="32">
        <v>19.979444584802174</v>
      </c>
    </row>
    <row r="12" spans="11:18" x14ac:dyDescent="0.25">
      <c r="K12" s="31">
        <f t="shared" si="0"/>
        <v>1.6271234635147018</v>
      </c>
      <c r="L12" s="31">
        <f t="shared" si="1"/>
        <v>0.40678086587867546</v>
      </c>
      <c r="O12" s="32">
        <v>2</v>
      </c>
      <c r="P12" s="32">
        <v>7.875544447003664</v>
      </c>
      <c r="Q12" s="32">
        <v>0</v>
      </c>
      <c r="R12" s="32">
        <v>8.3854736329080346</v>
      </c>
    </row>
    <row r="13" spans="11:18" x14ac:dyDescent="0.25">
      <c r="K13" s="31">
        <f t="shared" si="0"/>
        <v>4.7513339552591827</v>
      </c>
      <c r="L13" s="31">
        <f t="shared" si="1"/>
        <v>1.1878334888147957</v>
      </c>
      <c r="O13" s="32">
        <v>3</v>
      </c>
      <c r="P13" s="32">
        <v>1.6271234635147018</v>
      </c>
      <c r="Q13" s="32">
        <v>0</v>
      </c>
      <c r="R13" s="32">
        <v>14.182459108855104</v>
      </c>
    </row>
    <row r="14" spans="11:18" x14ac:dyDescent="0.25">
      <c r="K14" s="31">
        <f t="shared" si="0"/>
        <v>7.875544447003664</v>
      </c>
      <c r="L14" s="31">
        <f t="shared" si="1"/>
        <v>1.968886111750916</v>
      </c>
      <c r="O14" s="32">
        <v>4</v>
      </c>
      <c r="P14" s="32">
        <v>4.7513339552591827</v>
      </c>
      <c r="Q14" s="32">
        <v>0</v>
      </c>
      <c r="R14" s="32">
        <v>14.182459108855104</v>
      </c>
    </row>
    <row r="15" spans="11:18" x14ac:dyDescent="0.25">
      <c r="K15" s="31">
        <f t="shared" si="0"/>
        <v>1.6271234635147018</v>
      </c>
      <c r="L15" s="31">
        <f t="shared" si="1"/>
        <v>0.40678086587867546</v>
      </c>
      <c r="O15" s="32">
        <v>5</v>
      </c>
      <c r="P15" s="32">
        <v>7.875544447003664</v>
      </c>
      <c r="Q15" s="32">
        <v>0</v>
      </c>
      <c r="R15" s="32">
        <v>19.979444584802174</v>
      </c>
    </row>
    <row r="16" spans="11:18" x14ac:dyDescent="0.25">
      <c r="K16" s="31">
        <f t="shared" si="0"/>
        <v>4.7513339552591827</v>
      </c>
      <c r="L16" s="31">
        <f t="shared" si="1"/>
        <v>1.1878334888147957</v>
      </c>
      <c r="O16" s="32">
        <v>6</v>
      </c>
      <c r="P16" s="32">
        <v>1.6271234635147018</v>
      </c>
      <c r="Q16" s="32">
        <v>0</v>
      </c>
      <c r="R16" s="32">
        <v>8.3854736329080346</v>
      </c>
    </row>
    <row r="17" spans="11:18" x14ac:dyDescent="0.25">
      <c r="K17" s="31">
        <f t="shared" si="0"/>
        <v>7.875544447003664</v>
      </c>
      <c r="L17" s="31">
        <f t="shared" si="1"/>
        <v>1.968886111750916</v>
      </c>
      <c r="O17" s="32">
        <v>7</v>
      </c>
      <c r="P17" s="32">
        <v>4.7513339552591827</v>
      </c>
      <c r="Q17" s="32">
        <v>0</v>
      </c>
      <c r="R17" s="32">
        <v>14.182459108855104</v>
      </c>
    </row>
    <row r="18" spans="11:18" x14ac:dyDescent="0.25">
      <c r="K18" s="31">
        <f t="shared" si="0"/>
        <v>1.6271234635147018</v>
      </c>
      <c r="L18" s="31">
        <f t="shared" si="1"/>
        <v>0.40678086587867546</v>
      </c>
      <c r="O18" s="32">
        <v>8</v>
      </c>
      <c r="P18" s="32">
        <v>7.875544447003664</v>
      </c>
      <c r="Q18" s="32">
        <v>0</v>
      </c>
      <c r="R18" s="32">
        <v>14.182459108855104</v>
      </c>
    </row>
    <row r="19" spans="11:18" x14ac:dyDescent="0.25">
      <c r="K19" s="31">
        <f t="shared" si="0"/>
        <v>4.7513339552591827</v>
      </c>
      <c r="L19" s="31">
        <f t="shared" si="1"/>
        <v>1.1878334888147957</v>
      </c>
      <c r="O19" s="32">
        <v>9</v>
      </c>
      <c r="P19" s="32">
        <v>1.6271234635147018</v>
      </c>
      <c r="Q19" s="32">
        <v>0</v>
      </c>
      <c r="R19" s="32">
        <v>19.979444584802174</v>
      </c>
    </row>
    <row r="20" spans="11:18" x14ac:dyDescent="0.25">
      <c r="O20" s="32">
        <v>10</v>
      </c>
      <c r="P20" s="32">
        <v>4.7513339552591827</v>
      </c>
      <c r="Q20" s="32">
        <v>0</v>
      </c>
      <c r="R20" s="32">
        <v>8.3854736329080346</v>
      </c>
    </row>
    <row r="26" spans="11:18" x14ac:dyDescent="0.25">
      <c r="O26" t="s">
        <v>20</v>
      </c>
    </row>
    <row r="27" spans="11:18" x14ac:dyDescent="0.25">
      <c r="O27" s="32" t="s">
        <v>29</v>
      </c>
      <c r="P27" s="32" t="s">
        <v>31</v>
      </c>
      <c r="Q27" s="32" t="s">
        <v>27</v>
      </c>
      <c r="R27" s="32" t="s">
        <v>32</v>
      </c>
    </row>
    <row r="28" spans="11:18" x14ac:dyDescent="0.25">
      <c r="O28" s="32">
        <v>1</v>
      </c>
      <c r="P28" s="32">
        <v>1.1878334888147957</v>
      </c>
      <c r="Q28" s="32">
        <v>0</v>
      </c>
      <c r="R28" s="32">
        <v>59.938333754406521</v>
      </c>
    </row>
    <row r="29" spans="11:18" x14ac:dyDescent="0.25">
      <c r="O29" s="32">
        <v>2</v>
      </c>
      <c r="P29" s="32">
        <v>1.968886111750916</v>
      </c>
      <c r="Q29" s="32">
        <v>0</v>
      </c>
      <c r="R29" s="32">
        <v>25.156420898724104</v>
      </c>
    </row>
    <row r="30" spans="11:18" x14ac:dyDescent="0.25">
      <c r="O30" s="32">
        <v>3</v>
      </c>
      <c r="P30" s="32">
        <v>0.40678086587867546</v>
      </c>
      <c r="Q30" s="32">
        <v>0</v>
      </c>
      <c r="R30" s="32">
        <v>42.547377326565311</v>
      </c>
    </row>
    <row r="31" spans="11:18" x14ac:dyDescent="0.25">
      <c r="O31" s="32">
        <v>4</v>
      </c>
      <c r="P31" s="32">
        <v>1.1878334888147957</v>
      </c>
      <c r="Q31" s="32">
        <v>0</v>
      </c>
      <c r="R31" s="32">
        <v>42.547377326565311</v>
      </c>
    </row>
    <row r="32" spans="11:18" x14ac:dyDescent="0.25">
      <c r="O32" s="32">
        <v>5</v>
      </c>
      <c r="P32" s="32">
        <v>1.968886111750916</v>
      </c>
      <c r="Q32" s="32">
        <v>0</v>
      </c>
      <c r="R32" s="32">
        <v>59.938333754406521</v>
      </c>
    </row>
    <row r="33" spans="15:18" x14ac:dyDescent="0.25">
      <c r="O33" s="32">
        <v>6</v>
      </c>
      <c r="P33" s="32">
        <v>0.40678086587867546</v>
      </c>
      <c r="Q33" s="32">
        <v>0</v>
      </c>
      <c r="R33" s="32">
        <v>25.156420898724104</v>
      </c>
    </row>
    <row r="34" spans="15:18" x14ac:dyDescent="0.25">
      <c r="O34" s="32">
        <v>7</v>
      </c>
      <c r="P34" s="32">
        <v>1.1878334888147957</v>
      </c>
      <c r="Q34" s="32">
        <v>0</v>
      </c>
      <c r="R34" s="32">
        <v>42.547377326565311</v>
      </c>
    </row>
    <row r="35" spans="15:18" x14ac:dyDescent="0.25">
      <c r="O35" s="32">
        <v>8</v>
      </c>
      <c r="P35" s="32">
        <v>1.968886111750916</v>
      </c>
      <c r="Q35" s="32">
        <v>0</v>
      </c>
      <c r="R35" s="32">
        <v>42.547377326565311</v>
      </c>
    </row>
    <row r="36" spans="15:18" x14ac:dyDescent="0.25">
      <c r="O36" s="32">
        <v>9</v>
      </c>
      <c r="P36" s="32">
        <v>0.40678086587867546</v>
      </c>
      <c r="Q36" s="32">
        <v>0</v>
      </c>
      <c r="R36" s="32">
        <v>59.938333754406521</v>
      </c>
    </row>
    <row r="37" spans="15:18" x14ac:dyDescent="0.25">
      <c r="O37" s="32">
        <v>10</v>
      </c>
      <c r="P37" s="32">
        <v>1.1878334888147957</v>
      </c>
      <c r="Q37" s="32">
        <v>0</v>
      </c>
      <c r="R37" s="32">
        <v>25.156420898724104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281B3A-4945-4C24-9BC8-9995659FCB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Punto 3</vt:lpstr>
      <vt:lpstr>Caso1_1-400-20</vt:lpstr>
      <vt:lpstr>Datos1.1</vt:lpstr>
      <vt:lpstr>Caso2_1-200-40</vt:lpstr>
      <vt:lpstr>Datos1.2</vt:lpstr>
      <vt:lpstr>Caso3_1-80-100</vt:lpstr>
      <vt:lpstr>Datos1.3</vt:lpstr>
      <vt:lpstr>Caso4_2-400-20</vt:lpstr>
      <vt:lpstr>Datos1.4</vt:lpstr>
      <vt:lpstr>Caso5_2-200-40</vt:lpstr>
      <vt:lpstr>Datos1.5</vt:lpstr>
      <vt:lpstr>Caso6_2-80-100</vt:lpstr>
      <vt:lpstr>Datos1.6</vt:lpstr>
      <vt:lpstr>Gráfica_I</vt:lpstr>
      <vt:lpstr>Gráfica_II</vt:lpstr>
      <vt:lpstr>Gráfica_III</vt:lpstr>
      <vt:lpstr>SSDatos1</vt:lpstr>
      <vt:lpstr>SSCaso1</vt:lpstr>
      <vt:lpstr>SSDatos2</vt:lpstr>
      <vt:lpstr>SSCaso2</vt:lpstr>
      <vt:lpstr>Graficas 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CALA GOMEZ</dc:creator>
  <cp:lastModifiedBy>SERGIO CANALES MARTINEZ</cp:lastModifiedBy>
  <dcterms:created xsi:type="dcterms:W3CDTF">2019-11-15T22:26:21Z</dcterms:created>
  <dcterms:modified xsi:type="dcterms:W3CDTF">2019-11-19T02:28:53Z</dcterms:modified>
</cp:coreProperties>
</file>